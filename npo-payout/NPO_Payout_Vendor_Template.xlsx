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99" firstSheet="0" activeTab="1" autoFilterDateGrouping="1"/>
  </bookViews>
  <sheets>
    <sheet name="SET-UP &amp; SUMMARY" sheetId="1" state="visible" r:id="rId1"/>
    <sheet name="VENDOR PAYOUT" sheetId="2" state="visible" r:id="rId2"/>
    <sheet name="MSR RAW" sheetId="3" state="visible" r:id="rId3"/>
    <sheet name="CATEGORY MAP" sheetId="4" state="visible" r:id="rId4"/>
    <sheet name="MSR DATA" sheetId="5" state="visible" r:id="rId5"/>
    <sheet name="CONTRACT CALC" sheetId="6" state="visible" r:id="rId6"/>
    <sheet name="EVENT ASSIGNMENT" sheetId="7" state="visible" r:id="rId7"/>
    <sheet name="TIPS DATA" sheetId="8" state="visible" r:id="rId8"/>
    <sheet name="SUPPLEMENTAL DATA" sheetId="9" state="visible" r:id="rId9"/>
  </sheets>
  <definedNames>
    <definedName name="_xlnm.Print_Area" localSheetId="1">'VENDOR PAYOUT'!$B$2:$I$61</definedName>
    <definedName name="_xlnm._FilterDatabase" localSheetId="2" hidden="1">'MSR RAW'!$A$1:$W$175</definedName>
    <definedName name="_xlnm._FilterDatabase" localSheetId="5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mmmm\ d\,\ yyyy"/>
    <numFmt numFmtId="169" formatCode="\$#,##0.00;[Red]\(\$#,##0.00\);\-"/>
    <numFmt numFmtId="170" formatCode="0.0%"/>
    <numFmt numFmtId="171" formatCode="mm/dd/yyyy"/>
    <numFmt numFmtId="172" formatCode="\$#,##0.00;\(\$#,##0.00\);\-"/>
    <numFmt numFmtId="173" formatCode="&quot;$&quot;#,##0.00_);[Red]\(&quot;$&quot;#,##0.00\)"/>
    <numFmt numFmtId="174" formatCode="yyyy-mm-dd h:mm:ss"/>
    <numFmt numFmtId="175" formatCode="mmmm d, yyyy"/>
    <numFmt numFmtId="176" formatCode="\$#,##0.00;[Red]\($#,##0.00\);\-"/>
    <numFmt numFmtId="177" formatCode="\$#,##0.00;\($#,##0.00\);\-"/>
    <numFmt numFmtId="178" formatCode="_($* #,##0.00_);_($* (#,##0.00);_($* -??_);_(@_)"/>
  </numFmts>
  <fonts count="65">
    <font>
      <name val="Arial"/>
      <charset val="1"/>
      <sz val="10"/>
    </font>
    <font>
      <name val="Calibri"/>
      <charset val="1"/>
      <family val="2"/>
      <color theme="1"/>
      <sz val="11"/>
    </font>
    <font>
      <name val="Arial Black"/>
      <charset val="1"/>
      <family val="2"/>
      <sz val="22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i val="1"/>
      <sz val="9"/>
    </font>
    <font>
      <name val="Arial"/>
      <charset val="1"/>
      <family val="2"/>
      <sz val="12"/>
    </font>
    <font>
      <name val="Arial"/>
      <charset val="1"/>
      <family val="2"/>
      <b val="1"/>
      <i val="1"/>
      <sz val="10"/>
    </font>
    <font>
      <name val="Arial"/>
      <charset val="1"/>
      <family val="2"/>
      <b val="1"/>
      <color rgb="FFFF0000"/>
      <sz val="12"/>
      <u val="single"/>
    </font>
    <font>
      <name val="Cambria"/>
      <family val="1"/>
      <b val="1"/>
      <sz val="11"/>
    </font>
    <font>
      <name val="Arial"/>
      <charset val="1"/>
      <family val="2"/>
      <sz val="8"/>
    </font>
    <font>
      <name val="Aptos"/>
      <family val="2"/>
      <b val="1"/>
      <color rgb="FF163B5C"/>
      <sz val="24"/>
    </font>
    <font>
      <name val="Aptos"/>
      <family val="2"/>
      <b val="1"/>
      <color rgb="FF263238"/>
      <sz val="16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9"/>
    </font>
    <font>
      <name val="Aptos"/>
      <family val="2"/>
      <b val="1"/>
      <color rgb="FFFFFFFF"/>
      <sz val="7.5"/>
    </font>
    <font>
      <name val="Aptos"/>
      <family val="2"/>
      <color rgb="FF5B6573"/>
      <sz val="8"/>
    </font>
    <font>
      <name val="Aptos"/>
      <family val="2"/>
      <b val="1"/>
      <color rgb="FF17365D"/>
      <sz val="8.5"/>
    </font>
    <font>
      <name val="Aptos"/>
      <family val="2"/>
      <b val="1"/>
      <color rgb="FF17365D"/>
      <sz val="14"/>
    </font>
    <font>
      <name val="Aptos"/>
      <family val="2"/>
      <b val="1"/>
      <color rgb="FFFFFFFF"/>
      <sz val="8.5"/>
    </font>
    <font>
      <name val="Arial"/>
      <family val="2"/>
      <sz val="10"/>
    </font>
    <font>
      <name val="Aptos"/>
      <family val="2"/>
      <color rgb="FF5B6573"/>
      <sz val="12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color rgb="FF17365D"/>
      <sz val="12"/>
    </font>
    <font>
      <name val="Aptos"/>
      <family val="2"/>
      <i val="1"/>
      <color rgb="FF5B6573"/>
      <sz val="9"/>
    </font>
    <font>
      <name val="Aptos"/>
      <family val="2"/>
      <b val="1"/>
      <color rgb="FFE4002B"/>
      <sz val="11"/>
    </font>
    <font>
      <name val="Aptos"/>
      <family val="2"/>
      <b val="1"/>
      <color rgb="FF163B5C"/>
      <sz val="12"/>
    </font>
    <font>
      <name val="Aptos"/>
      <family val="2"/>
      <b val="1"/>
      <color rgb="FFE4002B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rial"/>
      <family val="2"/>
      <i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rgb="FF17365D"/>
      <sz val="10"/>
    </font>
    <font>
      <name val="Aptos"/>
      <family val="2"/>
      <b val="1"/>
      <color theme="0" tint="-0.499984740745262"/>
      <sz val="8.5"/>
    </font>
    <font>
      <name val="Arial"/>
      <family val="2"/>
      <b val="1"/>
      <i val="1"/>
      <sz val="10"/>
    </font>
    <font>
      <name val="Aptos"/>
      <family val="2"/>
      <b val="1"/>
      <color rgb="FF17365D"/>
      <sz val="11"/>
    </font>
    <font>
      <name val="Arial"/>
      <family val="2"/>
      <sz val="11"/>
    </font>
    <font>
      <name val="Aptos"/>
      <family val="2"/>
      <i val="1"/>
      <color rgb="FF5B6573"/>
      <sz val="12"/>
    </font>
    <font>
      <name val="Arial"/>
      <charset val="1"/>
      <family val="2"/>
      <b val="1"/>
      <sz val="8"/>
    </font>
    <font>
      <name val="Arial"/>
      <charset val="1"/>
      <family val="2"/>
      <b val="1"/>
      <color theme="0"/>
      <sz val="9"/>
    </font>
    <font>
      <name val="Aptos"/>
      <family val="2"/>
      <b val="1"/>
      <color theme="0"/>
      <sz val="9"/>
    </font>
    <font>
      <name val="Arial"/>
      <family val="2"/>
      <b val="1"/>
      <color rgb="FF17365D"/>
      <sz val="10"/>
    </font>
    <font>
      <name val="Aptos"/>
      <b val="1"/>
      <sz val="10"/>
    </font>
    <font>
      <name val="Aptos"/>
      <b val="1"/>
      <color rgb="FFFFFFFF"/>
      <sz val="10"/>
    </font>
    <font>
      <name val="Aptos"/>
      <b val="1"/>
      <color rgb="FF17365D"/>
      <sz val="16"/>
    </font>
    <font>
      <name val="Aptos"/>
      <b val="1"/>
      <sz val="12"/>
    </font>
    <font>
      <name val="Aptos"/>
      <i val="1"/>
      <color rgb="FF666666"/>
      <sz val="8"/>
    </font>
    <font>
      <name val="Aptos"/>
      <b val="1"/>
      <sz val="20"/>
    </font>
    <font>
      <name val="Aptos"/>
      <b val="1"/>
      <sz val="14"/>
    </font>
    <font>
      <name val="Aptos"/>
      <b val="1"/>
      <color rgb="FFFFFFFF"/>
      <sz val="7.5"/>
    </font>
    <font>
      <name val="Aptos"/>
      <sz val="12"/>
    </font>
    <font>
      <name val="Aptos"/>
      <color rgb="FFAAAAAA"/>
      <sz val="8"/>
    </font>
    <font>
      <name val="Aptos"/>
      <sz val="8"/>
    </font>
    <font>
      <name val="Aptos"/>
      <b val="1"/>
      <sz val="8.5"/>
    </font>
    <font>
      <name val="Aptos"/>
      <b val="1"/>
      <color rgb="FF17365D"/>
      <sz val="12"/>
    </font>
    <font>
      <name val="Aptos"/>
      <b val="1"/>
      <color rgb="FFFFFFFF"/>
      <sz val="9"/>
    </font>
    <font>
      <name val="Arial"/>
      <b val="1"/>
      <color rgb="FFFFFFFF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7365D"/>
        <bgColor rgb="FFFFF2CC"/>
      </patternFill>
    </fill>
    <fill>
      <patternFill patternType="solid">
        <fgColor rgb="FFFFF2CC"/>
      </patternFill>
    </fill>
  </fills>
  <borders count="5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17365D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7B7B7"/>
      </bottom>
      <diagonal/>
    </border>
    <border>
      <left/>
      <right/>
      <top style="hair">
        <color rgb="FFE5E8EC"/>
      </top>
      <bottom style="medium">
        <color indexed="64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rgb="FFC9D0D7"/>
      </top>
      <bottom/>
      <diagonal/>
    </border>
    <border>
      <left/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/>
      <top/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/>
      <right/>
      <top style="thin">
        <color rgb="FFD9DEE5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  <border/>
  </borders>
  <cellStyleXfs count="2">
    <xf numFmtId="0" fontId="0" fillId="0" borderId="22"/>
    <xf numFmtId="0" fontId="1" fillId="0" borderId="22"/>
  </cellStyleXfs>
  <cellXfs count="239">
    <xf numFmtId="0" fontId="0" fillId="0" borderId="0" pivotButton="0" quotePrefix="0" xfId="0"/>
    <xf numFmtId="14" fontId="3" fillId="0" borderId="0" applyAlignment="1" pivotButton="0" quotePrefix="0" xfId="0">
      <alignment horizontal="left"/>
    </xf>
    <xf numFmtId="0" fontId="5" fillId="0" borderId="1" pivotButton="0" quotePrefix="0" xfId="0"/>
    <xf numFmtId="14" fontId="6" fillId="3" borderId="1" applyAlignment="1" applyProtection="1" pivotButton="0" quotePrefix="0" xfId="0">
      <alignment horizontal="left"/>
      <protection locked="0" hidden="0"/>
    </xf>
    <xf numFmtId="14" fontId="6" fillId="0" borderId="0" applyProtection="1" pivotButton="0" quotePrefix="0" xfId="0">
      <protection locked="0" hidden="0"/>
    </xf>
    <xf numFmtId="14" fontId="7" fillId="0" borderId="0" applyProtection="1" pivotButton="0" quotePrefix="0" xfId="0">
      <protection locked="0" hidden="0"/>
    </xf>
    <xf numFmtId="0" fontId="6" fillId="0" borderId="0" pivotButton="0" quotePrefix="0" xfId="0"/>
    <xf numFmtId="0" fontId="5" fillId="0" borderId="2" pivotButton="0" quotePrefix="0" xfId="0"/>
    <xf numFmtId="164" fontId="6" fillId="3" borderId="2" applyAlignment="1" pivotButton="0" quotePrefix="0" xfId="0">
      <alignment horizontal="left"/>
    </xf>
    <xf numFmtId="49" fontId="6" fillId="0" borderId="0" applyAlignment="1" applyProtection="1" pivotButton="0" quotePrefix="0" xfId="0">
      <alignment horizontal="right"/>
      <protection locked="0" hidden="0"/>
    </xf>
    <xf numFmtId="165" fontId="6" fillId="0" borderId="0" applyAlignment="1" applyProtection="1" pivotButton="0" quotePrefix="0" xfId="0">
      <alignment horizontal="right"/>
      <protection locked="0" hidden="0"/>
    </xf>
    <xf numFmtId="49" fontId="8" fillId="0" borderId="0" applyAlignment="1" applyProtection="1" pivotButton="0" quotePrefix="0" xfId="0">
      <alignment horizontal="right"/>
      <protection locked="0" hidden="0"/>
    </xf>
    <xf numFmtId="49" fontId="6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3" fillId="0" borderId="0" pivotButton="0" quotePrefix="0" xfId="0"/>
    <xf numFmtId="164" fontId="0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/>
    </xf>
    <xf numFmtId="166" fontId="8" fillId="5" borderId="6" pivotButton="0" quotePrefix="0" xfId="0"/>
    <xf numFmtId="0" fontId="8" fillId="0" borderId="7" applyAlignment="1" pivotButton="0" quotePrefix="0" xfId="0">
      <alignment horizontal="left"/>
    </xf>
    <xf numFmtId="166" fontId="8" fillId="0" borderId="7" pivotButton="0" quotePrefix="0" xfId="0"/>
    <xf numFmtId="0" fontId="8" fillId="5" borderId="7" applyAlignment="1" pivotButton="0" quotePrefix="0" xfId="0">
      <alignment horizontal="left"/>
    </xf>
    <xf numFmtId="166" fontId="8" fillId="5" borderId="7" pivotButton="0" quotePrefix="0" xfId="0"/>
    <xf numFmtId="0" fontId="8" fillId="4" borderId="8" pivotButton="0" quotePrefix="0" xfId="0"/>
    <xf numFmtId="166" fontId="6" fillId="0" borderId="9" pivotButton="0" quotePrefix="0" xfId="0"/>
    <xf numFmtId="0" fontId="6" fillId="4" borderId="6" applyAlignment="1" pivotButton="0" quotePrefix="0" xfId="0">
      <alignment horizontal="center"/>
    </xf>
    <xf numFmtId="0" fontId="8" fillId="6" borderId="7" applyAlignment="1" pivotButton="0" quotePrefix="0" xfId="0">
      <alignment horizontal="right" vertical="center"/>
    </xf>
    <xf numFmtId="0" fontId="8" fillId="6" borderId="7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8" fillId="7" borderId="7" applyAlignment="1" pivotButton="0" quotePrefix="0" xfId="0">
      <alignment horizontal="right" vertical="center"/>
    </xf>
    <xf numFmtId="0" fontId="8" fillId="7" borderId="7" pivotButton="0" quotePrefix="0" xfId="0"/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/>
    </xf>
    <xf numFmtId="0" fontId="3" fillId="5" borderId="7" applyAlignment="1" pivotButton="0" quotePrefix="0" xfId="0">
      <alignment horizontal="left" vertical="center"/>
    </xf>
    <xf numFmtId="0" fontId="3" fillId="5" borderId="7" applyAlignment="1" pivotButton="0" quotePrefix="0" xfId="0">
      <alignment horizontal="left"/>
    </xf>
    <xf numFmtId="0" fontId="10" fillId="0" borderId="0" pivotButton="0" quotePrefix="0" xfId="0"/>
    <xf numFmtId="0" fontId="3" fillId="8" borderId="7" applyAlignment="1" pivotButton="0" quotePrefix="0" xfId="0">
      <alignment horizontal="left" vertical="center"/>
    </xf>
    <xf numFmtId="0" fontId="3" fillId="8" borderId="7" applyAlignment="1" pivotButton="0" quotePrefix="0" xfId="0">
      <alignment horizontal="left"/>
    </xf>
    <xf numFmtId="0" fontId="11" fillId="0" borderId="0" pivotButton="0" quotePrefix="0" xfId="0"/>
    <xf numFmtId="14" fontId="0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10" borderId="0" pivotButton="0" quotePrefix="0" xfId="0"/>
    <xf numFmtId="0" fontId="0" fillId="0" borderId="22" applyAlignment="1" pivotButton="0" quotePrefix="0" xfId="0">
      <alignment vertical="center"/>
    </xf>
    <xf numFmtId="0" fontId="18" fillId="0" borderId="25" applyAlignment="1" pivotButton="0" quotePrefix="0" xfId="0">
      <alignment horizontal="left" vertical="center"/>
    </xf>
    <xf numFmtId="0" fontId="19" fillId="0" borderId="29" applyAlignment="1" pivotButton="0" quotePrefix="0" xfId="0">
      <alignment horizontal="left" vertical="center"/>
    </xf>
    <xf numFmtId="0" fontId="17" fillId="13" borderId="23" applyAlignment="1" pivotButton="0" quotePrefix="0" xfId="0">
      <alignment horizontal="center" vertical="center" wrapText="1"/>
    </xf>
    <xf numFmtId="0" fontId="17" fillId="13" borderId="23" applyAlignment="1" pivotButton="0" quotePrefix="1" xfId="0">
      <alignment horizontal="center" vertical="center" wrapText="1"/>
    </xf>
    <xf numFmtId="167" fontId="20" fillId="0" borderId="26" applyAlignment="1" pivotButton="0" quotePrefix="0" xfId="0">
      <alignment horizontal="left" vertical="center"/>
    </xf>
    <xf numFmtId="0" fontId="25" fillId="12" borderId="28" applyAlignment="1" pivotButton="0" quotePrefix="0" xfId="0">
      <alignment vertical="center"/>
    </xf>
    <xf numFmtId="0" fontId="25" fillId="12" borderId="28" applyAlignment="1" pivotButton="0" quotePrefix="0" xfId="0">
      <alignment horizontal="left" vertical="center"/>
    </xf>
    <xf numFmtId="168" fontId="26" fillId="0" borderId="32" applyAlignment="1" pivotButton="0" quotePrefix="0" xfId="0">
      <alignment horizontal="left" vertical="center"/>
    </xf>
    <xf numFmtId="0" fontId="26" fillId="0" borderId="32" applyAlignment="1" pivotButton="0" quotePrefix="0" xfId="0">
      <alignment horizontal="left" vertical="center"/>
    </xf>
    <xf numFmtId="0" fontId="24" fillId="0" borderId="32" pivotButton="0" quotePrefix="0" xfId="0"/>
    <xf numFmtId="0" fontId="0" fillId="0" borderId="27" pivotButton="0" quotePrefix="0" xfId="0"/>
    <xf numFmtId="167" fontId="20" fillId="0" borderId="24" applyAlignment="1" pivotButton="0" quotePrefix="0" xfId="0">
      <alignment horizontal="left" vertical="center"/>
    </xf>
    <xf numFmtId="0" fontId="0" fillId="0" borderId="22" pivotButton="0" quotePrefix="0" xfId="0"/>
    <xf numFmtId="169" fontId="23" fillId="0" borderId="25" applyAlignment="1" pivotButton="0" quotePrefix="0" xfId="0">
      <alignment horizontal="left" vertical="center"/>
    </xf>
    <xf numFmtId="169" fontId="27" fillId="0" borderId="25" applyAlignment="1" pivotButton="0" quotePrefix="0" xfId="0">
      <alignment horizontal="left" vertical="center"/>
    </xf>
    <xf numFmtId="169" fontId="26" fillId="0" borderId="29" applyAlignment="1" pivotButton="0" quotePrefix="0" xfId="0">
      <alignment horizontal="left" vertical="center"/>
    </xf>
    <xf numFmtId="0" fontId="19" fillId="0" borderId="22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2" fillId="14" borderId="41" applyAlignment="1" pivotButton="0" quotePrefix="0" xfId="0">
      <alignment horizontal="center" vertical="center" wrapText="1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0" fontId="34" fillId="15" borderId="7" applyAlignment="1" pivotButton="0" quotePrefix="0" xfId="0">
      <alignment horizontal="left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34" fillId="0" borderId="0" pivotButton="0" quotePrefix="0" xfId="0"/>
    <xf numFmtId="170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0" fontId="34" fillId="15" borderId="0" pivotButton="0" quotePrefix="0" xfId="0"/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0" fillId="10" borderId="22" pivotButton="0" quotePrefix="0" xfId="0"/>
    <xf numFmtId="0" fontId="17" fillId="13" borderId="31" applyAlignment="1" pivotButton="0" quotePrefix="1" xfId="0">
      <alignment horizontal="center" vertical="center" wrapText="1"/>
    </xf>
    <xf numFmtId="169" fontId="23" fillId="0" borderId="30" applyAlignment="1" pivotButton="0" quotePrefix="0" xfId="0">
      <alignment horizontal="left" vertical="center"/>
    </xf>
    <xf numFmtId="0" fontId="35" fillId="0" borderId="12" applyAlignment="1" pivotButton="0" quotePrefix="0" xfId="0">
      <alignment vertical="top" wrapText="1"/>
    </xf>
    <xf numFmtId="0" fontId="0" fillId="0" borderId="16" pivotButton="0" quotePrefix="0" xfId="0"/>
    <xf numFmtId="0" fontId="0" fillId="0" borderId="12" pivotButton="0" quotePrefix="0" xfId="0"/>
    <xf numFmtId="0" fontId="0" fillId="0" borderId="0" pivotButton="0" quotePrefix="0" xfId="0"/>
    <xf numFmtId="0" fontId="0" fillId="0" borderId="14" pivotButton="0" quotePrefix="0" xfId="0"/>
    <xf numFmtId="0" fontId="4" fillId="2" borderId="22" applyAlignment="1" pivotButton="0" quotePrefix="0" xfId="0">
      <alignment horizontal="left"/>
    </xf>
    <xf numFmtId="0" fontId="2" fillId="0" borderId="22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34" fillId="2" borderId="3" applyAlignment="1" pivotButton="0" quotePrefix="0" xfId="0">
      <alignment horizontal="left"/>
    </xf>
    <xf numFmtId="0" fontId="0" fillId="0" borderId="3" pivotButton="0" quotePrefix="0" xfId="0"/>
    <xf numFmtId="0" fontId="9" fillId="0" borderId="9" applyAlignment="1" pivotButton="0" quotePrefix="0" xfId="0">
      <alignment horizontal="center" wrapText="1"/>
    </xf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4" fillId="2" borderId="10" applyAlignment="1" pivotButton="0" quotePrefix="0" xfId="0">
      <alignment horizontal="left"/>
    </xf>
    <xf numFmtId="0" fontId="0" fillId="0" borderId="10" pivotButton="0" quotePrefix="0" xfId="0"/>
    <xf numFmtId="172" fontId="31" fillId="11" borderId="39" applyAlignment="1" pivotButton="0" quotePrefix="0" xfId="0">
      <alignment horizontal="center" vertical="center"/>
    </xf>
    <xf numFmtId="0" fontId="0" fillId="0" borderId="21" pivotButton="0" quotePrefix="0" xfId="0"/>
    <xf numFmtId="0" fontId="29" fillId="10" borderId="22" applyAlignment="1" pivotButton="0" quotePrefix="0" xfId="0">
      <alignment horizontal="left" vertical="center"/>
    </xf>
    <xf numFmtId="0" fontId="28" fillId="0" borderId="22" applyAlignment="1" pivotButton="0" quotePrefix="0" xfId="0">
      <alignment horizontal="center" vertical="center"/>
    </xf>
    <xf numFmtId="172" fontId="26" fillId="0" borderId="32" applyAlignment="1" pivotButton="0" quotePrefix="0" xfId="0">
      <alignment horizontal="left" vertical="center"/>
    </xf>
    <xf numFmtId="0" fontId="0" fillId="0" borderId="32" pivotButton="0" quotePrefix="0" xfId="0"/>
    <xf numFmtId="0" fontId="25" fillId="12" borderId="28" applyAlignment="1" pivotButton="0" quotePrefix="0" xfId="0">
      <alignment horizontal="left" vertical="center"/>
    </xf>
    <xf numFmtId="0" fontId="0" fillId="0" borderId="28" pivotButton="0" quotePrefix="0" xfId="0"/>
    <xf numFmtId="0" fontId="0" fillId="0" borderId="22" pivotButton="0" quotePrefix="0" xfId="0"/>
    <xf numFmtId="0" fontId="13" fillId="10" borderId="22" applyAlignment="1" pivotButton="0" quotePrefix="0" xfId="0">
      <alignment horizontal="left" vertical="center"/>
    </xf>
    <xf numFmtId="0" fontId="30" fillId="11" borderId="38" applyAlignment="1" pivotButton="0" quotePrefix="0" xfId="0">
      <alignment horizontal="center" vertical="center"/>
    </xf>
    <xf numFmtId="0" fontId="26" fillId="12" borderId="22" applyAlignment="1" pivotButton="0" quotePrefix="0" xfId="0">
      <alignment horizontal="left" vertical="center"/>
    </xf>
    <xf numFmtId="0" fontId="15" fillId="10" borderId="22" applyAlignment="1" pivotButton="0" quotePrefix="0" xfId="0">
      <alignment horizontal="left" vertical="center"/>
    </xf>
    <xf numFmtId="0" fontId="14" fillId="10" borderId="22" applyAlignment="1" pivotButton="0" quotePrefix="0" xfId="0">
      <alignment horizontal="left" vertical="center"/>
    </xf>
    <xf numFmtId="0" fontId="33" fillId="14" borderId="22" pivotButton="0" quotePrefix="0" xfId="0"/>
    <xf numFmtId="0" fontId="0" fillId="0" borderId="39" pivotButton="0" quotePrefix="0" xfId="0"/>
    <xf numFmtId="0" fontId="21" fillId="13" borderId="22" applyAlignment="1" pivotButton="0" quotePrefix="0" xfId="0">
      <alignment vertical="center"/>
    </xf>
    <xf numFmtId="0" fontId="0" fillId="0" borderId="0" pivotButton="0" quotePrefix="0" xfId="0"/>
    <xf numFmtId="0" fontId="36" fillId="0" borderId="26" applyAlignment="1" pivotButton="0" quotePrefix="0" xfId="0">
      <alignment vertical="center"/>
    </xf>
    <xf numFmtId="0" fontId="36" fillId="0" borderId="26" applyAlignment="1" pivotButton="0" quotePrefix="0" xfId="0">
      <alignment horizontal="left" vertical="center"/>
    </xf>
    <xf numFmtId="0" fontId="36" fillId="0" borderId="24" applyAlignment="1" pivotButton="0" quotePrefix="0" xfId="0">
      <alignment horizontal="left" vertical="center"/>
    </xf>
    <xf numFmtId="0" fontId="16" fillId="13" borderId="22" applyAlignment="1" pivotButton="0" quotePrefix="0" xfId="0">
      <alignment vertical="center"/>
    </xf>
    <xf numFmtId="0" fontId="37" fillId="0" borderId="30" applyAlignment="1" pivotButton="0" quotePrefix="0" xfId="0">
      <alignment vertical="center"/>
    </xf>
    <xf numFmtId="169" fontId="23" fillId="0" borderId="30" applyAlignment="1" pivotButton="0" quotePrefix="0" xfId="0">
      <alignment horizontal="right" vertical="center"/>
    </xf>
    <xf numFmtId="169" fontId="23" fillId="0" borderId="42" applyAlignment="1" pivotButton="0" quotePrefix="0" xfId="0">
      <alignment horizontal="right" vertical="center"/>
    </xf>
    <xf numFmtId="0" fontId="25" fillId="16" borderId="28" applyAlignment="1" pivotButton="0" quotePrefix="0" xfId="0">
      <alignment horizontal="left" vertical="center"/>
    </xf>
    <xf numFmtId="0" fontId="36" fillId="0" borderId="43" applyAlignment="1" pivotButton="0" quotePrefix="0" xfId="0">
      <alignment horizontal="left" vertical="center"/>
    </xf>
    <xf numFmtId="167" fontId="20" fillId="0" borderId="43" applyAlignment="1" pivotButton="0" quotePrefix="0" xfId="0">
      <alignment horizontal="left" vertical="center"/>
    </xf>
    <xf numFmtId="0" fontId="38" fillId="16" borderId="33" applyAlignment="1" pivotButton="0" quotePrefix="0" xfId="0">
      <alignment horizontal="left" vertical="center"/>
    </xf>
    <xf numFmtId="0" fontId="21" fillId="16" borderId="22" applyAlignment="1" pivotButton="0" quotePrefix="0" xfId="0">
      <alignment horizontal="left" vertical="center"/>
    </xf>
    <xf numFmtId="0" fontId="39" fillId="0" borderId="1" pivotButton="0" quotePrefix="0" xfId="0"/>
    <xf numFmtId="14" fontId="22" fillId="0" borderId="1" pivotButton="0" quotePrefix="0" xfId="0"/>
    <xf numFmtId="0" fontId="40" fillId="0" borderId="22" applyAlignment="1" pivotButton="0" quotePrefix="0" xfId="0">
      <alignment horizontal="left" vertical="center"/>
    </xf>
    <xf numFmtId="0" fontId="41" fillId="0" borderId="0" pivotButton="0" quotePrefix="0" xfId="0"/>
    <xf numFmtId="0" fontId="41" fillId="0" borderId="22" pivotButton="0" quotePrefix="0" xfId="0"/>
    <xf numFmtId="0" fontId="42" fillId="0" borderId="35" applyAlignment="1" pivotButton="0" quotePrefix="0" xfId="0">
      <alignment horizontal="left" vertical="top" wrapText="1"/>
    </xf>
    <xf numFmtId="0" fontId="35" fillId="0" borderId="34" applyAlignment="1" pivotButton="0" quotePrefix="0" xfId="0">
      <alignment horizontal="left"/>
    </xf>
    <xf numFmtId="0" fontId="35" fillId="0" borderId="40" applyAlignment="1" pivotButton="0" quotePrefix="0" xfId="0">
      <alignment horizontal="left"/>
    </xf>
    <xf numFmtId="0" fontId="35" fillId="0" borderId="33" applyAlignment="1" pivotButton="0" quotePrefix="0" xfId="0">
      <alignment horizontal="left"/>
    </xf>
    <xf numFmtId="0" fontId="35" fillId="0" borderId="22" applyAlignment="1" pivotButton="0" quotePrefix="0" xfId="0">
      <alignment horizontal="left"/>
    </xf>
    <xf numFmtId="0" fontId="35" fillId="0" borderId="36" applyAlignment="1" pivotButton="0" quotePrefix="0" xfId="0">
      <alignment horizontal="left"/>
    </xf>
    <xf numFmtId="0" fontId="35" fillId="0" borderId="37" applyAlignment="1" pivotButton="0" quotePrefix="0" xfId="0">
      <alignment horizontal="left"/>
    </xf>
    <xf numFmtId="0" fontId="35" fillId="0" borderId="1" applyAlignment="1" pivotButton="0" quotePrefix="0" xfId="0">
      <alignment horizontal="left"/>
    </xf>
    <xf numFmtId="0" fontId="35" fillId="0" borderId="20" applyAlignment="1" pivotButton="0" quotePrefix="0" xfId="0">
      <alignment horizontal="left"/>
    </xf>
    <xf numFmtId="0" fontId="12" fillId="9" borderId="6" pivotButton="0" quotePrefix="0" xfId="0"/>
    <xf numFmtId="0" fontId="12" fillId="0" borderId="7" pivotButton="0" quotePrefix="0" xfId="0"/>
    <xf numFmtId="0" fontId="12" fillId="9" borderId="7" pivotButton="0" quotePrefix="0" xfId="0"/>
    <xf numFmtId="0" fontId="43" fillId="0" borderId="15" pivotButton="0" quotePrefix="0" xfId="0"/>
    <xf numFmtId="0" fontId="43" fillId="9" borderId="44" pivotButton="0" quotePrefix="0" xfId="0"/>
    <xf numFmtId="0" fontId="43" fillId="9" borderId="15" pivotButton="0" quotePrefix="0" xfId="0"/>
    <xf numFmtId="0" fontId="17" fillId="17" borderId="23" applyAlignment="1" pivotButton="0" quotePrefix="0" xfId="0">
      <alignment horizontal="left" vertical="center" wrapText="1"/>
    </xf>
    <xf numFmtId="0" fontId="44" fillId="18" borderId="45" applyAlignment="1" pivotButton="0" quotePrefix="0" xfId="0">
      <alignment horizontal="center" vertical="center"/>
    </xf>
    <xf numFmtId="0" fontId="44" fillId="18" borderId="8" applyAlignment="1" pivotButton="0" quotePrefix="0" xfId="0">
      <alignment horizontal="center" vertical="center"/>
    </xf>
    <xf numFmtId="0" fontId="44" fillId="18" borderId="19" applyAlignment="1" pivotButton="0" quotePrefix="0" xfId="0">
      <alignment horizontal="center" vertical="center"/>
    </xf>
    <xf numFmtId="0" fontId="45" fillId="17" borderId="22" applyAlignment="1" pivotButton="0" quotePrefix="0" xfId="0">
      <alignment horizontal="center" vertical="center"/>
    </xf>
    <xf numFmtId="166" fontId="46" fillId="9" borderId="6" applyAlignment="1" pivotButton="0" quotePrefix="0" xfId="0">
      <alignment horizontal="left"/>
    </xf>
    <xf numFmtId="166" fontId="46" fillId="0" borderId="7" applyAlignment="1" pivotButton="0" quotePrefix="0" xfId="0">
      <alignment horizontal="left"/>
    </xf>
    <xf numFmtId="166" fontId="46" fillId="9" borderId="7" applyAlignment="1" pivotButton="0" quotePrefix="0" xfId="0">
      <alignment horizontal="left"/>
    </xf>
    <xf numFmtId="173" fontId="26" fillId="10" borderId="22" applyAlignment="1" pivotButton="0" quotePrefix="0" xfId="0">
      <alignment horizontal="right" vertical="center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51" fillId="0" borderId="0" pivotButton="0" quotePrefix="0" xfId="0"/>
    <xf numFmtId="0" fontId="49" fillId="10" borderId="22" applyAlignment="1" pivotButton="0" quotePrefix="0" xfId="0">
      <alignment horizontal="left" vertical="center"/>
    </xf>
    <xf numFmtId="0" fontId="50" fillId="11" borderId="38" applyAlignment="1" pivotButton="0" quotePrefix="0" xfId="0">
      <alignment horizontal="center" vertical="center"/>
    </xf>
    <xf numFmtId="0" fontId="0" fillId="0" borderId="49" pivotButton="0" quotePrefix="0" xfId="0"/>
    <xf numFmtId="177" fontId="52" fillId="11" borderId="39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50" fillId="12" borderId="28" applyAlignment="1" pivotButton="0" quotePrefix="0" xfId="0">
      <alignment horizontal="left" vertical="center"/>
    </xf>
    <xf numFmtId="175" fontId="50" fillId="19" borderId="32" applyAlignment="1" pivotButton="0" quotePrefix="0" xfId="0">
      <alignment horizontal="left" vertical="center"/>
    </xf>
    <xf numFmtId="0" fontId="50" fillId="19" borderId="32" applyAlignment="1" pivotButton="0" quotePrefix="0" xfId="0">
      <alignment horizontal="left" vertical="center"/>
    </xf>
    <xf numFmtId="0" fontId="51" fillId="10" borderId="0" pivotButton="0" quotePrefix="0" xfId="0"/>
    <xf numFmtId="167" fontId="53" fillId="0" borderId="26" applyAlignment="1" pivotButton="0" quotePrefix="0" xfId="0">
      <alignment horizontal="left" vertical="center"/>
    </xf>
    <xf numFmtId="167" fontId="53" fillId="0" borderId="24" applyAlignment="1" pivotButton="0" quotePrefix="0" xfId="0">
      <alignment horizontal="left" vertical="center"/>
    </xf>
    <xf numFmtId="167" fontId="53" fillId="0" borderId="43" applyAlignment="1" pivotButton="0" quotePrefix="0" xfId="0">
      <alignment horizontal="left" vertical="center"/>
    </xf>
    <xf numFmtId="0" fontId="54" fillId="13" borderId="0" pivotButton="0" quotePrefix="0" xfId="0"/>
    <xf numFmtId="0" fontId="54" fillId="13" borderId="54" applyAlignment="1" pivotButton="0" quotePrefix="0" xfId="0">
      <alignment horizontal="center" vertical="center" wrapText="1"/>
    </xf>
    <xf numFmtId="0" fontId="54" fillId="13" borderId="54" applyAlignment="1" pivotButton="0" quotePrefix="1" xfId="0">
      <alignment horizontal="center" vertical="center" wrapText="1"/>
    </xf>
    <xf numFmtId="0" fontId="56" fillId="10" borderId="55" applyAlignment="1" pivotButton="0" quotePrefix="0" xfId="0">
      <alignment vertical="center"/>
    </xf>
    <xf numFmtId="0" fontId="57" fillId="0" borderId="54" applyAlignment="1" pivotButton="0" quotePrefix="0" xfId="0">
      <alignment vertical="center"/>
    </xf>
    <xf numFmtId="176" fontId="55" fillId="0" borderId="54" applyAlignment="1" pivotButton="0" quotePrefix="0" xfId="0">
      <alignment vertical="center"/>
    </xf>
    <xf numFmtId="176" fontId="55" fillId="12" borderId="54" applyAlignment="1" pivotButton="0" quotePrefix="0" xfId="0">
      <alignment vertical="center"/>
    </xf>
    <xf numFmtId="0" fontId="57" fillId="10" borderId="54" applyAlignment="1" pivotButton="0" quotePrefix="0" xfId="0">
      <alignment vertical="center"/>
    </xf>
    <xf numFmtId="176" fontId="55" fillId="10" borderId="54" applyAlignment="1" pivotButton="0" quotePrefix="0" xfId="0">
      <alignment vertical="center"/>
    </xf>
    <xf numFmtId="0" fontId="57" fillId="13" borderId="54" applyAlignment="1" pivotButton="0" quotePrefix="0" xfId="0">
      <alignment vertical="center"/>
    </xf>
    <xf numFmtId="176" fontId="55" fillId="13" borderId="54" applyAlignment="1" pivotButton="0" quotePrefix="0" xfId="0">
      <alignment vertical="center"/>
    </xf>
    <xf numFmtId="0" fontId="57" fillId="17" borderId="54" applyAlignment="1" pivotButton="0" quotePrefix="0" xfId="0">
      <alignment vertical="center"/>
    </xf>
    <xf numFmtId="176" fontId="55" fillId="18" borderId="54" applyAlignment="1" pivotButton="0" quotePrefix="0" xfId="0">
      <alignment vertical="center"/>
    </xf>
    <xf numFmtId="176" fontId="55" fillId="9" borderId="54" applyAlignment="1" pivotButton="0" quotePrefix="0" xfId="0">
      <alignment vertical="center"/>
    </xf>
    <xf numFmtId="0" fontId="56" fillId="0" borderId="55" applyAlignment="1" pivotButton="0" quotePrefix="0" xfId="0">
      <alignment vertical="center"/>
    </xf>
    <xf numFmtId="0" fontId="58" fillId="12" borderId="54" pivotButton="0" quotePrefix="0" xfId="0"/>
    <xf numFmtId="176" fontId="50" fillId="12" borderId="54" pivotButton="0" quotePrefix="0" xfId="0"/>
    <xf numFmtId="0" fontId="51" fillId="0" borderId="22" pivotButton="0" quotePrefix="0" xfId="0"/>
    <xf numFmtId="0" fontId="59" fillId="12" borderId="22" pivotButton="0" quotePrefix="0" xfId="0"/>
    <xf numFmtId="0" fontId="47" fillId="0" borderId="22" pivotButton="0" quotePrefix="0" xfId="0"/>
    <xf numFmtId="0" fontId="47" fillId="0" borderId="0" pivotButton="0" quotePrefix="0" xfId="0"/>
    <xf numFmtId="176" fontId="55" fillId="0" borderId="54" pivotButton="0" quotePrefix="0" xfId="0"/>
    <xf numFmtId="173" fontId="50" fillId="0" borderId="0" pivotButton="0" quotePrefix="0" xfId="0"/>
    <xf numFmtId="0" fontId="60" fillId="13" borderId="22" pivotButton="0" quotePrefix="0" xfId="0"/>
    <xf numFmtId="0" fontId="61" fillId="13" borderId="22" pivotButton="0" quotePrefix="0" xfId="0"/>
    <xf numFmtId="0" fontId="62" fillId="0" borderId="0" pivotButton="0" quotePrefix="0" xfId="0"/>
    <xf numFmtId="0" fontId="63" fillId="0" borderId="0" pivotButton="0" quotePrefix="0" xfId="0"/>
    <xf numFmtId="178" fontId="64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48" fillId="13" borderId="0" pivotButton="0" quotePrefix="0" xfId="0"/>
    <xf numFmtId="175" fontId="0" fillId="0" borderId="0" pivotButton="0" quotePrefix="0" xfId="0"/>
    <xf numFmtId="176" fontId="0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Evan E. Gonzales</author>
  </authors>
  <commentList>
    <comment ref="F11" authorId="0" shapeId="0">
      <text>
        <t>Evan E. Gonzales:
GROUP SALES COMMISSION + ADDITIONS - DEDUCTIONS SUMMARY</t>
      </text>
    </comment>
  </commentList>
</comment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H80"/>
  <sheetViews>
    <sheetView showGridLines="0" zoomScaleNormal="100" workbookViewId="0">
      <selection activeCell="B4" sqref="B4"/>
    </sheetView>
  </sheetViews>
  <sheetFormatPr baseColWidth="8" defaultColWidth="8.7109375" defaultRowHeight="12.75" customHeight="1"/>
  <cols>
    <col width="21" customWidth="1" style="130" min="1" max="1"/>
    <col width="29.140625" customWidth="1" style="130" min="2" max="2"/>
    <col width="23" customWidth="1" style="130" min="3" max="3"/>
    <col width="22.5703125" customWidth="1" style="130" min="4" max="4"/>
    <col width="16.140625" customWidth="1" style="130" min="5" max="5"/>
    <col width="15.85546875" customWidth="1" style="130" min="6" max="6"/>
    <col width="15.42578125" customWidth="1" style="130" min="7" max="8"/>
  </cols>
  <sheetData>
    <row r="1" ht="33.75" customHeight="1" s="130">
      <c r="A1" s="103" t="inlineStr">
        <is>
          <t>SUMMARY - NPO PAYOUT - AP</t>
        </is>
      </c>
    </row>
    <row r="2" ht="12.75" customHeight="1" s="130">
      <c r="A2" s="1" t="n"/>
    </row>
    <row r="3" ht="20.25" customHeight="1" s="130">
      <c r="A3" s="102" t="inlineStr">
        <is>
          <t>PAYOUT EVENT DETAILS - SETUP</t>
        </is>
      </c>
    </row>
    <row r="4" ht="15.75" customHeight="1" s="130">
      <c r="A4" s="2" t="inlineStr">
        <is>
          <t>Event Date:</t>
        </is>
      </c>
      <c r="B4" s="3" t="n">
        <v>46270</v>
      </c>
      <c r="C4" s="4" t="n"/>
      <c r="D4" s="4" t="n"/>
      <c r="E4" s="5" t="inlineStr">
        <is>
          <t>data validation below - day of week</t>
        </is>
      </c>
      <c r="F4" s="6" t="n"/>
    </row>
    <row r="5" ht="15.75" customHeight="1" s="130">
      <c r="A5" s="7" t="inlineStr">
        <is>
          <t>Event Day of  Week:</t>
        </is>
      </c>
      <c r="B5" s="8">
        <f>B4</f>
        <v/>
      </c>
      <c r="C5" s="9" t="n"/>
      <c r="D5" s="10" t="n"/>
      <c r="E5" s="11" t="inlineStr">
        <is>
          <t>MON</t>
        </is>
      </c>
    </row>
    <row r="6" ht="15.75" customHeight="1" s="130">
      <c r="A6" s="7" t="inlineStr">
        <is>
          <t>Event Description:</t>
        </is>
      </c>
      <c r="B6" s="12" t="inlineStr">
        <is>
          <t>Football</t>
        </is>
      </c>
      <c r="C6" s="13" t="n"/>
      <c r="D6" s="13" t="n"/>
      <c r="E6" s="13" t="n"/>
    </row>
    <row r="7" ht="12.75" customHeight="1" s="130">
      <c r="A7" s="14" t="n"/>
      <c r="D7" s="15" t="n"/>
    </row>
    <row r="8" ht="12.75" customHeight="1" s="130">
      <c r="A8" s="14" t="n"/>
    </row>
    <row r="9" ht="12.75" customHeight="1" s="130">
      <c r="A9" s="14" t="n"/>
    </row>
    <row r="10" ht="21" customHeight="1" s="130">
      <c r="A10" s="105" t="inlineStr">
        <is>
          <t>SUMMARY REPORT — ASSIGNMENT-DRIVEN</t>
        </is>
      </c>
      <c r="B10" s="106" t="n"/>
      <c r="C10" s="106" t="n"/>
      <c r="D10" s="106" t="n"/>
      <c r="E10" s="106" t="n"/>
      <c r="F10" s="106" t="n"/>
      <c r="G10" s="106" t="n"/>
      <c r="H10" s="106" t="n"/>
    </row>
    <row r="11" ht="32.25" customHeight="1" s="130">
      <c r="A11" s="66" t="inlineStr">
        <is>
          <t>NPO</t>
        </is>
      </c>
      <c r="B11" s="66" t="inlineStr">
        <is>
          <t>ASSIGNMENT SALES</t>
        </is>
      </c>
      <c r="C11" s="66" t="inlineStr">
        <is>
          <t>CONTRACT DONATION</t>
        </is>
      </c>
      <c r="D11" s="66" t="inlineStr">
        <is>
          <t>TIPS</t>
        </is>
      </c>
      <c r="E11" s="66" t="inlineStr">
        <is>
          <t>TOTAL PAYOUT*</t>
        </is>
      </c>
      <c r="F11" s="16" t="inlineStr">
        <is>
          <t>GROSS COMM</t>
        </is>
      </c>
      <c r="G11" s="16" t="inlineStr">
        <is>
          <t xml:space="preserve"> GRATUITIES</t>
        </is>
      </c>
      <c r="H11" s="17" t="inlineStr">
        <is>
          <t>TOTAL DUE:</t>
        </is>
      </c>
    </row>
    <row r="12" ht="15" customHeight="1" s="130">
      <c r="A12" s="18" t="inlineStr">
        <is>
          <t>ARVC</t>
        </is>
      </c>
      <c r="B12" s="172">
        <f>SUMIFS('CONTRACT CALC'!$J$13:$J$112,'CONTRACT CALC'!$B$13:$B$112,A12)</f>
        <v/>
      </c>
      <c r="C12" s="172">
        <f>SUMIFS('CONTRACT CALC'!$K$13:$K$112,'CONTRACT CALC'!$B$13:$B$112,A12)</f>
        <v/>
      </c>
      <c r="D12" s="173">
        <f>SUMIFS('TIPS DATA'!$H$2:$H$101,'TIPS DATA'!$C$2:$C$101,A12)</f>
        <v/>
      </c>
      <c r="E12" s="172">
        <f>C12+D12</f>
        <v/>
      </c>
      <c r="F12" s="19" t="n"/>
      <c r="G12" s="19" t="n"/>
      <c r="H12" s="19" t="n"/>
    </row>
    <row r="13" ht="15" customHeight="1" s="130">
      <c r="A13" s="20" t="inlineStr">
        <is>
          <t>AIRFORCE</t>
        </is>
      </c>
      <c r="B13" s="174">
        <f>SUMIFS('CONTRACT CALC'!$J$13:$J$112,'CONTRACT CALC'!$B$13:$B$112,A13)</f>
        <v/>
      </c>
      <c r="C13" s="174">
        <f>SUMIFS('CONTRACT CALC'!$K$13:$K$112,'CONTRACT CALC'!$B$13:$B$112,A13)</f>
        <v/>
      </c>
      <c r="D13" s="175">
        <f>SUMIFS('TIPS DATA'!$H$2:$H$101,'TIPS DATA'!$C$2:$C$101,A13)</f>
        <v/>
      </c>
      <c r="E13" s="174">
        <f>C13+D13</f>
        <v/>
      </c>
      <c r="F13" s="21" t="n"/>
      <c r="G13" s="21" t="n"/>
      <c r="H13" s="21" t="n"/>
    </row>
    <row r="14" ht="15" customHeight="1" s="130">
      <c r="A14" s="22" t="inlineStr">
        <is>
          <t>UNITED FIT</t>
        </is>
      </c>
      <c r="B14" s="176">
        <f>SUMIFS('CONTRACT CALC'!$J$13:$J$112,'CONTRACT CALC'!$B$13:$B$112,A14)</f>
        <v/>
      </c>
      <c r="C14" s="176">
        <f>SUMIFS('CONTRACT CALC'!$K$13:$K$112,'CONTRACT CALC'!$B$13:$B$112,A14)</f>
        <v/>
      </c>
      <c r="D14" s="177">
        <f>SUMIFS('TIPS DATA'!$H$2:$H$101,'TIPS DATA'!$C$2:$C$101,A14)</f>
        <v/>
      </c>
      <c r="E14" s="176">
        <f>C14+D14</f>
        <v/>
      </c>
      <c r="F14" s="23" t="n"/>
      <c r="G14" s="23" t="n"/>
      <c r="H14" s="23" t="n"/>
    </row>
    <row r="15" ht="15" customHeight="1" s="130">
      <c r="A15" s="20" t="inlineStr">
        <is>
          <t>DCVA</t>
        </is>
      </c>
      <c r="B15" s="174">
        <f>SUMIFS('CONTRACT CALC'!$J$13:$J$112,'CONTRACT CALC'!$B$13:$B$112,A15)</f>
        <v/>
      </c>
      <c r="C15" s="174">
        <f>SUMIFS('CONTRACT CALC'!$K$13:$K$112,'CONTRACT CALC'!$B$13:$B$112,A15)</f>
        <v/>
      </c>
      <c r="D15" s="175">
        <f>SUMIFS('TIPS DATA'!$H$2:$H$101,'TIPS DATA'!$C$2:$C$101,A15)</f>
        <v/>
      </c>
      <c r="E15" s="174">
        <f>C15+D15</f>
        <v/>
      </c>
      <c r="F15" s="21" t="n"/>
      <c r="G15" s="21" t="n"/>
      <c r="H15" s="21" t="n"/>
    </row>
    <row r="16" ht="15" customHeight="1" s="130">
      <c r="A16" s="22" t="inlineStr">
        <is>
          <t>DEL N CHEER</t>
        </is>
      </c>
      <c r="B16" s="176">
        <f>SUMIFS('CONTRACT CALC'!$J$13:$J$112,'CONTRACT CALC'!$B$13:$B$112,A16)</f>
        <v/>
      </c>
      <c r="C16" s="176">
        <f>SUMIFS('CONTRACT CALC'!$K$13:$K$112,'CONTRACT CALC'!$B$13:$B$112,A16)</f>
        <v/>
      </c>
      <c r="D16" s="177">
        <f>SUMIFS('TIPS DATA'!$H$2:$H$101,'TIPS DATA'!$C$2:$C$101,A16)</f>
        <v/>
      </c>
      <c r="E16" s="176">
        <f>C16+D16</f>
        <v/>
      </c>
      <c r="F16" s="23" t="n"/>
      <c r="G16" s="23" t="n"/>
      <c r="H16" s="23" t="n"/>
    </row>
    <row r="17" ht="15" customHeight="1" s="130">
      <c r="A17" s="20" t="inlineStr">
        <is>
          <t>RIO GRANDE RGHS</t>
        </is>
      </c>
      <c r="B17" s="174">
        <f>SUMIFS('CONTRACT CALC'!$J$13:$J$112,'CONTRACT CALC'!$B$13:$B$112,A17)</f>
        <v/>
      </c>
      <c r="C17" s="174">
        <f>SUMIFS('CONTRACT CALC'!$K$13:$K$112,'CONTRACT CALC'!$B$13:$B$112,A17)</f>
        <v/>
      </c>
      <c r="D17" s="175">
        <f>SUMIFS('TIPS DATA'!$H$2:$H$101,'TIPS DATA'!$C$2:$C$101,A17)</f>
        <v/>
      </c>
      <c r="E17" s="174">
        <f>C17+D17</f>
        <v/>
      </c>
      <c r="F17" s="21" t="n"/>
      <c r="G17" s="21" t="n"/>
      <c r="H17" s="21" t="n"/>
    </row>
    <row r="18" ht="15" customHeight="1" s="130">
      <c r="A18" s="22" t="inlineStr">
        <is>
          <t>VICTORY OUTREACH</t>
        </is>
      </c>
      <c r="B18" s="176">
        <f>SUMIFS('CONTRACT CALC'!$J$13:$J$112,'CONTRACT CALC'!$B$13:$B$112,A18)</f>
        <v/>
      </c>
      <c r="C18" s="176">
        <f>SUMIFS('CONTRACT CALC'!$K$13:$K$112,'CONTRACT CALC'!$B$13:$B$112,A18)</f>
        <v/>
      </c>
      <c r="D18" s="177">
        <f>SUMIFS('TIPS DATA'!$H$2:$H$101,'TIPS DATA'!$C$2:$C$101,A18)</f>
        <v/>
      </c>
      <c r="E18" s="176">
        <f>C18+D18</f>
        <v/>
      </c>
      <c r="F18" s="23" t="n"/>
      <c r="G18" s="23" t="n"/>
      <c r="H18" s="23" t="n"/>
    </row>
    <row r="19" ht="15.75" customHeight="1" s="130">
      <c r="A19" s="73" t="inlineStr">
        <is>
          <t>TOTAL</t>
        </is>
      </c>
      <c r="B19" s="178">
        <f>SUM(B12:B18)</f>
        <v/>
      </c>
      <c r="C19" s="178">
        <f>SUM(C12:C18)</f>
        <v/>
      </c>
      <c r="D19" s="179">
        <f>SUM(D12:D18)</f>
        <v/>
      </c>
      <c r="E19" s="178">
        <f>SUM(E12:E18)</f>
        <v/>
      </c>
      <c r="F19" s="21" t="n"/>
      <c r="G19" s="21" t="n"/>
      <c r="H19" s="21" t="n"/>
    </row>
    <row r="20" ht="16.5" customHeight="1" s="130">
      <c r="A20" s="24" t="n"/>
      <c r="B20" s="24" t="n"/>
      <c r="C20" s="24" t="n"/>
      <c r="D20" s="24" t="n"/>
      <c r="E20" s="25" t="n"/>
      <c r="F20" s="25" t="n"/>
      <c r="G20" s="25" t="n"/>
      <c r="H20" s="25" t="n"/>
    </row>
    <row r="21">
      <c r="A21" s="180" t="inlineStr">
        <is>
          <t>VENDOR PAYOUT is the reusable settlement OUTPUT controlled by Event Date + Payee/NPO. Update source data, select Event + Payee on VENDOR PAYOUT, review, export PDF. One-way only: SOURCE → CALCULATION → OUTPUT.</t>
        </is>
      </c>
    </row>
    <row r="22"/>
    <row r="23" ht="21" customHeight="1" s="130">
      <c r="A23" s="111" t="inlineStr">
        <is>
          <t>SETUP - STAND LOCATIONS</t>
        </is>
      </c>
      <c r="B23" s="112" t="n"/>
      <c r="C23" s="112" t="n"/>
      <c r="D23" s="112" t="n"/>
      <c r="E23" s="112" t="n"/>
      <c r="F23" s="112" t="n"/>
      <c r="G23" s="112" t="n"/>
      <c r="H23" s="112" t="n"/>
    </row>
    <row r="24" ht="16.5" customHeight="1" s="130">
      <c r="A24" s="26" t="inlineStr">
        <is>
          <t>STAND ID</t>
        </is>
      </c>
      <c r="B24" s="26" t="inlineStr">
        <is>
          <t>STAND DESCRIPTION</t>
        </is>
      </c>
    </row>
    <row r="25" ht="15" customHeight="1" s="130">
      <c r="A25" s="27" t="inlineStr">
        <is>
          <t>BASEBALL</t>
        </is>
      </c>
      <c r="B25" s="28" t="inlineStr">
        <is>
          <t>TRAILER</t>
        </is>
      </c>
      <c r="C25" s="14" t="inlineStr">
        <is>
          <t>baseball</t>
        </is>
      </c>
      <c r="D25" s="29" t="n"/>
      <c r="E25" s="97" t="inlineStr">
        <is>
          <t>Architecture: Location Master identifies physical locations. NPO ownership belongs in EVENT ASSIGNMENT.</t>
        </is>
      </c>
      <c r="F25" s="98" t="n"/>
      <c r="G25" s="98" t="n"/>
      <c r="H25" s="99" t="n"/>
    </row>
    <row r="26" ht="15" customHeight="1" s="130">
      <c r="A26" s="27" t="inlineStr">
        <is>
          <t>207 - PREM</t>
        </is>
      </c>
      <c r="B26" s="28" t="inlineStr">
        <is>
          <t>DESSERT CART</t>
        </is>
      </c>
      <c r="C26" s="14" t="inlineStr">
        <is>
          <t>PIT</t>
        </is>
      </c>
      <c r="D26" s="108" t="n"/>
      <c r="H26" s="101" t="n"/>
    </row>
    <row r="27" ht="15.75" customHeight="1" s="130">
      <c r="A27" s="32" t="inlineStr">
        <is>
          <t>PREM 000</t>
        </is>
      </c>
      <c r="B27" s="33" t="inlineStr">
        <is>
          <t>PREMIUM BANQUET</t>
        </is>
      </c>
      <c r="C27" s="14" t="inlineStr">
        <is>
          <t>PIT</t>
        </is>
      </c>
      <c r="D27" s="108" t="n"/>
      <c r="E27" s="101" t="n"/>
    </row>
    <row r="28" ht="12.75" customHeight="1" s="130">
      <c r="A28" s="34" t="inlineStr">
        <is>
          <t xml:space="preserve">FB 100 </t>
        </is>
      </c>
      <c r="B28" s="35" t="inlineStr">
        <is>
          <t xml:space="preserve"> TRAILER N CONCOURSE</t>
        </is>
      </c>
      <c r="C28" s="14" t="inlineStr">
        <is>
          <t>FB</t>
        </is>
      </c>
      <c r="D28" s="107" t="inlineStr">
        <is>
          <t>MyVenue Reporting - displays this amount as "net sales" on SOME reports. POS Sales (Gross) = Net Sales</t>
        </is>
      </c>
      <c r="E28" s="99" t="n"/>
    </row>
    <row r="29" ht="12.75" customHeight="1" s="130">
      <c r="A29" s="36" t="inlineStr">
        <is>
          <t xml:space="preserve">FB 100B </t>
        </is>
      </c>
      <c r="B29" s="37" t="inlineStr">
        <is>
          <t xml:space="preserve"> MBP TRAILER N CONCOURSE</t>
        </is>
      </c>
      <c r="C29" s="14" t="inlineStr">
        <is>
          <t>FB</t>
        </is>
      </c>
      <c r="D29" s="108" t="n"/>
      <c r="E29" s="101" t="n"/>
    </row>
    <row r="30" ht="13.5" customHeight="1" s="130">
      <c r="A30" s="34" t="inlineStr">
        <is>
          <t xml:space="preserve">FB 101 </t>
        </is>
      </c>
      <c r="B30" s="35" t="inlineStr">
        <is>
          <t xml:space="preserve"> STADIUM SIPS SHACK SW</t>
        </is>
      </c>
      <c r="C30" s="14" t="inlineStr">
        <is>
          <t>FB</t>
        </is>
      </c>
      <c r="D30" s="109" t="n"/>
      <c r="E30" s="110" t="n"/>
    </row>
    <row r="31" ht="12.75" customHeight="1" s="130">
      <c r="A31" s="36" t="inlineStr">
        <is>
          <t xml:space="preserve">FB 102 </t>
        </is>
      </c>
      <c r="B31" s="37" t="inlineStr">
        <is>
          <t xml:space="preserve"> TOWER SOUTH</t>
        </is>
      </c>
      <c r="C31" s="14" t="inlineStr">
        <is>
          <t>FB</t>
        </is>
      </c>
    </row>
    <row r="32" ht="15.75" customHeight="1" s="130">
      <c r="A32" s="34" t="inlineStr">
        <is>
          <t xml:space="preserve">FB 103 </t>
        </is>
      </c>
      <c r="B32" s="35" t="inlineStr">
        <is>
          <t xml:space="preserve"> TOWER NORTH</t>
        </is>
      </c>
      <c r="C32" s="14" t="inlineStr">
        <is>
          <t>FB</t>
        </is>
      </c>
      <c r="D32" s="104" t="n"/>
    </row>
    <row r="33" ht="12.75" customHeight="1" s="130">
      <c r="A33" s="36" t="inlineStr">
        <is>
          <t xml:space="preserve">FB 104 </t>
        </is>
      </c>
      <c r="B33" s="37" t="inlineStr">
        <is>
          <t xml:space="preserve"> RED RALLY NORTH WEST</t>
        </is>
      </c>
      <c r="C33" s="14" t="inlineStr">
        <is>
          <t>FB</t>
        </is>
      </c>
    </row>
    <row r="34" ht="12.75" customHeight="1" s="130">
      <c r="A34" s="34" t="inlineStr">
        <is>
          <t xml:space="preserve">FB 105 </t>
        </is>
      </c>
      <c r="B34" s="35" t="inlineStr">
        <is>
          <t xml:space="preserve"> NW SPECIALTY DAWG 2.0</t>
        </is>
      </c>
      <c r="C34" s="14" t="inlineStr">
        <is>
          <t>FB</t>
        </is>
      </c>
    </row>
    <row r="35" ht="12.75" customHeight="1" s="130">
      <c r="A35" s="36" t="inlineStr">
        <is>
          <t xml:space="preserve">FB 106 </t>
        </is>
      </c>
      <c r="B35" s="37" t="inlineStr">
        <is>
          <t>RED RALLY NORTH EAST</t>
        </is>
      </c>
      <c r="C35" s="14" t="inlineStr">
        <is>
          <t>FB</t>
        </is>
      </c>
    </row>
    <row r="36" ht="15.75" customHeight="1" s="130">
      <c r="A36" s="34" t="inlineStr">
        <is>
          <t xml:space="preserve">FB 107 </t>
        </is>
      </c>
      <c r="B36" s="35" t="inlineStr">
        <is>
          <t>NE SPECIALTY DAWG O.G.</t>
        </is>
      </c>
      <c r="C36" s="14" t="inlineStr">
        <is>
          <t>FB</t>
        </is>
      </c>
      <c r="D36" s="38" t="inlineStr">
        <is>
          <t>PRICE LEVEL - SALES NET - SUMMARY EACH</t>
        </is>
      </c>
    </row>
    <row r="37" ht="12.75" customHeight="1" s="130">
      <c r="A37" s="36" t="inlineStr">
        <is>
          <t xml:space="preserve">FB 108 </t>
        </is>
      </c>
      <c r="B37" s="37" t="inlineStr">
        <is>
          <t xml:space="preserve"> GRAB N GO  NW</t>
        </is>
      </c>
      <c r="C37" s="14" t="inlineStr">
        <is>
          <t>FB</t>
        </is>
      </c>
    </row>
    <row r="38" ht="12.75" customHeight="1" s="130">
      <c r="A38" s="34" t="inlineStr">
        <is>
          <t xml:space="preserve">FB 109 </t>
        </is>
      </c>
      <c r="B38" s="35" t="inlineStr">
        <is>
          <t xml:space="preserve"> MBP  NORTH EAST</t>
        </is>
      </c>
      <c r="C38" s="14" t="inlineStr">
        <is>
          <t>FB</t>
        </is>
      </c>
    </row>
    <row r="39" ht="12.75" customHeight="1" s="130">
      <c r="A39" s="36" t="inlineStr">
        <is>
          <t xml:space="preserve">FB 109B </t>
        </is>
      </c>
      <c r="B39" s="37" t="inlineStr">
        <is>
          <t xml:space="preserve"> MBP  NORTH EAST 2.0 POLE</t>
        </is>
      </c>
      <c r="C39" s="14" t="inlineStr">
        <is>
          <t>FB</t>
        </is>
      </c>
    </row>
    <row r="40" ht="12.75" customHeight="1" s="130">
      <c r="A40" s="34" t="inlineStr">
        <is>
          <t xml:space="preserve">FB 110 </t>
        </is>
      </c>
      <c r="B40" s="35" t="inlineStr">
        <is>
          <t xml:space="preserve"> MBP  SHIVERS (NW)</t>
        </is>
      </c>
      <c r="C40" s="14" t="inlineStr">
        <is>
          <t>FB</t>
        </is>
      </c>
    </row>
    <row r="41" ht="12.75" customHeight="1" s="130">
      <c r="A41" s="36" t="inlineStr">
        <is>
          <t xml:space="preserve">FB 111 </t>
        </is>
      </c>
      <c r="B41" s="37" t="inlineStr">
        <is>
          <t xml:space="preserve"> MBP  NE PEPSI TRAILER</t>
        </is>
      </c>
      <c r="C41" s="14" t="inlineStr">
        <is>
          <t>FB</t>
        </is>
      </c>
    </row>
    <row r="42" ht="12.75" customHeight="1" s="130">
      <c r="A42" s="34" t="inlineStr">
        <is>
          <t xml:space="preserve">FB 112 </t>
        </is>
      </c>
      <c r="B42" s="35" t="inlineStr">
        <is>
          <t xml:space="preserve"> MBP  STUDENT ZONE (SE)</t>
        </is>
      </c>
      <c r="C42" s="14" t="inlineStr">
        <is>
          <t>FB</t>
        </is>
      </c>
    </row>
    <row r="43" ht="12.75" customHeight="1" s="130">
      <c r="A43" s="36" t="inlineStr">
        <is>
          <t xml:space="preserve">FB 113 </t>
        </is>
      </c>
      <c r="B43" s="37" t="inlineStr">
        <is>
          <t xml:space="preserve"> MBP  MINI MELTS (NW)</t>
        </is>
      </c>
      <c r="C43" s="14" t="inlineStr">
        <is>
          <t>FB</t>
        </is>
      </c>
    </row>
    <row r="44" ht="12.75" customHeight="1" s="130">
      <c r="A44" s="34" t="inlineStr">
        <is>
          <t xml:space="preserve">FB 113B </t>
        </is>
      </c>
      <c r="B44" s="35" t="inlineStr">
        <is>
          <t xml:space="preserve"> MBP  MINI MELTS (NE)</t>
        </is>
      </c>
      <c r="C44" s="14" t="inlineStr">
        <is>
          <t>FB</t>
        </is>
      </c>
    </row>
    <row r="45" ht="12.75" customHeight="1" s="130">
      <c r="A45" s="36" t="inlineStr">
        <is>
          <t xml:space="preserve">FB 114 </t>
        </is>
      </c>
      <c r="B45" s="37" t="inlineStr">
        <is>
          <t xml:space="preserve"> MBP  WATER (SE)</t>
        </is>
      </c>
      <c r="C45" s="14" t="inlineStr">
        <is>
          <t>FB</t>
        </is>
      </c>
    </row>
    <row r="46" ht="12.75" customHeight="1" s="130">
      <c r="A46" s="34" t="inlineStr">
        <is>
          <t xml:space="preserve">FB 115 </t>
        </is>
      </c>
      <c r="B46" s="35" t="inlineStr">
        <is>
          <t xml:space="preserve"> MBP  WATER (NE)</t>
        </is>
      </c>
      <c r="C46" s="14" t="inlineStr">
        <is>
          <t>FB</t>
        </is>
      </c>
    </row>
    <row r="47" ht="12.75" customHeight="1" s="130">
      <c r="A47" s="36" t="inlineStr">
        <is>
          <t xml:space="preserve">FB 116 </t>
        </is>
      </c>
      <c r="B47" s="37" t="inlineStr">
        <is>
          <t xml:space="preserve"> MBP  NORTH WEST</t>
        </is>
      </c>
      <c r="C47" s="14" t="inlineStr">
        <is>
          <t>FB</t>
        </is>
      </c>
    </row>
    <row r="48" ht="12.75" customHeight="1" s="130">
      <c r="A48" s="34" t="inlineStr">
        <is>
          <t xml:space="preserve">FB 116B </t>
        </is>
      </c>
      <c r="B48" s="35" t="inlineStr">
        <is>
          <t xml:space="preserve"> MBP  NORTH WEST 2.0 POLE</t>
        </is>
      </c>
      <c r="C48" s="14" t="inlineStr">
        <is>
          <t>FB</t>
        </is>
      </c>
    </row>
    <row r="49" ht="12.75" customHeight="1" s="130">
      <c r="A49" s="36" t="inlineStr">
        <is>
          <t xml:space="preserve">FB 117 </t>
        </is>
      </c>
      <c r="B49" s="37" t="inlineStr">
        <is>
          <t xml:space="preserve"> MBP ELOTICO CART (NW)</t>
        </is>
      </c>
      <c r="C49" s="14" t="inlineStr">
        <is>
          <t>FB</t>
        </is>
      </c>
    </row>
    <row r="50" ht="12.75" customHeight="1" s="130">
      <c r="A50" s="34" t="inlineStr">
        <is>
          <t xml:space="preserve">FB 118 </t>
        </is>
      </c>
      <c r="B50" s="35" t="inlineStr">
        <is>
          <t xml:space="preserve"> MBP ELOTICO CART (SE)</t>
        </is>
      </c>
      <c r="C50" s="14" t="inlineStr">
        <is>
          <t>FB</t>
        </is>
      </c>
    </row>
    <row r="51" ht="12.75" customHeight="1" s="130">
      <c r="A51" s="36" t="inlineStr">
        <is>
          <t xml:space="preserve">FB 119 </t>
        </is>
      </c>
      <c r="B51" s="37" t="inlineStr">
        <is>
          <t xml:space="preserve"> HAWK VENDORS</t>
        </is>
      </c>
      <c r="C51" s="14" t="inlineStr">
        <is>
          <t>FB</t>
        </is>
      </c>
    </row>
    <row r="52" ht="12.75" customHeight="1" s="130">
      <c r="A52" s="34" t="inlineStr">
        <is>
          <t xml:space="preserve">FB 120 </t>
        </is>
      </c>
      <c r="B52" s="35" t="inlineStr">
        <is>
          <t xml:space="preserve"> MBP N. SCOREBOARD</t>
        </is>
      </c>
      <c r="C52" s="14" t="inlineStr">
        <is>
          <t>FB</t>
        </is>
      </c>
    </row>
    <row r="53" ht="12.75" customHeight="1" s="130">
      <c r="A53" s="36" t="inlineStr">
        <is>
          <t xml:space="preserve">FB 151 </t>
        </is>
      </c>
      <c r="B53" s="37" t="inlineStr">
        <is>
          <t xml:space="preserve"> SUB SUGAR SHIVERS</t>
        </is>
      </c>
      <c r="C53" s="14" t="inlineStr">
        <is>
          <t>FB</t>
        </is>
      </c>
    </row>
    <row r="54" ht="12.75" customHeight="1" s="130">
      <c r="A54" s="34" t="inlineStr">
        <is>
          <t>BB 100</t>
        </is>
      </c>
      <c r="B54" s="35" t="inlineStr">
        <is>
          <t>BASEBALL TRAILER</t>
        </is>
      </c>
      <c r="C54" s="14" t="inlineStr">
        <is>
          <t>BB</t>
        </is>
      </c>
    </row>
    <row r="55" ht="12.75" customHeight="1" s="130">
      <c r="A55" s="39" t="inlineStr">
        <is>
          <t>PIT 100</t>
        </is>
      </c>
      <c r="B55" s="40" t="inlineStr">
        <is>
          <t>VENDING (HAWK)</t>
        </is>
      </c>
      <c r="C55" s="14" t="inlineStr">
        <is>
          <t>PIT</t>
        </is>
      </c>
    </row>
    <row r="56" ht="12.75" customHeight="1" s="130">
      <c r="A56" s="34" t="inlineStr">
        <is>
          <t>PIT 101</t>
        </is>
      </c>
      <c r="B56" s="35" t="inlineStr">
        <is>
          <t>A - POP &amp; POUR</t>
        </is>
      </c>
      <c r="C56" s="14" t="inlineStr">
        <is>
          <t>PIT</t>
        </is>
      </c>
    </row>
    <row r="57" ht="12.75" customHeight="1" s="130">
      <c r="A57" s="39" t="inlineStr">
        <is>
          <t>PIT 101</t>
        </is>
      </c>
      <c r="B57" s="40" t="inlineStr">
        <is>
          <t>B -  NACHOMAMA</t>
        </is>
      </c>
      <c r="C57" s="14" t="inlineStr">
        <is>
          <t>PIT</t>
        </is>
      </c>
    </row>
    <row r="58" ht="12.75" customHeight="1" s="130">
      <c r="A58" s="34" t="inlineStr">
        <is>
          <t>PIT 102</t>
        </is>
      </c>
      <c r="B58" s="35" t="inlineStr">
        <is>
          <t>THE PIT STOP (U)</t>
        </is>
      </c>
      <c r="C58" s="14" t="inlineStr">
        <is>
          <t>PIT</t>
        </is>
      </c>
    </row>
    <row r="59" ht="12.75" customHeight="1" s="130">
      <c r="A59" s="39" t="inlineStr">
        <is>
          <t>PIT 103</t>
        </is>
      </c>
      <c r="B59" s="40" t="inlineStr">
        <is>
          <t>SUB SUGAR SHIVERS (V)</t>
        </is>
      </c>
      <c r="C59" s="14" t="inlineStr">
        <is>
          <t>PIT</t>
        </is>
      </c>
    </row>
    <row r="60" ht="12.75" customHeight="1" s="130">
      <c r="A60" s="34" t="inlineStr">
        <is>
          <t>PIT 104</t>
        </is>
      </c>
      <c r="B60" s="35" t="inlineStr">
        <is>
          <t>BURQUE BREWS (W)</t>
        </is>
      </c>
      <c r="C60" s="14" t="inlineStr">
        <is>
          <t>PIT</t>
        </is>
      </c>
    </row>
    <row r="61" ht="12.75" customHeight="1" s="130">
      <c r="A61" s="39" t="inlineStr">
        <is>
          <t>PIT 105</t>
        </is>
      </c>
      <c r="B61" s="40" t="inlineStr">
        <is>
          <t>HOWL VODKA LEMONADE (Z)</t>
        </is>
      </c>
      <c r="C61" s="14" t="inlineStr">
        <is>
          <t>PIT</t>
        </is>
      </c>
    </row>
    <row r="62" ht="12.75" customHeight="1" s="130">
      <c r="A62" s="34" t="inlineStr">
        <is>
          <t>PIT 106</t>
        </is>
      </c>
      <c r="B62" s="35" t="inlineStr">
        <is>
          <t>LOUIE'S DAWG HOUSE (C)</t>
        </is>
      </c>
      <c r="C62" s="14" t="inlineStr">
        <is>
          <t>PIT</t>
        </is>
      </c>
    </row>
    <row r="63" ht="12.75" customHeight="1" s="130">
      <c r="A63" s="39" t="inlineStr">
        <is>
          <t>PIT 107</t>
        </is>
      </c>
      <c r="B63" s="40" t="inlineStr">
        <is>
          <t>SUB - LAGUNA BURGER (G)</t>
        </is>
      </c>
      <c r="C63" s="14" t="inlineStr">
        <is>
          <t>PIT</t>
        </is>
      </c>
    </row>
    <row r="64" ht="12.75" customHeight="1" s="130">
      <c r="A64" s="34" t="inlineStr">
        <is>
          <t>PIT 108</t>
        </is>
      </c>
      <c r="B64" s="35" t="inlineStr">
        <is>
          <t>HOOP &amp; GO (J)</t>
        </is>
      </c>
      <c r="C64" s="14" t="inlineStr">
        <is>
          <t>PIT</t>
        </is>
      </c>
    </row>
    <row r="65" ht="12.75" customHeight="1" s="130">
      <c r="A65" s="39" t="inlineStr">
        <is>
          <t>PIT 109</t>
        </is>
      </c>
      <c r="B65" s="40" t="inlineStr">
        <is>
          <t>ALLEYOOP (L)</t>
        </is>
      </c>
      <c r="C65" s="14" t="inlineStr">
        <is>
          <t>PIT</t>
        </is>
      </c>
    </row>
    <row r="66" ht="12.75" customHeight="1" s="130">
      <c r="A66" s="34" t="inlineStr">
        <is>
          <t>PIT 110</t>
        </is>
      </c>
      <c r="B66" s="35" t="inlineStr">
        <is>
          <t>PAPITAS (M)</t>
        </is>
      </c>
      <c r="C66" s="14" t="inlineStr">
        <is>
          <t>PIT</t>
        </is>
      </c>
    </row>
    <row r="67" ht="12.75" customHeight="1" s="130">
      <c r="A67" s="39" t="inlineStr">
        <is>
          <t>PIT 111</t>
        </is>
      </c>
      <c r="B67" s="40" t="inlineStr">
        <is>
          <t>MBP ELEVATOR (Q)</t>
        </is>
      </c>
      <c r="C67" s="14" t="inlineStr">
        <is>
          <t>PIT</t>
        </is>
      </c>
    </row>
    <row r="68" ht="12.75" customHeight="1" s="130">
      <c r="A68" s="34" t="inlineStr">
        <is>
          <t>PIT 112</t>
        </is>
      </c>
      <c r="B68" s="35" t="inlineStr">
        <is>
          <t>MBP NACHOMAMA (R)</t>
        </is>
      </c>
      <c r="C68" s="14" t="inlineStr">
        <is>
          <t>PIT</t>
        </is>
      </c>
    </row>
    <row r="69" ht="12.75" customHeight="1" s="130">
      <c r="A69" s="39" t="inlineStr">
        <is>
          <t>PIT 113</t>
        </is>
      </c>
      <c r="B69" s="40" t="inlineStr">
        <is>
          <t>MBP SUGAR SHIVERS (V)</t>
        </is>
      </c>
      <c r="C69" s="14" t="inlineStr">
        <is>
          <t>PIT</t>
        </is>
      </c>
    </row>
    <row r="70" ht="12.75" customHeight="1" s="130">
      <c r="A70" s="34" t="inlineStr">
        <is>
          <t>PIT 114</t>
        </is>
      </c>
      <c r="B70" s="35" t="inlineStr">
        <is>
          <t>MBP SUGAR SHIVERS (V) 2.0</t>
        </is>
      </c>
      <c r="C70" s="14" t="inlineStr">
        <is>
          <t>PIT</t>
        </is>
      </c>
    </row>
    <row r="71" ht="12.75" customHeight="1" s="130">
      <c r="A71" s="39" t="inlineStr">
        <is>
          <t>PIT 115</t>
        </is>
      </c>
      <c r="B71" s="40" t="inlineStr">
        <is>
          <t>MBP THE DAWG HOUSE (C)</t>
        </is>
      </c>
      <c r="C71" s="14" t="inlineStr">
        <is>
          <t>PIT</t>
        </is>
      </c>
    </row>
    <row r="72" ht="12.75" customHeight="1" s="130">
      <c r="A72" s="34" t="inlineStr">
        <is>
          <t>PIT 116</t>
        </is>
      </c>
      <c r="B72" s="35" t="inlineStr">
        <is>
          <t>MBP LAGUNA (G)</t>
        </is>
      </c>
      <c r="C72" s="14" t="inlineStr">
        <is>
          <t>PIT</t>
        </is>
      </c>
    </row>
    <row r="73" ht="12.75" customHeight="1" s="130">
      <c r="A73" s="39" t="inlineStr">
        <is>
          <t>PIT 117</t>
        </is>
      </c>
      <c r="B73" s="40" t="inlineStr">
        <is>
          <t>MBP J/L CORNER (J/L)</t>
        </is>
      </c>
      <c r="C73" s="14" t="inlineStr">
        <is>
          <t>PIT</t>
        </is>
      </c>
    </row>
    <row r="74" ht="12.75" customHeight="1" s="130">
      <c r="A74" s="34" t="inlineStr">
        <is>
          <t>PIT 118</t>
        </is>
      </c>
      <c r="B74" s="35" t="inlineStr">
        <is>
          <t>MBP PRETZEL CART</t>
        </is>
      </c>
      <c r="C74" s="14" t="inlineStr">
        <is>
          <t>PIT</t>
        </is>
      </c>
    </row>
    <row r="75" ht="12.75" customHeight="1" s="130">
      <c r="A75" s="39" t="inlineStr">
        <is>
          <t>PIT 119</t>
        </is>
      </c>
      <c r="B75" s="40" t="inlineStr">
        <is>
          <t>MBP NACHO HANDICAP (R)</t>
        </is>
      </c>
      <c r="C75" s="14" t="inlineStr">
        <is>
          <t>PIT</t>
        </is>
      </c>
    </row>
    <row r="76" ht="12.75" customHeight="1" s="130">
      <c r="A76" s="34" t="inlineStr">
        <is>
          <t>PIT 120</t>
        </is>
      </c>
      <c r="B76" s="35" t="inlineStr">
        <is>
          <t>MBP DAWG HOUSE HANDICAP (C)</t>
        </is>
      </c>
      <c r="C76" s="14" t="inlineStr">
        <is>
          <t>PIT</t>
        </is>
      </c>
    </row>
    <row r="77" ht="12.75" customHeight="1" s="130">
      <c r="A77" s="39" t="inlineStr">
        <is>
          <t>PIT 121</t>
        </is>
      </c>
      <c r="B77" s="40" t="inlineStr">
        <is>
          <t>MBP LAGUNA HANDICAP (G)</t>
        </is>
      </c>
      <c r="C77" s="14" t="inlineStr">
        <is>
          <t>PIT</t>
        </is>
      </c>
    </row>
    <row r="78" ht="12.75" customHeight="1" s="130">
      <c r="A78" s="34" t="inlineStr">
        <is>
          <t>PIT 122</t>
        </is>
      </c>
      <c r="B78" s="35" t="inlineStr">
        <is>
          <t>MBP COMMAND POST (U)</t>
        </is>
      </c>
      <c r="C78" s="14" t="inlineStr">
        <is>
          <t>PIT</t>
        </is>
      </c>
    </row>
    <row r="79" ht="12.75" customHeight="1" s="130">
      <c r="A79" s="39" t="inlineStr">
        <is>
          <t>PIT 123</t>
        </is>
      </c>
      <c r="B79" s="40" t="inlineStr">
        <is>
          <t>MBP MAIN ENTRANCE (A)</t>
        </is>
      </c>
      <c r="C79" s="14" t="inlineStr">
        <is>
          <t>PIT</t>
        </is>
      </c>
    </row>
    <row r="80" ht="12.75" customHeight="1" s="130">
      <c r="A80" s="34" t="inlineStr">
        <is>
          <t>PIT CU1</t>
        </is>
      </c>
      <c r="B80" s="35" t="inlineStr">
        <is>
          <t>CULINARY SUPPORT</t>
        </is>
      </c>
      <c r="C80" s="14" t="inlineStr">
        <is>
          <t>PIT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E25:H26"/>
    <mergeCell ref="A3:G3"/>
    <mergeCell ref="A1:F1"/>
    <mergeCell ref="D32:F32"/>
    <mergeCell ref="A10:H10"/>
    <mergeCell ref="D28:E30"/>
    <mergeCell ref="A23:H23"/>
  </mergeCells>
  <dataValidations count="3">
    <dataValidation sqref="C5:E5" showDropDown="0" showInputMessage="1" showErrorMessage="1" allowBlank="1" type="list">
      <formula1>"MON,TUE,WED,THUR,FRI,SAT,SUN"</formula1>
      <formula2>0</formula2>
    </dataValidation>
    <dataValidation sqref="C6:E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L80"/>
  <sheetViews>
    <sheetView showGridLines="0" tabSelected="1" zoomScaleNormal="100" workbookViewId="0">
      <selection activeCell="L20" sqref="L20"/>
    </sheetView>
  </sheetViews>
  <sheetFormatPr baseColWidth="8" defaultRowHeight="12.75"/>
  <cols>
    <col width="6" customWidth="1" style="130" min="1" max="1"/>
    <col width="24" customWidth="1" style="130" min="2" max="2"/>
    <col width="15" customWidth="1" style="130" min="3" max="3"/>
    <col width="17" bestFit="1" customWidth="1" style="130" min="4" max="4"/>
    <col width="19" bestFit="1" customWidth="1" style="130" min="5" max="5"/>
    <col width="19.85546875" customWidth="1" style="130" min="6" max="6"/>
    <col width="19" bestFit="1" customWidth="1" style="130" min="7" max="7"/>
    <col width="17" customWidth="1" style="130" min="8" max="8"/>
    <col width="15" customWidth="1" style="130" min="9" max="9"/>
  </cols>
  <sheetData>
    <row r="1" ht="12" customHeight="1" s="130">
      <c r="A1" s="46" t="n"/>
      <c r="B1" s="46" t="n"/>
      <c r="C1" s="46" t="n"/>
      <c r="D1" s="46" t="n"/>
      <c r="E1" s="46" t="n"/>
      <c r="F1" s="46" t="n"/>
      <c r="G1" s="46" t="n"/>
      <c r="H1" s="94" t="n"/>
      <c r="I1" s="94" t="n"/>
    </row>
    <row r="2" ht="21.95" customHeight="1" s="130">
      <c r="A2" s="46" t="n"/>
      <c r="B2" s="46" t="n"/>
      <c r="C2" s="122" t="inlineStr">
        <is>
          <t>SETTLEMENT STATEMENT</t>
        </is>
      </c>
      <c r="H2" s="121" t="n"/>
      <c r="I2" s="121" t="n"/>
    </row>
    <row r="3" ht="18" customHeight="1" s="130">
      <c r="A3" s="46" t="n"/>
      <c r="B3" s="46" t="n"/>
      <c r="C3" s="115" t="inlineStr">
        <is>
          <t>LEVY • UNM ATHLETICS</t>
        </is>
      </c>
      <c r="H3" s="121" t="n"/>
    </row>
    <row r="4" ht="9" customHeight="1" s="130">
      <c r="A4" s="46" t="n"/>
      <c r="B4" s="46" t="n"/>
      <c r="C4" s="46" t="n"/>
      <c r="D4" s="46" t="n"/>
      <c r="E4" s="46" t="n"/>
      <c r="F4" s="46" t="n"/>
      <c r="G4" s="46" t="n"/>
      <c r="H4" s="94" t="n"/>
    </row>
    <row r="5" ht="20.1" customHeight="1" s="130">
      <c r="A5" s="46" t="n"/>
      <c r="B5" s="181">
        <f>$E$10</f>
        <v/>
      </c>
      <c r="G5" s="182" t="inlineStr">
        <is>
          <t>TOTAL PAYABLE</t>
        </is>
      </c>
      <c r="H5" s="183" t="n"/>
    </row>
    <row r="6" ht="18" customHeight="1" s="130">
      <c r="A6" s="46" t="n"/>
      <c r="B6" s="125" t="inlineStr">
        <is>
          <t>UNM FOOTBALL • GAME 1</t>
        </is>
      </c>
      <c r="G6" s="184">
        <f>SUM(H43,I43,I46,I47,I48,I49,I50,I51)</f>
        <v/>
      </c>
      <c r="H6" s="185" t="n"/>
    </row>
    <row r="7">
      <c r="A7" s="46" t="n"/>
      <c r="B7" s="46" t="n"/>
      <c r="C7" s="46" t="n"/>
      <c r="D7" s="46" t="n"/>
      <c r="E7" s="46" t="n"/>
      <c r="F7" s="46" t="n"/>
      <c r="G7" s="114" t="n"/>
      <c r="H7" s="186" t="n"/>
    </row>
    <row r="8" ht="9.949999999999999" customHeight="1" s="130">
      <c r="A8" s="46" t="n"/>
      <c r="B8" s="46" t="n"/>
      <c r="C8" s="46" t="n"/>
      <c r="D8" s="46" t="n"/>
      <c r="E8" s="46" t="n"/>
      <c r="F8" s="46" t="n"/>
      <c r="G8" s="46" t="n"/>
      <c r="H8" s="94" t="n"/>
    </row>
    <row r="9" ht="15" customHeight="1" s="130">
      <c r="A9" s="46" t="n"/>
      <c r="B9" s="53" t="inlineStr">
        <is>
          <t>EVENT DATE</t>
        </is>
      </c>
      <c r="C9" s="119" t="inlineStr">
        <is>
          <t>INVOICE</t>
        </is>
      </c>
      <c r="D9" s="120" t="n"/>
      <c r="E9" s="187" t="inlineStr">
        <is>
          <t>PAYEE / NPO</t>
        </is>
      </c>
      <c r="F9" s="120" t="n"/>
      <c r="G9" s="138" t="inlineStr">
        <is>
          <t>SAP ID</t>
        </is>
      </c>
      <c r="H9" s="119" t="inlineStr">
        <is>
          <t>BSS ID</t>
        </is>
      </c>
    </row>
    <row r="10" ht="18" customHeight="1" s="130" thickBot="1">
      <c r="A10" s="46" t="n"/>
      <c r="B10" s="188" t="n">
        <v>46270</v>
      </c>
      <c r="C10" s="56">
        <f>CONCATENATE("UNM-",TEXT(B10,"MMDDYY-"),E10)</f>
        <v/>
      </c>
      <c r="D10" s="57" t="n"/>
      <c r="E10" s="189" t="inlineStr">
        <is>
          <t>ARVC</t>
        </is>
      </c>
      <c r="F10" s="118" t="n"/>
      <c r="G10" s="56" t="n"/>
      <c r="H10" s="56" t="n"/>
    </row>
    <row r="11" ht="9.949999999999999" customHeight="1" s="130">
      <c r="A11" s="46" t="n"/>
      <c r="B11" s="190" t="inlineStr">
        <is>
          <t>Controls: Event Date (B10) + Payee/NPO (E10). Location rows filter from EVENT ASSIGNMENT via CONTRACT CALC. Flow: SOURCE → CALCULATION → OUTPUT (never reverse).</t>
        </is>
      </c>
      <c r="C11" s="46" t="n"/>
      <c r="D11" s="46" t="n"/>
      <c r="E11" s="46" t="n"/>
      <c r="F11" s="46" t="n"/>
      <c r="G11" s="46" t="n"/>
      <c r="H11" s="94" t="n"/>
    </row>
    <row r="12" ht="18.95" customHeight="1" s="130">
      <c r="A12" s="46" t="n"/>
      <c r="B12" s="129" t="inlineStr">
        <is>
          <t>SALES COMMISSION (DONATION TO NPO): POS SALES</t>
        </is>
      </c>
      <c r="C12" s="129" t="n"/>
      <c r="D12" s="129" t="n"/>
      <c r="E12" s="141" t="inlineStr">
        <is>
          <t>NON-CALCULATED SALES DATA</t>
        </is>
      </c>
    </row>
    <row r="13" ht="17.1" customHeight="1" s="130">
      <c r="A13" s="46" t="n"/>
      <c r="B13" s="131" t="inlineStr">
        <is>
          <t>FOOD / NON-ALCOHOLIC</t>
        </is>
      </c>
      <c r="C13" s="132" t="inlineStr">
        <is>
          <t>ALCOHOL</t>
        </is>
      </c>
      <c r="D13" s="133" t="inlineStr">
        <is>
          <t>GROUP NET</t>
        </is>
      </c>
      <c r="E13" s="139" t="inlineStr">
        <is>
          <t>SALES TAX</t>
        </is>
      </c>
      <c r="F13" s="133" t="inlineStr">
        <is>
          <t>GROSS SALES</t>
        </is>
      </c>
      <c r="H13" s="121" t="n"/>
    </row>
    <row r="14" ht="24" customHeight="1" s="130">
      <c r="A14" s="46" t="n"/>
      <c r="B14" s="191">
        <f>D43</f>
        <v/>
      </c>
      <c r="C14" s="191">
        <f>F43</f>
        <v/>
      </c>
      <c r="D14" s="192">
        <f>C43</f>
        <v/>
      </c>
      <c r="E14" s="193">
        <f>D43</f>
        <v/>
      </c>
      <c r="F14" s="192">
        <f>E43</f>
        <v/>
      </c>
      <c r="H14" s="121" t="n"/>
    </row>
    <row r="15" ht="21.95" customHeight="1" s="130">
      <c r="A15" s="46" t="n"/>
    </row>
    <row r="16" ht="20.1" customHeight="1" s="130">
      <c r="A16" s="46" t="n"/>
      <c r="B16" s="124" t="inlineStr">
        <is>
          <t>LOCATION SERVICE DETAIL</t>
        </is>
      </c>
    </row>
    <row r="17" ht="33.95" customHeight="1" s="130">
      <c r="A17" s="194" t="inlineStr">
        <is>
          <t>#</t>
        </is>
      </c>
      <c r="B17" s="195" t="inlineStr">
        <is>
          <t>SERVICE AREA</t>
        </is>
      </c>
      <c r="C17" s="195" t="inlineStr">
        <is>
          <t>NET SALES</t>
        </is>
      </c>
      <c r="D17" s="195" t="inlineStr">
        <is>
          <t>FOOD / NON-ALC
NET SALES</t>
        </is>
      </c>
      <c r="E17" s="195" t="inlineStr">
        <is>
          <t>10% FOOD / NON-ALC
COMMISSION</t>
        </is>
      </c>
      <c r="F17" s="195" t="inlineStr">
        <is>
          <t>ALCOHOL
NET SALES</t>
        </is>
      </c>
      <c r="G17" s="196" t="inlineStr">
        <is>
          <t>8% ALCOHOL
COMMISSION</t>
        </is>
      </c>
      <c r="H17" s="196" t="inlineStr">
        <is>
          <t>TOTAL
COMMISSION</t>
        </is>
      </c>
      <c r="I17" s="196" t="inlineStr">
        <is>
          <t>GRATUITIES</t>
        </is>
      </c>
    </row>
    <row r="18" ht="18.95" customHeight="1" s="130">
      <c r="A18" s="197">
        <f>IFERROR(MATCH(TEXT($B$10,"yyyymmdd")&amp;"|"&amp;$E$10&amp;"|1",'EVENT ASSIGNMENT'!$K$2:$K$101,0),"")</f>
        <v/>
      </c>
      <c r="B18" s="198">
        <f>IF(IFERROR(MATCH(TEXT($B$10,"yyyymmdd")&amp;"|"&amp;$E$10&amp;"|1",'EVENT ASSIGNMENT'!$K$2:$K$101,0),"")="","",IFERROR(INDEX('EVENT ASSIGNMENT'!$D$2:$D$101,IFERROR(MATCH(TEXT($B$10,"yyyymmdd")&amp;"|"&amp;$E$10&amp;"|1",'EVENT ASSIGNMENT'!$K$2:$K$101,0),"")),""))</f>
        <v/>
      </c>
      <c r="C18" s="199">
        <f>IF(OR(IFERROR(MATCH(TEXT($B$10,"yyyymmdd")&amp;"|"&amp;$E$10&amp;"|1",'EVENT ASSIGNMENT'!$K$2:$K$101,0),"")="",B18=""),"",IFERROR(INDEX('CONTRACT CALC'!$G$13:$G$112,IFERROR(MATCH(TEXT($B$10,"yyyymmdd")&amp;"|"&amp;$E$10&amp;"|1",'EVENT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D18" s="199">
        <f>IF(OR(IFERROR(MATCH(TEXT($B$10,"yyyymmdd")&amp;"|"&amp;$E$10&amp;"|1",'EVENT ASSIGNMENT'!$K$2:$K$101,0),"")="",B18=""),"",IFERROR(INDEX('CONTRACT CALC'!$I$13:$I$112,IFERROR(MATCH(TEXT($B$10,"yyyymmdd")&amp;"|"&amp;$E$10&amp;"|1",'EVENT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E18" s="199">
        <f>IF(D18="","",D18*'CONTRACT CALC'!$B$4)</f>
        <v/>
      </c>
      <c r="F18" s="199">
        <f>IF(OR(IFERROR(MATCH(TEXT($B$10,"yyyymmdd")&amp;"|"&amp;$E$10&amp;"|1",'EVENT ASSIGNMENT'!$K$2:$K$101,0),"")="",B18=""),"",IFERROR(INDEX('CONTRACT CALC'!$H$13:$H$112,IFERROR(MATCH(TEXT($B$10,"yyyymmdd")&amp;"|"&amp;$E$10&amp;"|1",'EVENT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G18" s="199">
        <f>IF(F18="","",F18*'CONTRACT CALC'!$B$5)</f>
        <v/>
      </c>
      <c r="H18" s="199">
        <f>IF(B18="","",N(E18)+N(G18))</f>
        <v/>
      </c>
      <c r="I18" s="199">
        <f>IF(OR(IFERROR(MATCH(TEXT($B$10,"yyyymmdd")&amp;"|"&amp;$E$10&amp;"|1",'EVENT ASSIGNMENT'!$K$2:$K$101,0),"")="",B18=""),"",IF(COUNTIFS('TIPS DATA'!$A$2:$A$101,$B$10,'TIPS DATA'!$C$2:$C$101,$E$10,'TIPS DATA'!$D$2:$D$101,INDEX('EVENT ASSIGNMENT'!$C$2:$C$101,IFERROR(MATCH(TEXT($B$10,"yyyymmdd")&amp;"|"&amp;$E$10&amp;"|1",'EVENT ASSIGNMENT'!$K$2:$K$101,0),"")))&gt;0,SUMIFS('TIPS DATA'!$H$2:$H$101,'TIPS DATA'!$A$2:$A$101,$B$10,'TIPS DATA'!$C$2:$C$101,$E$10,'TIPS DATA'!$D$2:$D$101,INDEX('EVENT ASSIGNMENT'!$C$2:$C$101,IFERROR(MATCH(TEXT($B$10,"yyyymmdd")&amp;"|"&amp;$E$10&amp;"|1",'EVENT ASSIGNMENT'!$K$2:$K$101,0),""))),SUMIFS('TIPS DATA'!$H$2:$H$101,'TIPS DATA'!$A$2:$A$101,$B$10,'TIPS DATA'!$C$2:$C$101,$E$10,'TIPS DATA'!$E$2:$E$101,INDEX('EVENT ASSIGNMENT'!$D$2:$D$101,IFERROR(MATCH(TEXT($B$10,"yyyymmdd")&amp;"|"&amp;$E$10&amp;"|1",'EVENT ASSIGNMENT'!$K$2:$K$101,0),"")))))</f>
        <v/>
      </c>
    </row>
    <row r="19" ht="18.95" customHeight="1" s="130">
      <c r="A19" s="197">
        <f>IFERROR(MATCH(TEXT($B$10,"yyyymmdd")&amp;"|"&amp;$E$10&amp;"|2",'EVENT ASSIGNMENT'!$K$2:$K$101,0),"")</f>
        <v/>
      </c>
      <c r="B19" s="198">
        <f>IF(IFERROR(MATCH(TEXT($B$10,"yyyymmdd")&amp;"|"&amp;$E$10&amp;"|2",'EVENT ASSIGNMENT'!$K$2:$K$101,0),"")="","",IFERROR(INDEX('EVENT ASSIGNMENT'!$D$2:$D$101,IFERROR(MATCH(TEXT($B$10,"yyyymmdd")&amp;"|"&amp;$E$10&amp;"|2",'EVENT ASSIGNMENT'!$K$2:$K$101,0),"")),""))</f>
        <v/>
      </c>
      <c r="C19" s="199">
        <f>IF(OR(IFERROR(MATCH(TEXT($B$10,"yyyymmdd")&amp;"|"&amp;$E$10&amp;"|2",'EVENT ASSIGNMENT'!$K$2:$K$101,0),"")="",B19=""),"",IFERROR(INDEX('CONTRACT CALC'!$G$13:$G$112,IFERROR(MATCH(TEXT($B$10,"yyyymmdd")&amp;"|"&amp;$E$10&amp;"|2",'EVENT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D19" s="199">
        <f>IF(OR(IFERROR(MATCH(TEXT($B$10,"yyyymmdd")&amp;"|"&amp;$E$10&amp;"|2",'EVENT ASSIGNMENT'!$K$2:$K$101,0),"")="",B19=""),"",IFERROR(INDEX('CONTRACT CALC'!$I$13:$I$112,IFERROR(MATCH(TEXT($B$10,"yyyymmdd")&amp;"|"&amp;$E$10&amp;"|2",'EVENT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E19" s="199">
        <f>IF(D19="","",D19*'CONTRACT CALC'!$B$4)</f>
        <v/>
      </c>
      <c r="F19" s="199">
        <f>IF(OR(IFERROR(MATCH(TEXT($B$10,"yyyymmdd")&amp;"|"&amp;$E$10&amp;"|2",'EVENT ASSIGNMENT'!$K$2:$K$101,0),"")="",B19=""),"",IFERROR(INDEX('CONTRACT CALC'!$H$13:$H$112,IFERROR(MATCH(TEXT($B$10,"yyyymmdd")&amp;"|"&amp;$E$10&amp;"|2",'EVENT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G19" s="199">
        <f>IF(F19="","",F19*'CONTRACT CALC'!$B$5)</f>
        <v/>
      </c>
      <c r="H19" s="199">
        <f>IF(B19="","",N(E19)+N(G19))</f>
        <v/>
      </c>
      <c r="I19" s="199">
        <f>IF(OR(IFERROR(MATCH(TEXT($B$10,"yyyymmdd")&amp;"|"&amp;$E$10&amp;"|2",'EVENT ASSIGNMENT'!$K$2:$K$101,0),"")="",B19=""),"",IF(COUNTIFS('TIPS DATA'!$A$2:$A$101,$B$10,'TIPS DATA'!$C$2:$C$101,$E$10,'TIPS DATA'!$D$2:$D$101,INDEX('EVENT ASSIGNMENT'!$C$2:$C$101,IFERROR(MATCH(TEXT($B$10,"yyyymmdd")&amp;"|"&amp;$E$10&amp;"|2",'EVENT ASSIGNMENT'!$K$2:$K$101,0),"")))&gt;0,SUMIFS('TIPS DATA'!$H$2:$H$101,'TIPS DATA'!$A$2:$A$101,$B$10,'TIPS DATA'!$C$2:$C$101,$E$10,'TIPS DATA'!$D$2:$D$101,INDEX('EVENT ASSIGNMENT'!$C$2:$C$101,IFERROR(MATCH(TEXT($B$10,"yyyymmdd")&amp;"|"&amp;$E$10&amp;"|2",'EVENT ASSIGNMENT'!$K$2:$K$101,0),""))),SUMIFS('TIPS DATA'!$H$2:$H$101,'TIPS DATA'!$A$2:$A$101,$B$10,'TIPS DATA'!$C$2:$C$101,$E$10,'TIPS DATA'!$E$2:$E$101,INDEX('EVENT ASSIGNMENT'!$D$2:$D$101,IFERROR(MATCH(TEXT($B$10,"yyyymmdd")&amp;"|"&amp;$E$10&amp;"|2",'EVENT ASSIGNMENT'!$K$2:$K$101,0),"")))))</f>
        <v/>
      </c>
    </row>
    <row r="20" ht="18.95" customHeight="1" s="130">
      <c r="A20" s="197">
        <f>IFERROR(MATCH(TEXT($B$10,"yyyymmdd")&amp;"|"&amp;$E$10&amp;"|3",'EVENT ASSIGNMENT'!$K$2:$K$101,0),"")</f>
        <v/>
      </c>
      <c r="B20" s="198">
        <f>IF(IFERROR(MATCH(TEXT($B$10,"yyyymmdd")&amp;"|"&amp;$E$10&amp;"|3",'EVENT ASSIGNMENT'!$K$2:$K$101,0),"")="","",IFERROR(INDEX('EVENT ASSIGNMENT'!$D$2:$D$101,IFERROR(MATCH(TEXT($B$10,"yyyymmdd")&amp;"|"&amp;$E$10&amp;"|3",'EVENT ASSIGNMENT'!$K$2:$K$101,0),"")),""))</f>
        <v/>
      </c>
      <c r="C20" s="199">
        <f>IF(OR(IFERROR(MATCH(TEXT($B$10,"yyyymmdd")&amp;"|"&amp;$E$10&amp;"|3",'EVENT ASSIGNMENT'!$K$2:$K$101,0),"")="",B20=""),"",IFERROR(INDEX('CONTRACT CALC'!$G$13:$G$112,IFERROR(MATCH(TEXT($B$10,"yyyymmdd")&amp;"|"&amp;$E$10&amp;"|3",'EVENT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D20" s="199">
        <f>IF(OR(IFERROR(MATCH(TEXT($B$10,"yyyymmdd")&amp;"|"&amp;$E$10&amp;"|3",'EVENT ASSIGNMENT'!$K$2:$K$101,0),"")="",B20=""),"",IFERROR(INDEX('CONTRACT CALC'!$I$13:$I$112,IFERROR(MATCH(TEXT($B$10,"yyyymmdd")&amp;"|"&amp;$E$10&amp;"|3",'EVENT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E20" s="199">
        <f>IF(D20="","",D20*'CONTRACT CALC'!$B$4)</f>
        <v/>
      </c>
      <c r="F20" s="199">
        <f>IF(OR(IFERROR(MATCH(TEXT($B$10,"yyyymmdd")&amp;"|"&amp;$E$10&amp;"|3",'EVENT ASSIGNMENT'!$K$2:$K$101,0),"")="",B20=""),"",IFERROR(INDEX('CONTRACT CALC'!$H$13:$H$112,IFERROR(MATCH(TEXT($B$10,"yyyymmdd")&amp;"|"&amp;$E$10&amp;"|3",'EVENT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G20" s="199">
        <f>IF(F20="","",F20*'CONTRACT CALC'!$B$5)</f>
        <v/>
      </c>
      <c r="H20" s="199">
        <f>IF(B20="","",N(E20)+N(G20))</f>
        <v/>
      </c>
      <c r="I20" s="199">
        <f>IF(OR(IFERROR(MATCH(TEXT($B$10,"yyyymmdd")&amp;"|"&amp;$E$10&amp;"|3",'EVENT ASSIGNMENT'!$K$2:$K$101,0),"")="",B20=""),"",IF(COUNTIFS('TIPS DATA'!$A$2:$A$101,$B$10,'TIPS DATA'!$C$2:$C$101,$E$10,'TIPS DATA'!$D$2:$D$101,INDEX('EVENT ASSIGNMENT'!$C$2:$C$101,IFERROR(MATCH(TEXT($B$10,"yyyymmdd")&amp;"|"&amp;$E$10&amp;"|3",'EVENT ASSIGNMENT'!$K$2:$K$101,0),"")))&gt;0,SUMIFS('TIPS DATA'!$H$2:$H$101,'TIPS DATA'!$A$2:$A$101,$B$10,'TIPS DATA'!$C$2:$C$101,$E$10,'TIPS DATA'!$D$2:$D$101,INDEX('EVENT ASSIGNMENT'!$C$2:$C$101,IFERROR(MATCH(TEXT($B$10,"yyyymmdd")&amp;"|"&amp;$E$10&amp;"|3",'EVENT ASSIGNMENT'!$K$2:$K$101,0),""))),SUMIFS('TIPS DATA'!$H$2:$H$101,'TIPS DATA'!$A$2:$A$101,$B$10,'TIPS DATA'!$C$2:$C$101,$E$10,'TIPS DATA'!$E$2:$E$101,INDEX('EVENT ASSIGNMENT'!$D$2:$D$101,IFERROR(MATCH(TEXT($B$10,"yyyymmdd")&amp;"|"&amp;$E$10&amp;"|3",'EVENT ASSIGNMENT'!$K$2:$K$101,0),"")))))</f>
        <v/>
      </c>
    </row>
    <row r="21" ht="18.95" customHeight="1" s="130">
      <c r="A21" s="197">
        <f>IFERROR(MATCH(TEXT($B$10,"yyyymmdd")&amp;"|"&amp;$E$10&amp;"|4",'EVENT ASSIGNMENT'!$K$2:$K$101,0),"")</f>
        <v/>
      </c>
      <c r="B21" s="198">
        <f>IF(IFERROR(MATCH(TEXT($B$10,"yyyymmdd")&amp;"|"&amp;$E$10&amp;"|4",'EVENT ASSIGNMENT'!$K$2:$K$101,0),"")="","",IFERROR(INDEX('EVENT ASSIGNMENT'!$D$2:$D$101,IFERROR(MATCH(TEXT($B$10,"yyyymmdd")&amp;"|"&amp;$E$10&amp;"|4",'EVENT ASSIGNMENT'!$K$2:$K$101,0),"")),""))</f>
        <v/>
      </c>
      <c r="C21" s="199">
        <f>IF(OR(IFERROR(MATCH(TEXT($B$10,"yyyymmdd")&amp;"|"&amp;$E$10&amp;"|4",'EVENT ASSIGNMENT'!$K$2:$K$101,0),"")="",B21=""),"",IFERROR(INDEX('CONTRACT CALC'!$G$13:$G$112,IFERROR(MATCH(TEXT($B$10,"yyyymmdd")&amp;"|"&amp;$E$10&amp;"|4",'EVENT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D21" s="199">
        <f>IF(OR(IFERROR(MATCH(TEXT($B$10,"yyyymmdd")&amp;"|"&amp;$E$10&amp;"|4",'EVENT ASSIGNMENT'!$K$2:$K$101,0),"")="",B21=""),"",IFERROR(INDEX('CONTRACT CALC'!$I$13:$I$112,IFERROR(MATCH(TEXT($B$10,"yyyymmdd")&amp;"|"&amp;$E$10&amp;"|4",'EVENT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E21" s="199">
        <f>IF(D21="","",D21*'CONTRACT CALC'!$B$4)</f>
        <v/>
      </c>
      <c r="F21" s="199">
        <f>IF(OR(IFERROR(MATCH(TEXT($B$10,"yyyymmdd")&amp;"|"&amp;$E$10&amp;"|4",'EVENT ASSIGNMENT'!$K$2:$K$101,0),"")="",B21=""),"",IFERROR(INDEX('CONTRACT CALC'!$H$13:$H$112,IFERROR(MATCH(TEXT($B$10,"yyyymmdd")&amp;"|"&amp;$E$10&amp;"|4",'EVENT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G21" s="199">
        <f>IF(F21="","",F21*'CONTRACT CALC'!$B$5)</f>
        <v/>
      </c>
      <c r="H21" s="199">
        <f>IF(B21="","",N(E21)+N(G21))</f>
        <v/>
      </c>
      <c r="I21" s="199">
        <f>IF(OR(IFERROR(MATCH(TEXT($B$10,"yyyymmdd")&amp;"|"&amp;$E$10&amp;"|4",'EVENT ASSIGNMENT'!$K$2:$K$101,0),"")="",B21=""),"",IF(COUNTIFS('TIPS DATA'!$A$2:$A$101,$B$10,'TIPS DATA'!$C$2:$C$101,$E$10,'TIPS DATA'!$D$2:$D$101,INDEX('EVENT ASSIGNMENT'!$C$2:$C$101,IFERROR(MATCH(TEXT($B$10,"yyyymmdd")&amp;"|"&amp;$E$10&amp;"|4",'EVENT ASSIGNMENT'!$K$2:$K$101,0),"")))&gt;0,SUMIFS('TIPS DATA'!$H$2:$H$101,'TIPS DATA'!$A$2:$A$101,$B$10,'TIPS DATA'!$C$2:$C$101,$E$10,'TIPS DATA'!$D$2:$D$101,INDEX('EVENT ASSIGNMENT'!$C$2:$C$101,IFERROR(MATCH(TEXT($B$10,"yyyymmdd")&amp;"|"&amp;$E$10&amp;"|4",'EVENT ASSIGNMENT'!$K$2:$K$101,0),""))),SUMIFS('TIPS DATA'!$H$2:$H$101,'TIPS DATA'!$A$2:$A$101,$B$10,'TIPS DATA'!$C$2:$C$101,$E$10,'TIPS DATA'!$E$2:$E$101,INDEX('EVENT ASSIGNMENT'!$D$2:$D$101,IFERROR(MATCH(TEXT($B$10,"yyyymmdd")&amp;"|"&amp;$E$10&amp;"|4",'EVENT ASSIGNMENT'!$K$2:$K$101,0),"")))))</f>
        <v/>
      </c>
    </row>
    <row r="22" ht="18.95" customHeight="1" s="130">
      <c r="A22" s="197">
        <f>IFERROR(MATCH(TEXT($B$10,"yyyymmdd")&amp;"|"&amp;$E$10&amp;"|5",'EVENT ASSIGNMENT'!$K$2:$K$101,0),"")</f>
        <v/>
      </c>
      <c r="B22" s="198">
        <f>IF(IFERROR(MATCH(TEXT($B$10,"yyyymmdd")&amp;"|"&amp;$E$10&amp;"|5",'EVENT ASSIGNMENT'!$K$2:$K$101,0),"")="","",IFERROR(INDEX('EVENT ASSIGNMENT'!$D$2:$D$101,IFERROR(MATCH(TEXT($B$10,"yyyymmdd")&amp;"|"&amp;$E$10&amp;"|5",'EVENT ASSIGNMENT'!$K$2:$K$101,0),"")),""))</f>
        <v/>
      </c>
      <c r="C22" s="199">
        <f>IF(OR(IFERROR(MATCH(TEXT($B$10,"yyyymmdd")&amp;"|"&amp;$E$10&amp;"|5",'EVENT ASSIGNMENT'!$K$2:$K$101,0),"")="",B22=""),"",IFERROR(INDEX('CONTRACT CALC'!$G$13:$G$112,IFERROR(MATCH(TEXT($B$10,"yyyymmdd")&amp;"|"&amp;$E$10&amp;"|5",'EVENT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D22" s="199">
        <f>IF(OR(IFERROR(MATCH(TEXT($B$10,"yyyymmdd")&amp;"|"&amp;$E$10&amp;"|5",'EVENT ASSIGNMENT'!$K$2:$K$101,0),"")="",B22=""),"",IFERROR(INDEX('CONTRACT CALC'!$I$13:$I$112,IFERROR(MATCH(TEXT($B$10,"yyyymmdd")&amp;"|"&amp;$E$10&amp;"|5",'EVENT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E22" s="199">
        <f>IF(D22="","",D22*'CONTRACT CALC'!$B$4)</f>
        <v/>
      </c>
      <c r="F22" s="199">
        <f>IF(OR(IFERROR(MATCH(TEXT($B$10,"yyyymmdd")&amp;"|"&amp;$E$10&amp;"|5",'EVENT ASSIGNMENT'!$K$2:$K$101,0),"")="",B22=""),"",IFERROR(INDEX('CONTRACT CALC'!$H$13:$H$112,IFERROR(MATCH(TEXT($B$10,"yyyymmdd")&amp;"|"&amp;$E$10&amp;"|5",'EVENT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G22" s="199">
        <f>IF(F22="","",F22*'CONTRACT CALC'!$B$5)</f>
        <v/>
      </c>
      <c r="H22" s="199">
        <f>IF(B22="","",N(E22)+N(G22))</f>
        <v/>
      </c>
      <c r="I22" s="199">
        <f>IF(OR(IFERROR(MATCH(TEXT($B$10,"yyyymmdd")&amp;"|"&amp;$E$10&amp;"|5",'EVENT ASSIGNMENT'!$K$2:$K$101,0),"")="",B22=""),"",IF(COUNTIFS('TIPS DATA'!$A$2:$A$101,$B$10,'TIPS DATA'!$C$2:$C$101,$E$10,'TIPS DATA'!$D$2:$D$101,INDEX('EVENT ASSIGNMENT'!$C$2:$C$101,IFERROR(MATCH(TEXT($B$10,"yyyymmdd")&amp;"|"&amp;$E$10&amp;"|5",'EVENT ASSIGNMENT'!$K$2:$K$101,0),"")))&gt;0,SUMIFS('TIPS DATA'!$H$2:$H$101,'TIPS DATA'!$A$2:$A$101,$B$10,'TIPS DATA'!$C$2:$C$101,$E$10,'TIPS DATA'!$D$2:$D$101,INDEX('EVENT ASSIGNMENT'!$C$2:$C$101,IFERROR(MATCH(TEXT($B$10,"yyyymmdd")&amp;"|"&amp;$E$10&amp;"|5",'EVENT ASSIGNMENT'!$K$2:$K$101,0),""))),SUMIFS('TIPS DATA'!$H$2:$H$101,'TIPS DATA'!$A$2:$A$101,$B$10,'TIPS DATA'!$C$2:$C$101,$E$10,'TIPS DATA'!$E$2:$E$101,INDEX('EVENT ASSIGNMENT'!$D$2:$D$101,IFERROR(MATCH(TEXT($B$10,"yyyymmdd")&amp;"|"&amp;$E$10&amp;"|5",'EVENT ASSIGNMENT'!$K$2:$K$101,0),"")))))</f>
        <v/>
      </c>
    </row>
    <row r="23" ht="20.1" customHeight="1" s="130">
      <c r="A23" s="197">
        <f>IFERROR(MATCH(TEXT($B$10,"yyyymmdd")&amp;"|"&amp;$E$10&amp;"|6",'EVENT ASSIGNMENT'!$K$2:$K$101,0),"")</f>
        <v/>
      </c>
      <c r="B23" s="198">
        <f>IF(IFERROR(MATCH(TEXT($B$10,"yyyymmdd")&amp;"|"&amp;$E$10&amp;"|6",'EVENT ASSIGNMENT'!$K$2:$K$101,0),"")="","",IFERROR(INDEX('EVENT ASSIGNMENT'!$D$2:$D$101,IFERROR(MATCH(TEXT($B$10,"yyyymmdd")&amp;"|"&amp;$E$10&amp;"|6",'EVENT ASSIGNMENT'!$K$2:$K$101,0),"")),""))</f>
        <v/>
      </c>
      <c r="C23" s="199">
        <f>IF(OR(IFERROR(MATCH(TEXT($B$10,"yyyymmdd")&amp;"|"&amp;$E$10&amp;"|6",'EVENT ASSIGNMENT'!$K$2:$K$101,0),"")="",B23=""),"",IFERROR(INDEX('CONTRACT CALC'!$G$13:$G$112,IFERROR(MATCH(TEXT($B$10,"yyyymmdd")&amp;"|"&amp;$E$10&amp;"|6",'EVENT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D23" s="199">
        <f>IF(OR(IFERROR(MATCH(TEXT($B$10,"yyyymmdd")&amp;"|"&amp;$E$10&amp;"|6",'EVENT ASSIGNMENT'!$K$2:$K$101,0),"")="",B23=""),"",IFERROR(INDEX('CONTRACT CALC'!$I$13:$I$112,IFERROR(MATCH(TEXT($B$10,"yyyymmdd")&amp;"|"&amp;$E$10&amp;"|6",'EVENT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E23" s="199">
        <f>IF(D23="","",D23*'CONTRACT CALC'!$B$4)</f>
        <v/>
      </c>
      <c r="F23" s="199">
        <f>IF(OR(IFERROR(MATCH(TEXT($B$10,"yyyymmdd")&amp;"|"&amp;$E$10&amp;"|6",'EVENT ASSIGNMENT'!$K$2:$K$101,0),"")="",B23=""),"",IFERROR(INDEX('CONTRACT CALC'!$H$13:$H$112,IFERROR(MATCH(TEXT($B$10,"yyyymmdd")&amp;"|"&amp;$E$10&amp;"|6",'EVENT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G23" s="199">
        <f>IF(F23="","",F23*'CONTRACT CALC'!$B$5)</f>
        <v/>
      </c>
      <c r="H23" s="199">
        <f>IF(B23="","",N(E23)+N(G23))</f>
        <v/>
      </c>
      <c r="I23" s="199">
        <f>IF(OR(IFERROR(MATCH(TEXT($B$10,"yyyymmdd")&amp;"|"&amp;$E$10&amp;"|6",'EVENT ASSIGNMENT'!$K$2:$K$101,0),"")="",B23=""),"",IF(COUNTIFS('TIPS DATA'!$A$2:$A$101,$B$10,'TIPS DATA'!$C$2:$C$101,$E$10,'TIPS DATA'!$D$2:$D$101,INDEX('EVENT ASSIGNMENT'!$C$2:$C$101,IFERROR(MATCH(TEXT($B$10,"yyyymmdd")&amp;"|"&amp;$E$10&amp;"|6",'EVENT ASSIGNMENT'!$K$2:$K$101,0),"")))&gt;0,SUMIFS('TIPS DATA'!$H$2:$H$101,'TIPS DATA'!$A$2:$A$101,$B$10,'TIPS DATA'!$C$2:$C$101,$E$10,'TIPS DATA'!$D$2:$D$101,INDEX('EVENT ASSIGNMENT'!$C$2:$C$101,IFERROR(MATCH(TEXT($B$10,"yyyymmdd")&amp;"|"&amp;$E$10&amp;"|6",'EVENT ASSIGNMENT'!$K$2:$K$101,0),""))),SUMIFS('TIPS DATA'!$H$2:$H$101,'TIPS DATA'!$A$2:$A$101,$B$10,'TIPS DATA'!$C$2:$C$101,$E$10,'TIPS DATA'!$E$2:$E$101,INDEX('EVENT ASSIGNMENT'!$D$2:$D$101,IFERROR(MATCH(TEXT($B$10,"yyyymmdd")&amp;"|"&amp;$E$10&amp;"|6",'EVENT ASSIGNMENT'!$K$2:$K$101,0),"")))))</f>
        <v/>
      </c>
    </row>
    <row r="24" ht="17.1" customHeight="1" s="130">
      <c r="A24" s="197">
        <f>IFERROR(MATCH(TEXT($B$10,"yyyymmdd")&amp;"|"&amp;$E$10&amp;"|7",'EVENT ASSIGNMENT'!$K$2:$K$101,0),"")</f>
        <v/>
      </c>
      <c r="B24" s="198">
        <f>IF(IFERROR(MATCH(TEXT($B$10,"yyyymmdd")&amp;"|"&amp;$E$10&amp;"|7",'EVENT ASSIGNMENT'!$K$2:$K$101,0),"")="","",IFERROR(INDEX('EVENT ASSIGNMENT'!$D$2:$D$101,IFERROR(MATCH(TEXT($B$10,"yyyymmdd")&amp;"|"&amp;$E$10&amp;"|7",'EVENT ASSIGNMENT'!$K$2:$K$101,0),"")),""))</f>
        <v/>
      </c>
      <c r="C24" s="199">
        <f>IF(OR(IFERROR(MATCH(TEXT($B$10,"yyyymmdd")&amp;"|"&amp;$E$10&amp;"|7",'EVENT ASSIGNMENT'!$K$2:$K$101,0),"")="",B24=""),"",IFERROR(INDEX('CONTRACT CALC'!$G$13:$G$112,IFERROR(MATCH(TEXT($B$10,"yyyymmdd")&amp;"|"&amp;$E$10&amp;"|7",'EVENT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D24" s="199">
        <f>IF(OR(IFERROR(MATCH(TEXT($B$10,"yyyymmdd")&amp;"|"&amp;$E$10&amp;"|7",'EVENT ASSIGNMENT'!$K$2:$K$101,0),"")="",B24=""),"",IFERROR(INDEX('CONTRACT CALC'!$I$13:$I$112,IFERROR(MATCH(TEXT($B$10,"yyyymmdd")&amp;"|"&amp;$E$10&amp;"|7",'EVENT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E24" s="199">
        <f>IF(D24="","",D24*'CONTRACT CALC'!$B$4)</f>
        <v/>
      </c>
      <c r="F24" s="199">
        <f>IF(OR(IFERROR(MATCH(TEXT($B$10,"yyyymmdd")&amp;"|"&amp;$E$10&amp;"|7",'EVENT ASSIGNMENT'!$K$2:$K$101,0),"")="",B24=""),"",IFERROR(INDEX('CONTRACT CALC'!$H$13:$H$112,IFERROR(MATCH(TEXT($B$10,"yyyymmdd")&amp;"|"&amp;$E$10&amp;"|7",'EVENT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G24" s="199">
        <f>IF(F24="","",F24*'CONTRACT CALC'!$B$5)</f>
        <v/>
      </c>
      <c r="H24" s="199">
        <f>IF(B24="","",N(E24)+N(G24))</f>
        <v/>
      </c>
      <c r="I24" s="199">
        <f>IF(OR(IFERROR(MATCH(TEXT($B$10,"yyyymmdd")&amp;"|"&amp;$E$10&amp;"|7",'EVENT ASSIGNMENT'!$K$2:$K$101,0),"")="",B24=""),"",IF(COUNTIFS('TIPS DATA'!$A$2:$A$101,$B$10,'TIPS DATA'!$C$2:$C$101,$E$10,'TIPS DATA'!$D$2:$D$101,INDEX('EVENT ASSIGNMENT'!$C$2:$C$101,IFERROR(MATCH(TEXT($B$10,"yyyymmdd")&amp;"|"&amp;$E$10&amp;"|7",'EVENT ASSIGNMENT'!$K$2:$K$101,0),"")))&gt;0,SUMIFS('TIPS DATA'!$H$2:$H$101,'TIPS DATA'!$A$2:$A$101,$B$10,'TIPS DATA'!$C$2:$C$101,$E$10,'TIPS DATA'!$D$2:$D$101,INDEX('EVENT ASSIGNMENT'!$C$2:$C$101,IFERROR(MATCH(TEXT($B$10,"yyyymmdd")&amp;"|"&amp;$E$10&amp;"|7",'EVENT ASSIGNMENT'!$K$2:$K$101,0),""))),SUMIFS('TIPS DATA'!$H$2:$H$101,'TIPS DATA'!$A$2:$A$101,$B$10,'TIPS DATA'!$C$2:$C$101,$E$10,'TIPS DATA'!$E$2:$E$101,INDEX('EVENT ASSIGNMENT'!$D$2:$D$101,IFERROR(MATCH(TEXT($B$10,"yyyymmdd")&amp;"|"&amp;$E$10&amp;"|7",'EVENT ASSIGNMENT'!$K$2:$K$101,0),"")))))</f>
        <v/>
      </c>
    </row>
    <row r="25" ht="20.1" customHeight="1" s="130">
      <c r="A25" s="197">
        <f>IFERROR(MATCH(TEXT($B$10,"yyyymmdd")&amp;"|"&amp;$E$10&amp;"|8",'EVENT ASSIGNMENT'!$K$2:$K$101,0),"")</f>
        <v/>
      </c>
      <c r="B25" s="198">
        <f>IF(IFERROR(MATCH(TEXT($B$10,"yyyymmdd")&amp;"|"&amp;$E$10&amp;"|8",'EVENT ASSIGNMENT'!$K$2:$K$101,0),"")="","",IFERROR(INDEX('EVENT ASSIGNMENT'!$D$2:$D$101,IFERROR(MATCH(TEXT($B$10,"yyyymmdd")&amp;"|"&amp;$E$10&amp;"|8",'EVENT ASSIGNMENT'!$K$2:$K$101,0),"")),""))</f>
        <v/>
      </c>
      <c r="C25" s="199">
        <f>IF(OR(IFERROR(MATCH(TEXT($B$10,"yyyymmdd")&amp;"|"&amp;$E$10&amp;"|8",'EVENT ASSIGNMENT'!$K$2:$K$101,0),"")="",B25=""),"",IFERROR(INDEX('CONTRACT CALC'!$G$13:$G$112,IFERROR(MATCH(TEXT($B$10,"yyyymmdd")&amp;"|"&amp;$E$10&amp;"|8",'EVENT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D25" s="199">
        <f>IF(OR(IFERROR(MATCH(TEXT($B$10,"yyyymmdd")&amp;"|"&amp;$E$10&amp;"|8",'EVENT ASSIGNMENT'!$K$2:$K$101,0),"")="",B25=""),"",IFERROR(INDEX('CONTRACT CALC'!$I$13:$I$112,IFERROR(MATCH(TEXT($B$10,"yyyymmdd")&amp;"|"&amp;$E$10&amp;"|8",'EVENT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E25" s="199">
        <f>IF(D25="","",D25*'CONTRACT CALC'!$B$4)</f>
        <v/>
      </c>
      <c r="F25" s="199">
        <f>IF(OR(IFERROR(MATCH(TEXT($B$10,"yyyymmdd")&amp;"|"&amp;$E$10&amp;"|8",'EVENT ASSIGNMENT'!$K$2:$K$101,0),"")="",B25=""),"",IFERROR(INDEX('CONTRACT CALC'!$H$13:$H$112,IFERROR(MATCH(TEXT($B$10,"yyyymmdd")&amp;"|"&amp;$E$10&amp;"|8",'EVENT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G25" s="200">
        <f>IF(F25="","",F25*'CONTRACT CALC'!$B$5)</f>
        <v/>
      </c>
      <c r="H25" s="199">
        <f>IF(B25="","",N(E25)+N(G25))</f>
        <v/>
      </c>
      <c r="I25" s="199">
        <f>IF(OR(IFERROR(MATCH(TEXT($B$10,"yyyymmdd")&amp;"|"&amp;$E$10&amp;"|8",'EVENT ASSIGNMENT'!$K$2:$K$101,0),"")="",B25=""),"",IF(COUNTIFS('TIPS DATA'!$A$2:$A$101,$B$10,'TIPS DATA'!$C$2:$C$101,$E$10,'TIPS DATA'!$D$2:$D$101,INDEX('EVENT ASSIGNMENT'!$C$2:$C$101,IFERROR(MATCH(TEXT($B$10,"yyyymmdd")&amp;"|"&amp;$E$10&amp;"|8",'EVENT ASSIGNMENT'!$K$2:$K$101,0),"")))&gt;0,SUMIFS('TIPS DATA'!$H$2:$H$101,'TIPS DATA'!$A$2:$A$101,$B$10,'TIPS DATA'!$C$2:$C$101,$E$10,'TIPS DATA'!$D$2:$D$101,INDEX('EVENT ASSIGNMENT'!$C$2:$C$101,IFERROR(MATCH(TEXT($B$10,"yyyymmdd")&amp;"|"&amp;$E$10&amp;"|8",'EVENT ASSIGNMENT'!$K$2:$K$101,0),""))),SUMIFS('TIPS DATA'!$H$2:$H$101,'TIPS DATA'!$A$2:$A$101,$B$10,'TIPS DATA'!$C$2:$C$101,$E$10,'TIPS DATA'!$E$2:$E$101,INDEX('EVENT ASSIGNMENT'!$D$2:$D$101,IFERROR(MATCH(TEXT($B$10,"yyyymmdd")&amp;"|"&amp;$E$10&amp;"|8",'EVENT ASSIGNMENT'!$K$2:$K$101,0),"")))))</f>
        <v/>
      </c>
    </row>
    <row r="26" ht="18" customHeight="1" s="130">
      <c r="A26" s="197">
        <f>IFERROR(MATCH(TEXT($B$10,"yyyymmdd")&amp;"|"&amp;$E$10&amp;"|9",'EVENT ASSIGNMENT'!$K$2:$K$101,0),"")</f>
        <v/>
      </c>
      <c r="B26" s="198">
        <f>IF(IFERROR(MATCH(TEXT($B$10,"yyyymmdd")&amp;"|"&amp;$E$10&amp;"|9",'EVENT ASSIGNMENT'!$K$2:$K$101,0),"")="","",IFERROR(INDEX('EVENT ASSIGNMENT'!$D$2:$D$101,IFERROR(MATCH(TEXT($B$10,"yyyymmdd")&amp;"|"&amp;$E$10&amp;"|9",'EVENT ASSIGNMENT'!$K$2:$K$101,0),"")),""))</f>
        <v/>
      </c>
      <c r="C26" s="199">
        <f>IF(OR(IFERROR(MATCH(TEXT($B$10,"yyyymmdd")&amp;"|"&amp;$E$10&amp;"|9",'EVENT ASSIGNMENT'!$K$2:$K$101,0),"")="",B26=""),"",IFERROR(INDEX('CONTRACT CALC'!$G$13:$G$112,IFERROR(MATCH(TEXT($B$10,"yyyymmdd")&amp;"|"&amp;$E$10&amp;"|9",'EVENT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D26" s="199">
        <f>IF(OR(IFERROR(MATCH(TEXT($B$10,"yyyymmdd")&amp;"|"&amp;$E$10&amp;"|9",'EVENT ASSIGNMENT'!$K$2:$K$101,0),"")="",B26=""),"",IFERROR(INDEX('CONTRACT CALC'!$I$13:$I$112,IFERROR(MATCH(TEXT($B$10,"yyyymmdd")&amp;"|"&amp;$E$10&amp;"|9",'EVENT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E26" s="199">
        <f>IF(D26="","",D26*'CONTRACT CALC'!$B$4)</f>
        <v/>
      </c>
      <c r="F26" s="199">
        <f>IF(OR(IFERROR(MATCH(TEXT($B$10,"yyyymmdd")&amp;"|"&amp;$E$10&amp;"|9",'EVENT ASSIGNMENT'!$K$2:$K$101,0),"")="",B26=""),"",IFERROR(INDEX('CONTRACT CALC'!$H$13:$H$112,IFERROR(MATCH(TEXT($B$10,"yyyymmdd")&amp;"|"&amp;$E$10&amp;"|9",'EVENT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G26" s="199">
        <f>IF(F26="","",F26*'CONTRACT CALC'!$B$5)</f>
        <v/>
      </c>
      <c r="H26" s="199">
        <f>IF(B26="","",N(E26)+N(G26))</f>
        <v/>
      </c>
      <c r="I26" s="199">
        <f>IF(OR(IFERROR(MATCH(TEXT($B$10,"yyyymmdd")&amp;"|"&amp;$E$10&amp;"|9",'EVENT ASSIGNMENT'!$K$2:$K$101,0),"")="",B26=""),"",IF(COUNTIFS('TIPS DATA'!$A$2:$A$101,$B$10,'TIPS DATA'!$C$2:$C$101,$E$10,'TIPS DATA'!$D$2:$D$101,INDEX('EVENT ASSIGNMENT'!$C$2:$C$101,IFERROR(MATCH(TEXT($B$10,"yyyymmdd")&amp;"|"&amp;$E$10&amp;"|9",'EVENT ASSIGNMENT'!$K$2:$K$101,0),"")))&gt;0,SUMIFS('TIPS DATA'!$H$2:$H$101,'TIPS DATA'!$A$2:$A$101,$B$10,'TIPS DATA'!$C$2:$C$101,$E$10,'TIPS DATA'!$D$2:$D$101,INDEX('EVENT ASSIGNMENT'!$C$2:$C$101,IFERROR(MATCH(TEXT($B$10,"yyyymmdd")&amp;"|"&amp;$E$10&amp;"|9",'EVENT ASSIGNMENT'!$K$2:$K$101,0),""))),SUMIFS('TIPS DATA'!$H$2:$H$101,'TIPS DATA'!$A$2:$A$101,$B$10,'TIPS DATA'!$C$2:$C$101,$E$10,'TIPS DATA'!$E$2:$E$101,INDEX('EVENT ASSIGNMENT'!$D$2:$D$101,IFERROR(MATCH(TEXT($B$10,"yyyymmdd")&amp;"|"&amp;$E$10&amp;"|9",'EVENT ASSIGNMENT'!$K$2:$K$101,0),"")))))</f>
        <v/>
      </c>
    </row>
    <row r="27" ht="18" customHeight="1" s="130">
      <c r="A27" s="197">
        <f>IFERROR(MATCH(TEXT($B$10,"yyyymmdd")&amp;"|"&amp;$E$10&amp;"|10",'EVENT ASSIGNMENT'!$K$2:$K$101,0),"")</f>
        <v/>
      </c>
      <c r="B27" s="198">
        <f>IF(IFERROR(MATCH(TEXT($B$10,"yyyymmdd")&amp;"|"&amp;$E$10&amp;"|10",'EVENT ASSIGNMENT'!$K$2:$K$101,0),"")="","",IFERROR(INDEX('EVENT ASSIGNMENT'!$D$2:$D$101,IFERROR(MATCH(TEXT($B$10,"yyyymmdd")&amp;"|"&amp;$E$10&amp;"|10",'EVENT ASSIGNMENT'!$K$2:$K$101,0),"")),""))</f>
        <v/>
      </c>
      <c r="C27" s="199">
        <f>IF(OR(IFERROR(MATCH(TEXT($B$10,"yyyymmdd")&amp;"|"&amp;$E$10&amp;"|10",'EVENT ASSIGNMENT'!$K$2:$K$101,0),"")="",B27=""),"",IFERROR(INDEX('CONTRACT CALC'!$G$13:$G$112,IFERROR(MATCH(TEXT($B$10,"yyyymmdd")&amp;"|"&amp;$E$10&amp;"|10",'EVENT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D27" s="199">
        <f>IF(OR(IFERROR(MATCH(TEXT($B$10,"yyyymmdd")&amp;"|"&amp;$E$10&amp;"|10",'EVENT ASSIGNMENT'!$K$2:$K$101,0),"")="",B27=""),"",IFERROR(INDEX('CONTRACT CALC'!$I$13:$I$112,IFERROR(MATCH(TEXT($B$10,"yyyymmdd")&amp;"|"&amp;$E$10&amp;"|10",'EVENT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E27" s="199">
        <f>IF(D27="","",D27*'CONTRACT CALC'!$B$4)</f>
        <v/>
      </c>
      <c r="F27" s="199">
        <f>IF(OR(IFERROR(MATCH(TEXT($B$10,"yyyymmdd")&amp;"|"&amp;$E$10&amp;"|10",'EVENT ASSIGNMENT'!$K$2:$K$101,0),"")="",B27=""),"",IFERROR(INDEX('CONTRACT CALC'!$H$13:$H$112,IFERROR(MATCH(TEXT($B$10,"yyyymmdd")&amp;"|"&amp;$E$10&amp;"|10",'EVENT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G27" s="199">
        <f>IF(F27="","",F27*'CONTRACT CALC'!$B$5)</f>
        <v/>
      </c>
      <c r="H27" s="199">
        <f>IF(B27="","",N(E27)+N(G27))</f>
        <v/>
      </c>
      <c r="I27" s="199">
        <f>IF(OR(IFERROR(MATCH(TEXT($B$10,"yyyymmdd")&amp;"|"&amp;$E$10&amp;"|10",'EVENT ASSIGNMENT'!$K$2:$K$101,0),"")="",B27=""),"",IF(COUNTIFS('TIPS DATA'!$A$2:$A$101,$B$10,'TIPS DATA'!$C$2:$C$101,$E$10,'TIPS DATA'!$D$2:$D$101,INDEX('EVENT ASSIGNMENT'!$C$2:$C$101,IFERROR(MATCH(TEXT($B$10,"yyyymmdd")&amp;"|"&amp;$E$10&amp;"|10",'EVENT ASSIGNMENT'!$K$2:$K$101,0),"")))&gt;0,SUMIFS('TIPS DATA'!$H$2:$H$101,'TIPS DATA'!$A$2:$A$101,$B$10,'TIPS DATA'!$C$2:$C$101,$E$10,'TIPS DATA'!$D$2:$D$101,INDEX('EVENT ASSIGNMENT'!$C$2:$C$101,IFERROR(MATCH(TEXT($B$10,"yyyymmdd")&amp;"|"&amp;$E$10&amp;"|10",'EVENT ASSIGNMENT'!$K$2:$K$101,0),""))),SUMIFS('TIPS DATA'!$H$2:$H$101,'TIPS DATA'!$A$2:$A$101,$B$10,'TIPS DATA'!$C$2:$C$101,$E$10,'TIPS DATA'!$E$2:$E$101,INDEX('EVENT ASSIGNMENT'!$D$2:$D$101,IFERROR(MATCH(TEXT($B$10,"yyyymmdd")&amp;"|"&amp;$E$10&amp;"|10",'EVENT ASSIGNMENT'!$K$2:$K$101,0),"")))))</f>
        <v/>
      </c>
    </row>
    <row r="28" ht="18" customHeight="1" s="130">
      <c r="A28" s="197">
        <f>IFERROR(MATCH(TEXT($B$10,"yyyymmdd")&amp;"|"&amp;$E$10&amp;"|11",'EVENT ASSIGNMENT'!$K$2:$K$101,0),"")</f>
        <v/>
      </c>
      <c r="B28" s="198">
        <f>IF(IFERROR(MATCH(TEXT($B$10,"yyyymmdd")&amp;"|"&amp;$E$10&amp;"|11",'EVENT ASSIGNMENT'!$K$2:$K$101,0),"")="","",IFERROR(INDEX('EVENT ASSIGNMENT'!$D$2:$D$101,IFERROR(MATCH(TEXT($B$10,"yyyymmdd")&amp;"|"&amp;$E$10&amp;"|11",'EVENT ASSIGNMENT'!$K$2:$K$101,0),"")),""))</f>
        <v/>
      </c>
      <c r="C28" s="199">
        <f>IF(OR(IFERROR(MATCH(TEXT($B$10,"yyyymmdd")&amp;"|"&amp;$E$10&amp;"|11",'EVENT ASSIGNMENT'!$K$2:$K$101,0),"")="",B28=""),"",IFERROR(INDEX('CONTRACT CALC'!$G$13:$G$112,IFERROR(MATCH(TEXT($B$10,"yyyymmdd")&amp;"|"&amp;$E$10&amp;"|11",'EVENT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D28" s="199">
        <f>IF(OR(IFERROR(MATCH(TEXT($B$10,"yyyymmdd")&amp;"|"&amp;$E$10&amp;"|11",'EVENT ASSIGNMENT'!$K$2:$K$101,0),"")="",B28=""),"",IFERROR(INDEX('CONTRACT CALC'!$I$13:$I$112,IFERROR(MATCH(TEXT($B$10,"yyyymmdd")&amp;"|"&amp;$E$10&amp;"|11",'EVENT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E28" s="199">
        <f>IF(D28="","",D28*'CONTRACT CALC'!$B$4)</f>
        <v/>
      </c>
      <c r="F28" s="199">
        <f>IF(OR(IFERROR(MATCH(TEXT($B$10,"yyyymmdd")&amp;"|"&amp;$E$10&amp;"|11",'EVENT ASSIGNMENT'!$K$2:$K$101,0),"")="",B28=""),"",IFERROR(INDEX('CONTRACT CALC'!$H$13:$H$112,IFERROR(MATCH(TEXT($B$10,"yyyymmdd")&amp;"|"&amp;$E$10&amp;"|11",'EVENT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G28" s="199">
        <f>IF(F28="","",F28*'CONTRACT CALC'!$B$5)</f>
        <v/>
      </c>
      <c r="H28" s="199">
        <f>IF(B28="","",N(E28)+N(G28))</f>
        <v/>
      </c>
      <c r="I28" s="199">
        <f>IF(OR(IFERROR(MATCH(TEXT($B$10,"yyyymmdd")&amp;"|"&amp;$E$10&amp;"|11",'EVENT ASSIGNMENT'!$K$2:$K$101,0),"")="",B28=""),"",IF(COUNTIFS('TIPS DATA'!$A$2:$A$101,$B$10,'TIPS DATA'!$C$2:$C$101,$E$10,'TIPS DATA'!$D$2:$D$101,INDEX('EVENT ASSIGNMENT'!$C$2:$C$101,IFERROR(MATCH(TEXT($B$10,"yyyymmdd")&amp;"|"&amp;$E$10&amp;"|11",'EVENT ASSIGNMENT'!$K$2:$K$101,0),"")))&gt;0,SUMIFS('TIPS DATA'!$H$2:$H$101,'TIPS DATA'!$A$2:$A$101,$B$10,'TIPS DATA'!$C$2:$C$101,$E$10,'TIPS DATA'!$D$2:$D$101,INDEX('EVENT ASSIGNMENT'!$C$2:$C$101,IFERROR(MATCH(TEXT($B$10,"yyyymmdd")&amp;"|"&amp;$E$10&amp;"|11",'EVENT ASSIGNMENT'!$K$2:$K$101,0),""))),SUMIFS('TIPS DATA'!$H$2:$H$101,'TIPS DATA'!$A$2:$A$101,$B$10,'TIPS DATA'!$C$2:$C$101,$E$10,'TIPS DATA'!$E$2:$E$101,INDEX('EVENT ASSIGNMENT'!$D$2:$D$101,IFERROR(MATCH(TEXT($B$10,"yyyymmdd")&amp;"|"&amp;$E$10&amp;"|11",'EVENT ASSIGNMENT'!$K$2:$K$101,0),"")))))</f>
        <v/>
      </c>
    </row>
    <row r="29" ht="18" customHeight="1" s="130">
      <c r="A29" s="197">
        <f>IFERROR(MATCH(TEXT($B$10,"yyyymmdd")&amp;"|"&amp;$E$10&amp;"|12",'EVENT ASSIGNMENT'!$K$2:$K$101,0),"")</f>
        <v/>
      </c>
      <c r="B29" s="198">
        <f>IF(IFERROR(MATCH(TEXT($B$10,"yyyymmdd")&amp;"|"&amp;$E$10&amp;"|12",'EVENT ASSIGNMENT'!$K$2:$K$101,0),"")="","",IFERROR(INDEX('EVENT ASSIGNMENT'!$D$2:$D$101,IFERROR(MATCH(TEXT($B$10,"yyyymmdd")&amp;"|"&amp;$E$10&amp;"|12",'EVENT ASSIGNMENT'!$K$2:$K$101,0),"")),""))</f>
        <v/>
      </c>
      <c r="C29" s="199">
        <f>IF(OR(IFERROR(MATCH(TEXT($B$10,"yyyymmdd")&amp;"|"&amp;$E$10&amp;"|12",'EVENT ASSIGNMENT'!$K$2:$K$101,0),"")="",B29=""),"",IFERROR(INDEX('CONTRACT CALC'!$G$13:$G$112,IFERROR(MATCH(TEXT($B$10,"yyyymmdd")&amp;"|"&amp;$E$10&amp;"|12",'EVENT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D29" s="199">
        <f>IF(OR(IFERROR(MATCH(TEXT($B$10,"yyyymmdd")&amp;"|"&amp;$E$10&amp;"|12",'EVENT ASSIGNMENT'!$K$2:$K$101,0),"")="",B29=""),"",IFERROR(INDEX('CONTRACT CALC'!$I$13:$I$112,IFERROR(MATCH(TEXT($B$10,"yyyymmdd")&amp;"|"&amp;$E$10&amp;"|12",'EVENT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E29" s="199">
        <f>IF(D29="","",D29*'CONTRACT CALC'!$B$4)</f>
        <v/>
      </c>
      <c r="F29" s="199">
        <f>IF(OR(IFERROR(MATCH(TEXT($B$10,"yyyymmdd")&amp;"|"&amp;$E$10&amp;"|12",'EVENT ASSIGNMENT'!$K$2:$K$101,0),"")="",B29=""),"",IFERROR(INDEX('CONTRACT CALC'!$H$13:$H$112,IFERROR(MATCH(TEXT($B$10,"yyyymmdd")&amp;"|"&amp;$E$10&amp;"|12",'EVENT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G29" s="199">
        <f>IF(F29="","",F29*'CONTRACT CALC'!$B$5)</f>
        <v/>
      </c>
      <c r="H29" s="199">
        <f>IF(B29="","",N(E29)+N(G29))</f>
        <v/>
      </c>
      <c r="I29" s="199">
        <f>IF(OR(IFERROR(MATCH(TEXT($B$10,"yyyymmdd")&amp;"|"&amp;$E$10&amp;"|12",'EVENT ASSIGNMENT'!$K$2:$K$101,0),"")="",B29=""),"",IF(COUNTIFS('TIPS DATA'!$A$2:$A$101,$B$10,'TIPS DATA'!$C$2:$C$101,$E$10,'TIPS DATA'!$D$2:$D$101,INDEX('EVENT ASSIGNMENT'!$C$2:$C$101,IFERROR(MATCH(TEXT($B$10,"yyyymmdd")&amp;"|"&amp;$E$10&amp;"|12",'EVENT ASSIGNMENT'!$K$2:$K$101,0),"")))&gt;0,SUMIFS('TIPS DATA'!$H$2:$H$101,'TIPS DATA'!$A$2:$A$101,$B$10,'TIPS DATA'!$C$2:$C$101,$E$10,'TIPS DATA'!$D$2:$D$101,INDEX('EVENT ASSIGNMENT'!$C$2:$C$101,IFERROR(MATCH(TEXT($B$10,"yyyymmdd")&amp;"|"&amp;$E$10&amp;"|12",'EVENT ASSIGNMENT'!$K$2:$K$101,0),""))),SUMIFS('TIPS DATA'!$H$2:$H$101,'TIPS DATA'!$A$2:$A$101,$B$10,'TIPS DATA'!$C$2:$C$101,$E$10,'TIPS DATA'!$E$2:$E$101,INDEX('EVENT ASSIGNMENT'!$D$2:$D$101,IFERROR(MATCH(TEXT($B$10,"yyyymmdd")&amp;"|"&amp;$E$10&amp;"|12",'EVENT ASSIGNMENT'!$K$2:$K$101,0),"")))))</f>
        <v/>
      </c>
    </row>
    <row r="30" ht="18" customHeight="1" s="130">
      <c r="A30" s="197">
        <f>IFERROR(MATCH(TEXT($B$10,"yyyymmdd")&amp;"|"&amp;$E$10&amp;"|13",'EVENT ASSIGNMENT'!$K$2:$K$101,0),"")</f>
        <v/>
      </c>
      <c r="B30" s="198">
        <f>IF(IFERROR(MATCH(TEXT($B$10,"yyyymmdd")&amp;"|"&amp;$E$10&amp;"|13",'EVENT ASSIGNMENT'!$K$2:$K$101,0),"")="","",IFERROR(INDEX('EVENT ASSIGNMENT'!$D$2:$D$101,IFERROR(MATCH(TEXT($B$10,"yyyymmdd")&amp;"|"&amp;$E$10&amp;"|13",'EVENT ASSIGNMENT'!$K$2:$K$101,0),"")),""))</f>
        <v/>
      </c>
      <c r="C30" s="199">
        <f>IF(OR(IFERROR(MATCH(TEXT($B$10,"yyyymmdd")&amp;"|"&amp;$E$10&amp;"|13",'EVENT ASSIGNMENT'!$K$2:$K$101,0),"")="",B30=""),"",IFERROR(INDEX('CONTRACT CALC'!$G$13:$G$112,IFERROR(MATCH(TEXT($B$10,"yyyymmdd")&amp;"|"&amp;$E$10&amp;"|13",'EVENT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D30" s="199">
        <f>IF(OR(IFERROR(MATCH(TEXT($B$10,"yyyymmdd")&amp;"|"&amp;$E$10&amp;"|13",'EVENT ASSIGNMENT'!$K$2:$K$101,0),"")="",B30=""),"",IFERROR(INDEX('CONTRACT CALC'!$I$13:$I$112,IFERROR(MATCH(TEXT($B$10,"yyyymmdd")&amp;"|"&amp;$E$10&amp;"|13",'EVENT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E30" s="199">
        <f>IF(D30="","",D30*'CONTRACT CALC'!$B$4)</f>
        <v/>
      </c>
      <c r="F30" s="199">
        <f>IF(OR(IFERROR(MATCH(TEXT($B$10,"yyyymmdd")&amp;"|"&amp;$E$10&amp;"|13",'EVENT ASSIGNMENT'!$K$2:$K$101,0),"")="",B30=""),"",IFERROR(INDEX('CONTRACT CALC'!$H$13:$H$112,IFERROR(MATCH(TEXT($B$10,"yyyymmdd")&amp;"|"&amp;$E$10&amp;"|13",'EVENT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G30" s="199">
        <f>IF(F30="","",F30*'CONTRACT CALC'!$B$5)</f>
        <v/>
      </c>
      <c r="H30" s="199">
        <f>IF(B30="","",N(E30)+N(G30))</f>
        <v/>
      </c>
      <c r="I30" s="199">
        <f>IF(OR(IFERROR(MATCH(TEXT($B$10,"yyyymmdd")&amp;"|"&amp;$E$10&amp;"|13",'EVENT ASSIGNMENT'!$K$2:$K$101,0),"")="",B30=""),"",IF(COUNTIFS('TIPS DATA'!$A$2:$A$101,$B$10,'TIPS DATA'!$C$2:$C$101,$E$10,'TIPS DATA'!$D$2:$D$101,INDEX('EVENT ASSIGNMENT'!$C$2:$C$101,IFERROR(MATCH(TEXT($B$10,"yyyymmdd")&amp;"|"&amp;$E$10&amp;"|13",'EVENT ASSIGNMENT'!$K$2:$K$101,0),"")))&gt;0,SUMIFS('TIPS DATA'!$H$2:$H$101,'TIPS DATA'!$A$2:$A$101,$B$10,'TIPS DATA'!$C$2:$C$101,$E$10,'TIPS DATA'!$D$2:$D$101,INDEX('EVENT ASSIGNMENT'!$C$2:$C$101,IFERROR(MATCH(TEXT($B$10,"yyyymmdd")&amp;"|"&amp;$E$10&amp;"|13",'EVENT ASSIGNMENT'!$K$2:$K$101,0),""))),SUMIFS('TIPS DATA'!$H$2:$H$101,'TIPS DATA'!$A$2:$A$101,$B$10,'TIPS DATA'!$C$2:$C$101,$E$10,'TIPS DATA'!$E$2:$E$101,INDEX('EVENT ASSIGNMENT'!$D$2:$D$101,IFERROR(MATCH(TEXT($B$10,"yyyymmdd")&amp;"|"&amp;$E$10&amp;"|13",'EVENT ASSIGNMENT'!$K$2:$K$101,0),"")))))</f>
        <v/>
      </c>
    </row>
    <row r="31" ht="18" customHeight="1" s="130" thickBot="1">
      <c r="A31" s="197">
        <f>IFERROR(MATCH(TEXT($B$10,"yyyymmdd")&amp;"|"&amp;$E$10&amp;"|14",'EVENT ASSIGNMENT'!$K$2:$K$101,0),"")</f>
        <v/>
      </c>
      <c r="B31" s="198">
        <f>IF(IFERROR(MATCH(TEXT($B$10,"yyyymmdd")&amp;"|"&amp;$E$10&amp;"|14",'EVENT ASSIGNMENT'!$K$2:$K$101,0),"")="","",IFERROR(INDEX('EVENT ASSIGNMENT'!$D$2:$D$101,IFERROR(MATCH(TEXT($B$10,"yyyymmdd")&amp;"|"&amp;$E$10&amp;"|14",'EVENT ASSIGNMENT'!$K$2:$K$101,0),"")),""))</f>
        <v/>
      </c>
      <c r="C31" s="199">
        <f>IF(OR(IFERROR(MATCH(TEXT($B$10,"yyyymmdd")&amp;"|"&amp;$E$10&amp;"|14",'EVENT ASSIGNMENT'!$K$2:$K$101,0),"")="",B31=""),"",IFERROR(INDEX('CONTRACT CALC'!$G$13:$G$112,IFERROR(MATCH(TEXT($B$10,"yyyymmdd")&amp;"|"&amp;$E$10&amp;"|14",'EVENT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D31" s="199">
        <f>IF(OR(IFERROR(MATCH(TEXT($B$10,"yyyymmdd")&amp;"|"&amp;$E$10&amp;"|14",'EVENT ASSIGNMENT'!$K$2:$K$101,0),"")="",B31=""),"",IFERROR(INDEX('CONTRACT CALC'!$I$13:$I$112,IFERROR(MATCH(TEXT($B$10,"yyyymmdd")&amp;"|"&amp;$E$10&amp;"|14",'EVENT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E31" s="199">
        <f>IF(D31="","",D31*'CONTRACT CALC'!$B$4)</f>
        <v/>
      </c>
      <c r="F31" s="199">
        <f>IF(OR(IFERROR(MATCH(TEXT($B$10,"yyyymmdd")&amp;"|"&amp;$E$10&amp;"|14",'EVENT ASSIGNMENT'!$K$2:$K$101,0),"")="",B31=""),"",IFERROR(INDEX('CONTRACT CALC'!$H$13:$H$112,IFERROR(MATCH(TEXT($B$10,"yyyymmdd")&amp;"|"&amp;$E$10&amp;"|14",'EVENT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G31" s="199">
        <f>IF(F31="","",F31*'CONTRACT CALC'!$B$5)</f>
        <v/>
      </c>
      <c r="H31" s="199">
        <f>IF(B31="","",N(E31)+N(G31))</f>
        <v/>
      </c>
      <c r="I31" s="199">
        <f>IF(OR(IFERROR(MATCH(TEXT($B$10,"yyyymmdd")&amp;"|"&amp;$E$10&amp;"|14",'EVENT ASSIGNMENT'!$K$2:$K$101,0),"")="",B31=""),"",IF(COUNTIFS('TIPS DATA'!$A$2:$A$101,$B$10,'TIPS DATA'!$C$2:$C$101,$E$10,'TIPS DATA'!$D$2:$D$101,INDEX('EVENT ASSIGNMENT'!$C$2:$C$101,IFERROR(MATCH(TEXT($B$10,"yyyymmdd")&amp;"|"&amp;$E$10&amp;"|14",'EVENT ASSIGNMENT'!$K$2:$K$101,0),"")))&gt;0,SUMIFS('TIPS DATA'!$H$2:$H$101,'TIPS DATA'!$A$2:$A$101,$B$10,'TIPS DATA'!$C$2:$C$101,$E$10,'TIPS DATA'!$D$2:$D$101,INDEX('EVENT ASSIGNMENT'!$C$2:$C$101,IFERROR(MATCH(TEXT($B$10,"yyyymmdd")&amp;"|"&amp;$E$10&amp;"|14",'EVENT ASSIGNMENT'!$K$2:$K$101,0),""))),SUMIFS('TIPS DATA'!$H$2:$H$101,'TIPS DATA'!$A$2:$A$101,$B$10,'TIPS DATA'!$C$2:$C$101,$E$10,'TIPS DATA'!$E$2:$E$101,INDEX('EVENT ASSIGNMENT'!$D$2:$D$101,IFERROR(MATCH(TEXT($B$10,"yyyymmdd")&amp;"|"&amp;$E$10&amp;"|14",'EVENT ASSIGNMENT'!$K$2:$K$101,0),"")))))</f>
        <v/>
      </c>
    </row>
    <row r="32" ht="20.25" customHeight="1" s="130">
      <c r="A32" s="197">
        <f>IFERROR(MATCH(TEXT($B$10,"yyyymmdd")&amp;"|"&amp;$E$10&amp;"|15",'EVENT ASSIGNMENT'!$K$2:$K$101,0),"")</f>
        <v/>
      </c>
      <c r="B32" s="201">
        <f>IF(IFERROR(MATCH(TEXT($B$10,"yyyymmdd")&amp;"|"&amp;$E$10&amp;"|15",'EVENT ASSIGNMENT'!$K$2:$K$101,0),"")="","",IFERROR(INDEX('EVENT ASSIGNMENT'!$D$2:$D$101,IFERROR(MATCH(TEXT($B$10,"yyyymmdd")&amp;"|"&amp;$E$10&amp;"|15",'EVENT ASSIGNMENT'!$K$2:$K$101,0),"")),""))</f>
        <v/>
      </c>
      <c r="C32" s="202">
        <f>IF(OR(IFERROR(MATCH(TEXT($B$10,"yyyymmdd")&amp;"|"&amp;$E$10&amp;"|15",'EVENT ASSIGNMENT'!$K$2:$K$101,0),"")="",B32=""),"",IFERROR(INDEX('CONTRACT CALC'!$G$13:$G$112,IFERROR(MATCH(TEXT($B$10,"yyyymmdd")&amp;"|"&amp;$E$10&amp;"|15",'EVENT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D32" s="202">
        <f>IF(OR(IFERROR(MATCH(TEXT($B$10,"yyyymmdd")&amp;"|"&amp;$E$10&amp;"|15",'EVENT ASSIGNMENT'!$K$2:$K$101,0),"")="",B32=""),"",IFERROR(INDEX('CONTRACT CALC'!$I$13:$I$112,IFERROR(MATCH(TEXT($B$10,"yyyymmdd")&amp;"|"&amp;$E$10&amp;"|15",'EVENT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E32" s="202">
        <f>IF(D32="","",D32*'CONTRACT CALC'!$B$4)</f>
        <v/>
      </c>
      <c r="F32" s="199">
        <f>IF(OR(IFERROR(MATCH(TEXT($B$10,"yyyymmdd")&amp;"|"&amp;$E$10&amp;"|15",'EVENT ASSIGNMENT'!$K$2:$K$101,0),"")="",B32=""),"",IFERROR(INDEX('CONTRACT CALC'!$H$13:$H$112,IFERROR(MATCH(TEXT($B$10,"yyyymmdd")&amp;"|"&amp;$E$10&amp;"|15",'EVENT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G32" s="202">
        <f>IF(F32="","",F32*'CONTRACT CALC'!$B$5)</f>
        <v/>
      </c>
      <c r="H32" s="202">
        <f>IF(B32="","",N(E32)+N(G32))</f>
        <v/>
      </c>
      <c r="I32" s="202">
        <f>IF(OR(IFERROR(MATCH(TEXT($B$10,"yyyymmdd")&amp;"|"&amp;$E$10&amp;"|15",'EVENT ASSIGNMENT'!$K$2:$K$101,0),"")="",B32=""),"",IF(COUNTIFS('TIPS DATA'!$A$2:$A$101,$B$10,'TIPS DATA'!$C$2:$C$101,$E$10,'TIPS DATA'!$D$2:$D$101,INDEX('EVENT ASSIGNMENT'!$C$2:$C$101,IFERROR(MATCH(TEXT($B$10,"yyyymmdd")&amp;"|"&amp;$E$10&amp;"|15",'EVENT ASSIGNMENT'!$K$2:$K$101,0),"")))&gt;0,SUMIFS('TIPS DATA'!$H$2:$H$101,'TIPS DATA'!$A$2:$A$101,$B$10,'TIPS DATA'!$C$2:$C$101,$E$10,'TIPS DATA'!$D$2:$D$101,INDEX('EVENT ASSIGNMENT'!$C$2:$C$101,IFERROR(MATCH(TEXT($B$10,"yyyymmdd")&amp;"|"&amp;$E$10&amp;"|15",'EVENT ASSIGNMENT'!$K$2:$K$101,0),""))),SUMIFS('TIPS DATA'!$H$2:$H$101,'TIPS DATA'!$A$2:$A$101,$B$10,'TIPS DATA'!$C$2:$C$101,$E$10,'TIPS DATA'!$E$2:$E$101,INDEX('EVENT ASSIGNMENT'!$D$2:$D$101,IFERROR(MATCH(TEXT($B$10,"yyyymmdd")&amp;"|"&amp;$E$10&amp;"|15",'EVENT ASSIGNMENT'!$K$2:$K$101,0),"")))))</f>
        <v/>
      </c>
    </row>
    <row r="33" ht="6" customHeight="1" s="130">
      <c r="A33" s="197">
        <f>IFERROR(MATCH(TEXT($B$10,"yyyymmdd")&amp;"|"&amp;$E$10&amp;"|16",'EVENT ASSIGNMENT'!$K$2:$K$101,0),"")</f>
        <v/>
      </c>
      <c r="B33" s="203">
        <f>IF(IFERROR(MATCH(TEXT($B$10,"yyyymmdd")&amp;"|"&amp;$E$10&amp;"|16",'EVENT ASSIGNMENT'!$K$2:$K$101,0),"")="","",IFERROR(INDEX('EVENT ASSIGNMENT'!$D$2:$D$101,IFERROR(MATCH(TEXT($B$10,"yyyymmdd")&amp;"|"&amp;$E$10&amp;"|16",'EVENT ASSIGNMENT'!$K$2:$K$101,0),"")),""))</f>
        <v/>
      </c>
      <c r="C33" s="204">
        <f>IF(OR(IFERROR(MATCH(TEXT($B$10,"yyyymmdd")&amp;"|"&amp;$E$10&amp;"|16",'EVENT ASSIGNMENT'!$K$2:$K$101,0),"")="",B33=""),"",IFERROR(INDEX('CONTRACT CALC'!$G$13:$G$112,IFERROR(MATCH(TEXT($B$10,"yyyymmdd")&amp;"|"&amp;$E$10&amp;"|16",'EVENT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D33" s="204">
        <f>IF(OR(IFERROR(MATCH(TEXT($B$10,"yyyymmdd")&amp;"|"&amp;$E$10&amp;"|16",'EVENT ASSIGNMENT'!$K$2:$K$101,0),"")="",B33=""),"",IFERROR(INDEX('CONTRACT CALC'!$I$13:$I$112,IFERROR(MATCH(TEXT($B$10,"yyyymmdd")&amp;"|"&amp;$E$10&amp;"|16",'EVENT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E33" s="204">
        <f>IF(D33="","",D33*'CONTRACT CALC'!$B$4)</f>
        <v/>
      </c>
      <c r="F33" s="204">
        <f>IF(OR(IFERROR(MATCH(TEXT($B$10,"yyyymmdd")&amp;"|"&amp;$E$10&amp;"|16",'EVENT ASSIGNMENT'!$K$2:$K$101,0),"")="",B33=""),"",IFERROR(INDEX('CONTRACT CALC'!$H$13:$H$112,IFERROR(MATCH(TEXT($B$10,"yyyymmdd")&amp;"|"&amp;$E$10&amp;"|16",'EVENT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G33" s="204">
        <f>IF(F33="","",F33*'CONTRACT CALC'!$B$5)</f>
        <v/>
      </c>
      <c r="H33" s="204">
        <f>IF(B33="","",N(E33)+N(G33))</f>
        <v/>
      </c>
      <c r="I33" s="204">
        <f>IF(OR(IFERROR(MATCH(TEXT($B$10,"yyyymmdd")&amp;"|"&amp;$E$10&amp;"|16",'EVENT ASSIGNMENT'!$K$2:$K$101,0),"")="",B33=""),"",IF(COUNTIFS('TIPS DATA'!$A$2:$A$101,$B$10,'TIPS DATA'!$C$2:$C$101,$E$10,'TIPS DATA'!$D$2:$D$101,INDEX('EVENT ASSIGNMENT'!$C$2:$C$101,IFERROR(MATCH(TEXT($B$10,"yyyymmdd")&amp;"|"&amp;$E$10&amp;"|16",'EVENT ASSIGNMENT'!$K$2:$K$101,0),"")))&gt;0,SUMIFS('TIPS DATA'!$H$2:$H$101,'TIPS DATA'!$A$2:$A$101,$B$10,'TIPS DATA'!$C$2:$C$101,$E$10,'TIPS DATA'!$D$2:$D$101,INDEX('EVENT ASSIGNMENT'!$C$2:$C$101,IFERROR(MATCH(TEXT($B$10,"yyyymmdd")&amp;"|"&amp;$E$10&amp;"|16",'EVENT ASSIGNMENT'!$K$2:$K$101,0),""))),SUMIFS('TIPS DATA'!$H$2:$H$101,'TIPS DATA'!$A$2:$A$101,$B$10,'TIPS DATA'!$C$2:$C$101,$E$10,'TIPS DATA'!$E$2:$E$101,INDEX('EVENT ASSIGNMENT'!$D$2:$D$101,IFERROR(MATCH(TEXT($B$10,"yyyymmdd")&amp;"|"&amp;$E$10&amp;"|16",'EVENT ASSIGNMENT'!$K$2:$K$101,0),"")))))</f>
        <v/>
      </c>
    </row>
    <row r="34" ht="13.5" customHeight="1" s="130" thickBot="1">
      <c r="A34" s="197">
        <f>IFERROR(MATCH(TEXT($B$10,"yyyymmdd")&amp;"|"&amp;$E$10&amp;"|17",'EVENT ASSIGNMENT'!$K$2:$K$101,0),"")</f>
        <v/>
      </c>
      <c r="B34" s="201">
        <f>IF(IFERROR(MATCH(TEXT($B$10,"yyyymmdd")&amp;"|"&amp;$E$10&amp;"|17",'EVENT ASSIGNMENT'!$K$2:$K$101,0),"")="","",IFERROR(INDEX('EVENT ASSIGNMENT'!$D$2:$D$101,IFERROR(MATCH(TEXT($B$10,"yyyymmdd")&amp;"|"&amp;$E$10&amp;"|17",'EVENT ASSIGNMENT'!$K$2:$K$101,0),"")),""))</f>
        <v/>
      </c>
      <c r="C34" s="202">
        <f>IF(OR(IFERROR(MATCH(TEXT($B$10,"yyyymmdd")&amp;"|"&amp;$E$10&amp;"|17",'EVENT ASSIGNMENT'!$K$2:$K$101,0),"")="",B34=""),"",IFERROR(INDEX('CONTRACT CALC'!$G$13:$G$112,IFERROR(MATCH(TEXT($B$10,"yyyymmdd")&amp;"|"&amp;$E$10&amp;"|17",'EVENT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D34" s="202">
        <f>IF(OR(IFERROR(MATCH(TEXT($B$10,"yyyymmdd")&amp;"|"&amp;$E$10&amp;"|17",'EVENT ASSIGNMENT'!$K$2:$K$101,0),"")="",B34=""),"",IFERROR(INDEX('CONTRACT CALC'!$I$13:$I$112,IFERROR(MATCH(TEXT($B$10,"yyyymmdd")&amp;"|"&amp;$E$10&amp;"|17",'EVENT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E34" s="202">
        <f>IF(D34="","",D34*'CONTRACT CALC'!$B$4)</f>
        <v/>
      </c>
      <c r="F34" s="202">
        <f>IF(OR(IFERROR(MATCH(TEXT($B$10,"yyyymmdd")&amp;"|"&amp;$E$10&amp;"|17",'EVENT ASSIGNMENT'!$K$2:$K$101,0),"")="",B34=""),"",IFERROR(INDEX('CONTRACT CALC'!$H$13:$H$112,IFERROR(MATCH(TEXT($B$10,"yyyymmdd")&amp;"|"&amp;$E$10&amp;"|17",'EVENT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G34" s="202">
        <f>IF(F34="","",F34*'CONTRACT CALC'!$B$5)</f>
        <v/>
      </c>
      <c r="H34" s="202">
        <f>IF(B34="","",N(E34)+N(G34))</f>
        <v/>
      </c>
      <c r="I34" s="202">
        <f>IF(OR(IFERROR(MATCH(TEXT($B$10,"yyyymmdd")&amp;"|"&amp;$E$10&amp;"|17",'EVENT ASSIGNMENT'!$K$2:$K$101,0),"")="",B34=""),"",IF(COUNTIFS('TIPS DATA'!$A$2:$A$101,$B$10,'TIPS DATA'!$C$2:$C$101,$E$10,'TIPS DATA'!$D$2:$D$101,INDEX('EVENT ASSIGNMENT'!$C$2:$C$101,IFERROR(MATCH(TEXT($B$10,"yyyymmdd")&amp;"|"&amp;$E$10&amp;"|17",'EVENT ASSIGNMENT'!$K$2:$K$101,0),"")))&gt;0,SUMIFS('TIPS DATA'!$H$2:$H$101,'TIPS DATA'!$A$2:$A$101,$B$10,'TIPS DATA'!$C$2:$C$101,$E$10,'TIPS DATA'!$D$2:$D$101,INDEX('EVENT ASSIGNMENT'!$C$2:$C$101,IFERROR(MATCH(TEXT($B$10,"yyyymmdd")&amp;"|"&amp;$E$10&amp;"|17",'EVENT ASSIGNMENT'!$K$2:$K$101,0),""))),SUMIFS('TIPS DATA'!$H$2:$H$101,'TIPS DATA'!$A$2:$A$101,$B$10,'TIPS DATA'!$C$2:$C$101,$E$10,'TIPS DATA'!$E$2:$E$101,INDEX('EVENT ASSIGNMENT'!$D$2:$D$101,IFERROR(MATCH(TEXT($B$10,"yyyymmdd")&amp;"|"&amp;$E$10&amp;"|17",'EVENT ASSIGNMENT'!$K$2:$K$101,0),"")))))</f>
        <v/>
      </c>
    </row>
    <row r="35" ht="18" customHeight="1" s="130" thickBot="1">
      <c r="A35" s="197">
        <f>IFERROR(MATCH(TEXT($B$10,"yyyymmdd")&amp;"|"&amp;$E$10&amp;"|18",'EVENT ASSIGNMENT'!$K$2:$K$101,0),"")</f>
        <v/>
      </c>
      <c r="B35" s="205">
        <f>IF(IFERROR(MATCH(TEXT($B$10,"yyyymmdd")&amp;"|"&amp;$E$10&amp;"|18",'EVENT ASSIGNMENT'!$K$2:$K$101,0),"")="","",IFERROR(INDEX('EVENT ASSIGNMENT'!$D$2:$D$101,IFERROR(MATCH(TEXT($B$10,"yyyymmdd")&amp;"|"&amp;$E$10&amp;"|18",'EVENT ASSIGNMENT'!$K$2:$K$101,0),"")),""))</f>
        <v/>
      </c>
      <c r="C35" s="199">
        <f>IF(OR(IFERROR(MATCH(TEXT($B$10,"yyyymmdd")&amp;"|"&amp;$E$10&amp;"|18",'EVENT ASSIGNMENT'!$K$2:$K$101,0),"")="",B35=""),"",IFERROR(INDEX('CONTRACT CALC'!$G$13:$G$112,IFERROR(MATCH(TEXT($B$10,"yyyymmdd")&amp;"|"&amp;$E$10&amp;"|18",'EVENT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D35" s="199">
        <f>IF(OR(IFERROR(MATCH(TEXT($B$10,"yyyymmdd")&amp;"|"&amp;$E$10&amp;"|18",'EVENT ASSIGNMENT'!$K$2:$K$101,0),"")="",B35=""),"",IFERROR(INDEX('CONTRACT CALC'!$I$13:$I$112,IFERROR(MATCH(TEXT($B$10,"yyyymmdd")&amp;"|"&amp;$E$10&amp;"|18",'EVENT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E35" s="206">
        <f>IF(D35="","",D35*'CONTRACT CALC'!$B$4)</f>
        <v/>
      </c>
      <c r="F35" s="199">
        <f>IF(OR(IFERROR(MATCH(TEXT($B$10,"yyyymmdd")&amp;"|"&amp;$E$10&amp;"|18",'EVENT ASSIGNMENT'!$K$2:$K$101,0),"")="",B35=""),"",IFERROR(INDEX('CONTRACT CALC'!$H$13:$H$112,IFERROR(MATCH(TEXT($B$10,"yyyymmdd")&amp;"|"&amp;$E$10&amp;"|18",'EVENT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G35" s="199">
        <f>IF(F35="","",F35*'CONTRACT CALC'!$B$5)</f>
        <v/>
      </c>
      <c r="H35" s="199">
        <f>IF(B35="","",N(E35)+N(G35))</f>
        <v/>
      </c>
      <c r="I35" s="199">
        <f>IF(OR(IFERROR(MATCH(TEXT($B$10,"yyyymmdd")&amp;"|"&amp;$E$10&amp;"|18",'EVENT ASSIGNMENT'!$K$2:$K$101,0),"")="",B35=""),"",IF(COUNTIFS('TIPS DATA'!$A$2:$A$101,$B$10,'TIPS DATA'!$C$2:$C$101,$E$10,'TIPS DATA'!$D$2:$D$101,INDEX('EVENT ASSIGNMENT'!$C$2:$C$101,IFERROR(MATCH(TEXT($B$10,"yyyymmdd")&amp;"|"&amp;$E$10&amp;"|18",'EVENT ASSIGNMENT'!$K$2:$K$101,0),"")))&gt;0,SUMIFS('TIPS DATA'!$H$2:$H$101,'TIPS DATA'!$A$2:$A$101,$B$10,'TIPS DATA'!$C$2:$C$101,$E$10,'TIPS DATA'!$D$2:$D$101,INDEX('EVENT ASSIGNMENT'!$C$2:$C$101,IFERROR(MATCH(TEXT($B$10,"yyyymmdd")&amp;"|"&amp;$E$10&amp;"|18",'EVENT ASSIGNMENT'!$K$2:$K$101,0),""))),SUMIFS('TIPS DATA'!$H$2:$H$101,'TIPS DATA'!$A$2:$A$101,$B$10,'TIPS DATA'!$C$2:$C$101,$E$10,'TIPS DATA'!$E$2:$E$101,INDEX('EVENT ASSIGNMENT'!$D$2:$D$101,IFERROR(MATCH(TEXT($B$10,"yyyymmdd")&amp;"|"&amp;$E$10&amp;"|18",'EVENT ASSIGNMENT'!$K$2:$K$101,0),"")))))</f>
        <v/>
      </c>
    </row>
    <row r="36" ht="18" customHeight="1" s="130">
      <c r="A36" s="197">
        <f>IFERROR(MATCH(TEXT($B$10,"yyyymmdd")&amp;"|"&amp;$E$10&amp;"|19",'EVENT ASSIGNMENT'!$K$2:$K$101,0),"")</f>
        <v/>
      </c>
      <c r="B36" s="198">
        <f>IF(IFERROR(MATCH(TEXT($B$10,"yyyymmdd")&amp;"|"&amp;$E$10&amp;"|19",'EVENT ASSIGNMENT'!$K$2:$K$101,0),"")="","",IFERROR(INDEX('EVENT ASSIGNMENT'!$D$2:$D$101,IFERROR(MATCH(TEXT($B$10,"yyyymmdd")&amp;"|"&amp;$E$10&amp;"|19",'EVENT ASSIGNMENT'!$K$2:$K$101,0),"")),""))</f>
        <v/>
      </c>
      <c r="C36" s="199">
        <f>IF(OR(IFERROR(MATCH(TEXT($B$10,"yyyymmdd")&amp;"|"&amp;$E$10&amp;"|19",'EVENT ASSIGNMENT'!$K$2:$K$101,0),"")="",B36=""),"",IFERROR(INDEX('CONTRACT CALC'!$G$13:$G$112,IFERROR(MATCH(TEXT($B$10,"yyyymmdd")&amp;"|"&amp;$E$10&amp;"|19",'EVENT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D36" s="199">
        <f>IF(OR(IFERROR(MATCH(TEXT($B$10,"yyyymmdd")&amp;"|"&amp;$E$10&amp;"|19",'EVENT ASSIGNMENT'!$K$2:$K$101,0),"")="",B36=""),"",IFERROR(INDEX('CONTRACT CALC'!$I$13:$I$112,IFERROR(MATCH(TEXT($B$10,"yyyymmdd")&amp;"|"&amp;$E$10&amp;"|19",'EVENT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E36" s="207">
        <f>IF(D36="","",D36*'CONTRACT CALC'!$B$4)</f>
        <v/>
      </c>
      <c r="F36" s="207">
        <f>IF(OR(IFERROR(MATCH(TEXT($B$10,"yyyymmdd")&amp;"|"&amp;$E$10&amp;"|19",'EVENT ASSIGNMENT'!$K$2:$K$101,0),"")="",B36=""),"",IFERROR(INDEX('CONTRACT CALC'!$H$13:$H$112,IFERROR(MATCH(TEXT($B$10,"yyyymmdd")&amp;"|"&amp;$E$10&amp;"|19",'EVENT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G36" s="207">
        <f>IF(F36="","",F36*'CONTRACT CALC'!$B$5)</f>
        <v/>
      </c>
      <c r="H36" s="199">
        <f>IF(B36="","",N(E36)+N(G36))</f>
        <v/>
      </c>
      <c r="I36" s="199">
        <f>IF(OR(IFERROR(MATCH(TEXT($B$10,"yyyymmdd")&amp;"|"&amp;$E$10&amp;"|19",'EVENT ASSIGNMENT'!$K$2:$K$101,0),"")="",B36=""),"",IF(COUNTIFS('TIPS DATA'!$A$2:$A$101,$B$10,'TIPS DATA'!$C$2:$C$101,$E$10,'TIPS DATA'!$D$2:$D$101,INDEX('EVENT ASSIGNMENT'!$C$2:$C$101,IFERROR(MATCH(TEXT($B$10,"yyyymmdd")&amp;"|"&amp;$E$10&amp;"|19",'EVENT ASSIGNMENT'!$K$2:$K$101,0),"")))&gt;0,SUMIFS('TIPS DATA'!$H$2:$H$101,'TIPS DATA'!$A$2:$A$101,$B$10,'TIPS DATA'!$C$2:$C$101,$E$10,'TIPS DATA'!$D$2:$D$101,INDEX('EVENT ASSIGNMENT'!$C$2:$C$101,IFERROR(MATCH(TEXT($B$10,"yyyymmdd")&amp;"|"&amp;$E$10&amp;"|19",'EVENT ASSIGNMENT'!$K$2:$K$101,0),""))),SUMIFS('TIPS DATA'!$H$2:$H$101,'TIPS DATA'!$A$2:$A$101,$B$10,'TIPS DATA'!$C$2:$C$101,$E$10,'TIPS DATA'!$E$2:$E$101,INDEX('EVENT ASSIGNMENT'!$D$2:$D$101,IFERROR(MATCH(TEXT($B$10,"yyyymmdd")&amp;"|"&amp;$E$10&amp;"|19",'EVENT ASSIGNMENT'!$K$2:$K$101,0),"")))))</f>
        <v/>
      </c>
    </row>
    <row r="37" ht="18" customHeight="1" s="130">
      <c r="A37" s="197">
        <f>IFERROR(MATCH(TEXT($B$10,"yyyymmdd")&amp;"|"&amp;$E$10&amp;"|20",'EVENT ASSIGNMENT'!$K$2:$K$101,0),"")</f>
        <v/>
      </c>
      <c r="B37" s="198">
        <f>IF(IFERROR(MATCH(TEXT($B$10,"yyyymmdd")&amp;"|"&amp;$E$10&amp;"|20",'EVENT ASSIGNMENT'!$K$2:$K$101,0),"")="","",IFERROR(INDEX('EVENT ASSIGNMENT'!$D$2:$D$101,IFERROR(MATCH(TEXT($B$10,"yyyymmdd")&amp;"|"&amp;$E$10&amp;"|20",'EVENT ASSIGNMENT'!$K$2:$K$101,0),"")),""))</f>
        <v/>
      </c>
      <c r="C37" s="199">
        <f>IF(OR(IFERROR(MATCH(TEXT($B$10,"yyyymmdd")&amp;"|"&amp;$E$10&amp;"|20",'EVENT ASSIGNMENT'!$K$2:$K$101,0),"")="",B37=""),"",IFERROR(INDEX('CONTRACT CALC'!$G$13:$G$112,IFERROR(MATCH(TEXT($B$10,"yyyymmdd")&amp;"|"&amp;$E$10&amp;"|20",'EVENT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D37" s="199">
        <f>IF(OR(IFERROR(MATCH(TEXT($B$10,"yyyymmdd")&amp;"|"&amp;$E$10&amp;"|20",'EVENT ASSIGNMENT'!$K$2:$K$101,0),"")="",B37=""),"",IFERROR(INDEX('CONTRACT CALC'!$I$13:$I$112,IFERROR(MATCH(TEXT($B$10,"yyyymmdd")&amp;"|"&amp;$E$10&amp;"|20",'EVENT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E37" s="199">
        <f>IF(D37="","",D37*'CONTRACT CALC'!$B$4)</f>
        <v/>
      </c>
      <c r="F37" s="199">
        <f>IF(OR(IFERROR(MATCH(TEXT($B$10,"yyyymmdd")&amp;"|"&amp;$E$10&amp;"|20",'EVENT ASSIGNMENT'!$K$2:$K$101,0),"")="",B37=""),"",IFERROR(INDEX('CONTRACT CALC'!$H$13:$H$112,IFERROR(MATCH(TEXT($B$10,"yyyymmdd")&amp;"|"&amp;$E$10&amp;"|20",'EVENT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G37" s="199">
        <f>IF(F37="","",F37*'CONTRACT CALC'!$B$5)</f>
        <v/>
      </c>
      <c r="H37" s="199">
        <f>IF(B37="","",N(E37)+N(G37))</f>
        <v/>
      </c>
      <c r="I37" s="199">
        <f>IF(OR(IFERROR(MATCH(TEXT($B$10,"yyyymmdd")&amp;"|"&amp;$E$10&amp;"|20",'EVENT ASSIGNMENT'!$K$2:$K$101,0),"")="",B37=""),"",IF(COUNTIFS('TIPS DATA'!$A$2:$A$101,$B$10,'TIPS DATA'!$C$2:$C$101,$E$10,'TIPS DATA'!$D$2:$D$101,INDEX('EVENT ASSIGNMENT'!$C$2:$C$101,IFERROR(MATCH(TEXT($B$10,"yyyymmdd")&amp;"|"&amp;$E$10&amp;"|20",'EVENT ASSIGNMENT'!$K$2:$K$101,0),"")))&gt;0,SUMIFS('TIPS DATA'!$H$2:$H$101,'TIPS DATA'!$A$2:$A$101,$B$10,'TIPS DATA'!$C$2:$C$101,$E$10,'TIPS DATA'!$D$2:$D$101,INDEX('EVENT ASSIGNMENT'!$C$2:$C$101,IFERROR(MATCH(TEXT($B$10,"yyyymmdd")&amp;"|"&amp;$E$10&amp;"|20",'EVENT ASSIGNMENT'!$K$2:$K$101,0),""))),SUMIFS('TIPS DATA'!$H$2:$H$101,'TIPS DATA'!$A$2:$A$101,$B$10,'TIPS DATA'!$C$2:$C$101,$E$10,'TIPS DATA'!$E$2:$E$101,INDEX('EVENT ASSIGNMENT'!$D$2:$D$101,IFERROR(MATCH(TEXT($B$10,"yyyymmdd")&amp;"|"&amp;$E$10&amp;"|20",'EVENT ASSIGNMENT'!$K$2:$K$101,0),"")))))</f>
        <v/>
      </c>
    </row>
    <row r="38" ht="16.5" customHeight="1" s="130">
      <c r="A38" s="197">
        <f>IFERROR(MATCH(TEXT($B$10,"yyyymmdd")&amp;"|"&amp;$E$10&amp;"|21",'EVENT ASSIGNMENT'!$K$2:$K$101,0),"")</f>
        <v/>
      </c>
      <c r="B38" s="198">
        <f>IF(IFERROR(MATCH(TEXT($B$10,"yyyymmdd")&amp;"|"&amp;$E$10&amp;"|21",'EVENT ASSIGNMENT'!$K$2:$K$101,0),"")="","",IFERROR(INDEX('EVENT ASSIGNMENT'!$D$2:$D$101,IFERROR(MATCH(TEXT($B$10,"yyyymmdd")&amp;"|"&amp;$E$10&amp;"|21",'EVENT ASSIGNMENT'!$K$2:$K$101,0),"")),""))</f>
        <v/>
      </c>
      <c r="C38" s="199">
        <f>IF(OR(IFERROR(MATCH(TEXT($B$10,"yyyymmdd")&amp;"|"&amp;$E$10&amp;"|21",'EVENT ASSIGNMENT'!$K$2:$K$101,0),"")="",B38=""),"",IFERROR(INDEX('CONTRACT CALC'!$G$13:$G$112,IFERROR(MATCH(TEXT($B$10,"yyyymmdd")&amp;"|"&amp;$E$10&amp;"|21",'EVENT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D38" s="199">
        <f>IF(OR(IFERROR(MATCH(TEXT($B$10,"yyyymmdd")&amp;"|"&amp;$E$10&amp;"|21",'EVENT ASSIGNMENT'!$K$2:$K$101,0),"")="",B38=""),"",IFERROR(INDEX('CONTRACT CALC'!$I$13:$I$112,IFERROR(MATCH(TEXT($B$10,"yyyymmdd")&amp;"|"&amp;$E$10&amp;"|21",'EVENT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E38" s="207">
        <f>IF(D38="","",D38*'CONTRACT CALC'!$B$4)</f>
        <v/>
      </c>
      <c r="F38" s="207">
        <f>IF(OR(IFERROR(MATCH(TEXT($B$10,"yyyymmdd")&amp;"|"&amp;$E$10&amp;"|21",'EVENT ASSIGNMENT'!$K$2:$K$101,0),"")="",B38=""),"",IFERROR(INDEX('CONTRACT CALC'!$H$13:$H$112,IFERROR(MATCH(TEXT($B$10,"yyyymmdd")&amp;"|"&amp;$E$10&amp;"|21",'EVENT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G38" s="207">
        <f>IF(F38="","",F38*'CONTRACT CALC'!$B$5)</f>
        <v/>
      </c>
      <c r="H38" s="199">
        <f>IF(B38="","",N(E38)+N(G38))</f>
        <v/>
      </c>
      <c r="I38" s="199">
        <f>IF(OR(IFERROR(MATCH(TEXT($B$10,"yyyymmdd")&amp;"|"&amp;$E$10&amp;"|21",'EVENT ASSIGNMENT'!$K$2:$K$101,0),"")="",B38=""),"",IF(COUNTIFS('TIPS DATA'!$A$2:$A$101,$B$10,'TIPS DATA'!$C$2:$C$101,$E$10,'TIPS DATA'!$D$2:$D$101,INDEX('EVENT ASSIGNMENT'!$C$2:$C$101,IFERROR(MATCH(TEXT($B$10,"yyyymmdd")&amp;"|"&amp;$E$10&amp;"|21",'EVENT ASSIGNMENT'!$K$2:$K$101,0),"")))&gt;0,SUMIFS('TIPS DATA'!$H$2:$H$101,'TIPS DATA'!$A$2:$A$101,$B$10,'TIPS DATA'!$C$2:$C$101,$E$10,'TIPS DATA'!$D$2:$D$101,INDEX('EVENT ASSIGNMENT'!$C$2:$C$101,IFERROR(MATCH(TEXT($B$10,"yyyymmdd")&amp;"|"&amp;$E$10&amp;"|21",'EVENT ASSIGNMENT'!$K$2:$K$101,0),""))),SUMIFS('TIPS DATA'!$H$2:$H$101,'TIPS DATA'!$A$2:$A$101,$B$10,'TIPS DATA'!$C$2:$C$101,$E$10,'TIPS DATA'!$E$2:$E$101,INDEX('EVENT ASSIGNMENT'!$D$2:$D$101,IFERROR(MATCH(TEXT($B$10,"yyyymmdd")&amp;"|"&amp;$E$10&amp;"|21",'EVENT ASSIGNMENT'!$K$2:$K$101,0),"")))))</f>
        <v/>
      </c>
    </row>
    <row r="39" ht="20.1" customHeight="1" s="130">
      <c r="A39" s="208">
        <f>IFERROR(MATCH(TEXT($B$10,"yyyymmdd")&amp;"|"&amp;$E$10&amp;"|22",'EVENT ASSIGNMENT'!$K$2:$K$101,0),"")</f>
        <v/>
      </c>
      <c r="B39" s="198">
        <f>IF(IFERROR(MATCH(TEXT($B$10,"yyyymmdd")&amp;"|"&amp;$E$10&amp;"|22",'EVENT ASSIGNMENT'!$K$2:$K$101,0),"")="","",IFERROR(INDEX('EVENT ASSIGNMENT'!$D$2:$D$101,IFERROR(MATCH(TEXT($B$10,"yyyymmdd")&amp;"|"&amp;$E$10&amp;"|22",'EVENT ASSIGNMENT'!$K$2:$K$101,0),"")),""))</f>
        <v/>
      </c>
      <c r="C39" s="199">
        <f>IF(OR(IFERROR(MATCH(TEXT($B$10,"yyyymmdd")&amp;"|"&amp;$E$10&amp;"|22",'EVENT ASSIGNMENT'!$K$2:$K$101,0),"")="",B39=""),"",IFERROR(INDEX('CONTRACT CALC'!$G$13:$G$112,IFERROR(MATCH(TEXT($B$10,"yyyymmdd")&amp;"|"&amp;$E$10&amp;"|22",'EVENT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D39" s="199">
        <f>IF(OR(IFERROR(MATCH(TEXT($B$10,"yyyymmdd")&amp;"|"&amp;$E$10&amp;"|22",'EVENT ASSIGNMENT'!$K$2:$K$101,0),"")="",B39=""),"",IFERROR(INDEX('CONTRACT CALC'!$I$13:$I$112,IFERROR(MATCH(TEXT($B$10,"yyyymmdd")&amp;"|"&amp;$E$10&amp;"|22",'EVENT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E39" s="199">
        <f>IF(D39="","",D39*'CONTRACT CALC'!$B$4)</f>
        <v/>
      </c>
      <c r="F39" s="199">
        <f>IF(OR(IFERROR(MATCH(TEXT($B$10,"yyyymmdd")&amp;"|"&amp;$E$10&amp;"|22",'EVENT ASSIGNMENT'!$K$2:$K$101,0),"")="",B39=""),"",IFERROR(INDEX('CONTRACT CALC'!$H$13:$H$112,IFERROR(MATCH(TEXT($B$10,"yyyymmdd")&amp;"|"&amp;$E$10&amp;"|22",'EVENT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G39" s="199">
        <f>IF(F39="","",F39*'CONTRACT CALC'!$B$5)</f>
        <v/>
      </c>
      <c r="H39" s="199">
        <f>IF(B39="","",N(E39)+N(G39))</f>
        <v/>
      </c>
      <c r="I39" s="199">
        <f>IF(OR(IFERROR(MATCH(TEXT($B$10,"yyyymmdd")&amp;"|"&amp;$E$10&amp;"|22",'EVENT ASSIGNMENT'!$K$2:$K$101,0),"")="",B39=""),"",IF(COUNTIFS('TIPS DATA'!$A$2:$A$101,$B$10,'TIPS DATA'!$C$2:$C$101,$E$10,'TIPS DATA'!$D$2:$D$101,INDEX('EVENT ASSIGNMENT'!$C$2:$C$101,IFERROR(MATCH(TEXT($B$10,"yyyymmdd")&amp;"|"&amp;$E$10&amp;"|22",'EVENT ASSIGNMENT'!$K$2:$K$101,0),"")))&gt;0,SUMIFS('TIPS DATA'!$H$2:$H$101,'TIPS DATA'!$A$2:$A$101,$B$10,'TIPS DATA'!$C$2:$C$101,$E$10,'TIPS DATA'!$D$2:$D$101,INDEX('EVENT ASSIGNMENT'!$C$2:$C$101,IFERROR(MATCH(TEXT($B$10,"yyyymmdd")&amp;"|"&amp;$E$10&amp;"|22",'EVENT ASSIGNMENT'!$K$2:$K$101,0),""))),SUMIFS('TIPS DATA'!$H$2:$H$101,'TIPS DATA'!$A$2:$A$101,$B$10,'TIPS DATA'!$C$2:$C$101,$E$10,'TIPS DATA'!$E$2:$E$101,INDEX('EVENT ASSIGNMENT'!$D$2:$D$101,IFERROR(MATCH(TEXT($B$10,"yyyymmdd")&amp;"|"&amp;$E$10&amp;"|22",'EVENT ASSIGNMENT'!$K$2:$K$101,0),"")))))</f>
        <v/>
      </c>
    </row>
    <row r="40">
      <c r="A40" s="208">
        <f>IFERROR(MATCH(TEXT($B$10,"yyyymmdd")&amp;"|"&amp;$E$10&amp;"|23",'EVENT ASSIGNMENT'!$K$2:$K$101,0),"")</f>
        <v/>
      </c>
      <c r="B40" s="198">
        <f>IF(IFERROR(MATCH(TEXT($B$10,"yyyymmdd")&amp;"|"&amp;$E$10&amp;"|23",'EVENT ASSIGNMENT'!$K$2:$K$101,0),"")="","",IFERROR(INDEX('EVENT ASSIGNMENT'!$D$2:$D$101,IFERROR(MATCH(TEXT($B$10,"yyyymmdd")&amp;"|"&amp;$E$10&amp;"|23",'EVENT ASSIGNMENT'!$K$2:$K$101,0),"")),""))</f>
        <v/>
      </c>
      <c r="C40" s="199">
        <f>IF(OR(IFERROR(MATCH(TEXT($B$10,"yyyymmdd")&amp;"|"&amp;$E$10&amp;"|23",'EVENT ASSIGNMENT'!$K$2:$K$101,0),"")="",B40=""),"",IFERROR(INDEX('CONTRACT CALC'!$G$13:$G$112,IFERROR(MATCH(TEXT($B$10,"yyyymmdd")&amp;"|"&amp;$E$10&amp;"|23",'EVENT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D40" s="199">
        <f>IF(OR(IFERROR(MATCH(TEXT($B$10,"yyyymmdd")&amp;"|"&amp;$E$10&amp;"|23",'EVENT ASSIGNMENT'!$K$2:$K$101,0),"")="",B40=""),"",IFERROR(INDEX('CONTRACT CALC'!$I$13:$I$112,IFERROR(MATCH(TEXT($B$10,"yyyymmdd")&amp;"|"&amp;$E$10&amp;"|23",'EVENT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E40" s="199">
        <f>IF(D40="","",D40*'CONTRACT CALC'!$B$4)</f>
        <v/>
      </c>
      <c r="F40" s="199">
        <f>IF(OR(IFERROR(MATCH(TEXT($B$10,"yyyymmdd")&amp;"|"&amp;$E$10&amp;"|23",'EVENT ASSIGNMENT'!$K$2:$K$101,0),"")="",B40=""),"",IFERROR(INDEX('CONTRACT CALC'!$H$13:$H$112,IFERROR(MATCH(TEXT($B$10,"yyyymmdd")&amp;"|"&amp;$E$10&amp;"|23",'EVENT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G40" s="199">
        <f>IF(F40="","",F40*'CONTRACT CALC'!$B$5)</f>
        <v/>
      </c>
      <c r="H40" s="199">
        <f>IF(B40="","",N(E40)+N(G40))</f>
        <v/>
      </c>
      <c r="I40" s="199">
        <f>IF(OR(IFERROR(MATCH(TEXT($B$10,"yyyymmdd")&amp;"|"&amp;$E$10&amp;"|23",'EVENT ASSIGNMENT'!$K$2:$K$101,0),"")="",B40=""),"",IF(COUNTIFS('TIPS DATA'!$A$2:$A$101,$B$10,'TIPS DATA'!$C$2:$C$101,$E$10,'TIPS DATA'!$D$2:$D$101,INDEX('EVENT ASSIGNMENT'!$C$2:$C$101,IFERROR(MATCH(TEXT($B$10,"yyyymmdd")&amp;"|"&amp;$E$10&amp;"|23",'EVENT ASSIGNMENT'!$K$2:$K$101,0),"")))&gt;0,SUMIFS('TIPS DATA'!$H$2:$H$101,'TIPS DATA'!$A$2:$A$101,$B$10,'TIPS DATA'!$C$2:$C$101,$E$10,'TIPS DATA'!$D$2:$D$101,INDEX('EVENT ASSIGNMENT'!$C$2:$C$101,IFERROR(MATCH(TEXT($B$10,"yyyymmdd")&amp;"|"&amp;$E$10&amp;"|23",'EVENT ASSIGNMENT'!$K$2:$K$101,0),""))),SUMIFS('TIPS DATA'!$H$2:$H$101,'TIPS DATA'!$A$2:$A$101,$B$10,'TIPS DATA'!$C$2:$C$101,$E$10,'TIPS DATA'!$E$2:$E$101,INDEX('EVENT ASSIGNMENT'!$D$2:$D$101,IFERROR(MATCH(TEXT($B$10,"yyyymmdd")&amp;"|"&amp;$E$10&amp;"|23",'EVENT ASSIGNMENT'!$K$2:$K$101,0),"")))))</f>
        <v/>
      </c>
    </row>
    <row r="41" ht="15" customHeight="1" s="130">
      <c r="A41" s="208">
        <f>IFERROR(MATCH(TEXT($B$10,"yyyymmdd")&amp;"|"&amp;$E$10&amp;"|24",'EVENT ASSIGNMENT'!$K$2:$K$101,0),"")</f>
        <v/>
      </c>
      <c r="B41" s="198">
        <f>IF(IFERROR(MATCH(TEXT($B$10,"yyyymmdd")&amp;"|"&amp;$E$10&amp;"|24",'EVENT ASSIGNMENT'!$K$2:$K$101,0),"")="","",IFERROR(INDEX('EVENT ASSIGNMENT'!$D$2:$D$101,IFERROR(MATCH(TEXT($B$10,"yyyymmdd")&amp;"|"&amp;$E$10&amp;"|24",'EVENT ASSIGNMENT'!$K$2:$K$101,0),"")),""))</f>
        <v/>
      </c>
      <c r="C41" s="199">
        <f>IF(OR(IFERROR(MATCH(TEXT($B$10,"yyyymmdd")&amp;"|"&amp;$E$10&amp;"|24",'EVENT ASSIGNMENT'!$K$2:$K$101,0),"")="",B41=""),"",IFERROR(INDEX('CONTRACT CALC'!$G$13:$G$112,IFERROR(MATCH(TEXT($B$10,"yyyymmdd")&amp;"|"&amp;$E$10&amp;"|24",'EVENT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D41" s="199">
        <f>IF(OR(IFERROR(MATCH(TEXT($B$10,"yyyymmdd")&amp;"|"&amp;$E$10&amp;"|24",'EVENT ASSIGNMENT'!$K$2:$K$101,0),"")="",B41=""),"",IFERROR(INDEX('CONTRACT CALC'!$I$13:$I$112,IFERROR(MATCH(TEXT($B$10,"yyyymmdd")&amp;"|"&amp;$E$10&amp;"|24",'EVENT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E41" s="199">
        <f>IF(D41="","",D41*'CONTRACT CALC'!$B$4)</f>
        <v/>
      </c>
      <c r="F41" s="199">
        <f>IF(OR(IFERROR(MATCH(TEXT($B$10,"yyyymmdd")&amp;"|"&amp;$E$10&amp;"|24",'EVENT ASSIGNMENT'!$K$2:$K$101,0),"")="",B41=""),"",IFERROR(INDEX('CONTRACT CALC'!$H$13:$H$112,IFERROR(MATCH(TEXT($B$10,"yyyymmdd")&amp;"|"&amp;$E$10&amp;"|24",'EVENT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G41" s="199">
        <f>IF(F41="","",F41*'CONTRACT CALC'!$B$5)</f>
        <v/>
      </c>
      <c r="H41" s="199">
        <f>IF(B41="","",N(E41)+N(G41))</f>
        <v/>
      </c>
      <c r="I41" s="199">
        <f>IF(OR(IFERROR(MATCH(TEXT($B$10,"yyyymmdd")&amp;"|"&amp;$E$10&amp;"|24",'EVENT ASSIGNMENT'!$K$2:$K$101,0),"")="",B41=""),"",IF(COUNTIFS('TIPS DATA'!$A$2:$A$101,$B$10,'TIPS DATA'!$C$2:$C$101,$E$10,'TIPS DATA'!$D$2:$D$101,INDEX('EVENT ASSIGNMENT'!$C$2:$C$101,IFERROR(MATCH(TEXT($B$10,"yyyymmdd")&amp;"|"&amp;$E$10&amp;"|24",'EVENT ASSIGNMENT'!$K$2:$K$101,0),"")))&gt;0,SUMIFS('TIPS DATA'!$H$2:$H$101,'TIPS DATA'!$A$2:$A$101,$B$10,'TIPS DATA'!$C$2:$C$101,$E$10,'TIPS DATA'!$D$2:$D$101,INDEX('EVENT ASSIGNMENT'!$C$2:$C$101,IFERROR(MATCH(TEXT($B$10,"yyyymmdd")&amp;"|"&amp;$E$10&amp;"|24",'EVENT ASSIGNMENT'!$K$2:$K$101,0),""))),SUMIFS('TIPS DATA'!$H$2:$H$101,'TIPS DATA'!$A$2:$A$101,$B$10,'TIPS DATA'!$C$2:$C$101,$E$10,'TIPS DATA'!$E$2:$E$101,INDEX('EVENT ASSIGNMENT'!$D$2:$D$101,IFERROR(MATCH(TEXT($B$10,"yyyymmdd")&amp;"|"&amp;$E$10&amp;"|24",'EVENT ASSIGNMENT'!$K$2:$K$101,0),"")))))</f>
        <v/>
      </c>
    </row>
    <row r="42">
      <c r="A42" s="208">
        <f>IFERROR(MATCH(TEXT($B$10,"yyyymmdd")&amp;"|"&amp;$E$10&amp;"|25",'EVENT ASSIGNMENT'!$K$2:$K$101,0),"")</f>
        <v/>
      </c>
      <c r="B42" s="198">
        <f>IF(IFERROR(MATCH(TEXT($B$10,"yyyymmdd")&amp;"|"&amp;$E$10&amp;"|25",'EVENT ASSIGNMENT'!$K$2:$K$101,0),"")="","",IFERROR(INDEX('EVENT ASSIGNMENT'!$D$2:$D$101,IFERROR(MATCH(TEXT($B$10,"yyyymmdd")&amp;"|"&amp;$E$10&amp;"|25",'EVENT ASSIGNMENT'!$K$2:$K$101,0),"")),""))</f>
        <v/>
      </c>
      <c r="C42" s="199">
        <f>IF(OR(IFERROR(MATCH(TEXT($B$10,"yyyymmdd")&amp;"|"&amp;$E$10&amp;"|25",'EVENT ASSIGNMENT'!$K$2:$K$101,0),"")="",B42=""),"",IFERROR(INDEX('CONTRACT CALC'!$G$13:$G$112,IFERROR(MATCH(TEXT($B$10,"yyyymmdd")&amp;"|"&amp;$E$10&amp;"|25",'EVENT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D42" s="199">
        <f>IF(OR(IFERROR(MATCH(TEXT($B$10,"yyyymmdd")&amp;"|"&amp;$E$10&amp;"|25",'EVENT ASSIGNMENT'!$K$2:$K$101,0),"")="",B42=""),"",IFERROR(INDEX('CONTRACT CALC'!$I$13:$I$112,IFERROR(MATCH(TEXT($B$10,"yyyymmdd")&amp;"|"&amp;$E$10&amp;"|25",'EVENT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E42" s="199">
        <f>IF(D42="","",D42*'CONTRACT CALC'!$B$4)</f>
        <v/>
      </c>
      <c r="F42" s="199">
        <f>IF(OR(IFERROR(MATCH(TEXT($B$10,"yyyymmdd")&amp;"|"&amp;$E$10&amp;"|25",'EVENT ASSIGNMENT'!$K$2:$K$101,0),"")="",B42=""),"",IFERROR(INDEX('CONTRACT CALC'!$H$13:$H$112,IFERROR(MATCH(TEXT($B$10,"yyyymmdd")&amp;"|"&amp;$E$10&amp;"|25",'EVENT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G42" s="199">
        <f>IF(F42="","",F42*'CONTRACT CALC'!$B$5)</f>
        <v/>
      </c>
      <c r="H42" s="199">
        <f>IF(B42="","",N(E42)+N(G42))</f>
        <v/>
      </c>
      <c r="I42" s="199">
        <f>IF(OR(IFERROR(MATCH(TEXT($B$10,"yyyymmdd")&amp;"|"&amp;$E$10&amp;"|25",'EVENT ASSIGNMENT'!$K$2:$K$101,0),"")="",B42=""),"",IF(COUNTIFS('TIPS DATA'!$A$2:$A$101,$B$10,'TIPS DATA'!$C$2:$C$101,$E$10,'TIPS DATA'!$D$2:$D$101,INDEX('EVENT ASSIGNMENT'!$C$2:$C$101,IFERROR(MATCH(TEXT($B$10,"yyyymmdd")&amp;"|"&amp;$E$10&amp;"|25",'EVENT ASSIGNMENT'!$K$2:$K$101,0),"")))&gt;0,SUMIFS('TIPS DATA'!$H$2:$H$101,'TIPS DATA'!$A$2:$A$101,$B$10,'TIPS DATA'!$C$2:$C$101,$E$10,'TIPS DATA'!$D$2:$D$101,INDEX('EVENT ASSIGNMENT'!$C$2:$C$101,IFERROR(MATCH(TEXT($B$10,"yyyymmdd")&amp;"|"&amp;$E$10&amp;"|25",'EVENT ASSIGNMENT'!$K$2:$K$101,0),""))),SUMIFS('TIPS DATA'!$H$2:$H$101,'TIPS DATA'!$A$2:$A$101,$B$10,'TIPS DATA'!$C$2:$C$101,$E$10,'TIPS DATA'!$E$2:$E$101,INDEX('EVENT ASSIGNMENT'!$D$2:$D$101,IFERROR(MATCH(TEXT($B$10,"yyyymmdd")&amp;"|"&amp;$E$10&amp;"|25",'EVENT ASSIGNMENT'!$K$2:$K$101,0),"")))))</f>
        <v/>
      </c>
    </row>
    <row r="43">
      <c r="B43" s="209" t="inlineStr">
        <is>
          <t>TOTAL</t>
        </is>
      </c>
      <c r="C43" s="210">
        <f>SUM(C18:C42)</f>
        <v/>
      </c>
      <c r="D43" s="210">
        <f>SUM(D18:D42)</f>
        <v/>
      </c>
      <c r="E43" s="210">
        <f>SUM(E18:E42)</f>
        <v/>
      </c>
      <c r="F43" s="210">
        <f>SUM(F18:F42)</f>
        <v/>
      </c>
      <c r="G43" s="210">
        <f>SUM(G18:G42)</f>
        <v/>
      </c>
      <c r="H43" s="210">
        <f>SUM(H18:H42)</f>
        <v/>
      </c>
      <c r="I43" s="210">
        <f>SUM(I18:I42)</f>
        <v/>
      </c>
    </row>
    <row r="44">
      <c r="B44" s="211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45">
      <c r="G45" s="212" t="inlineStr">
        <is>
          <t>SUPPLEMENTAL PAYOUT:</t>
        </is>
      </c>
    </row>
    <row r="46">
      <c r="B46" s="213" t="inlineStr">
        <is>
          <t>SETTLEMENT NOTES</t>
        </is>
      </c>
      <c r="G46" s="214" t="inlineStr">
        <is>
          <t>Sales Incentive</t>
        </is>
      </c>
      <c r="I46" s="215">
        <f>IFERROR(SUMIFS('SUPPLEMENTAL DATA'!$C$2:$C$101,'SUPPLEMENTAL DATA'!$A$2:$A$101,$B$10,'SUPPLEMENTAL DATA'!$B$2:$B$101,$E$10),0)</f>
        <v/>
      </c>
    </row>
    <row r="47">
      <c r="B47" s="121" t="n"/>
      <c r="G47" s="214" t="inlineStr">
        <is>
          <t>Culinary - Cook Fee</t>
        </is>
      </c>
      <c r="I47" s="215">
        <f>IFERROR(SUMIFS('SUPPLEMENTAL DATA'!$D$2:$D$101,'SUPPLEMENTAL DATA'!$A$2:$A$101,$B$10,'SUPPLEMENTAL DATA'!$B$2:$B$101,$E$10),0)</f>
        <v/>
      </c>
    </row>
    <row r="48">
      <c r="G48" s="214" t="inlineStr">
        <is>
          <t>Minimum Donation</t>
        </is>
      </c>
      <c r="I48" s="215">
        <f>IFERROR(SUMIFS('SUPPLEMENTAL DATA'!$E$2:$E$101,'SUPPLEMENTAL DATA'!$A$2:$A$101,$B$10,'SUPPLEMENTAL DATA'!$B$2:$B$101,$E$10),0)</f>
        <v/>
      </c>
    </row>
    <row r="49">
      <c r="G49" s="214" t="inlineStr">
        <is>
          <t>Bonus (Other)</t>
        </is>
      </c>
      <c r="I49" s="215">
        <f>IFERROR(SUMIFS('SUPPLEMENTAL DATA'!$F$2:$F$101,'SUPPLEMENTAL DATA'!$A$2:$A$101,$B$10,'SUPPLEMENTAL DATA'!$B$2:$B$101,$E$10),0)</f>
        <v/>
      </c>
    </row>
    <row r="50">
      <c r="G50" s="214" t="inlineStr">
        <is>
          <t>Deductible POS Shortages</t>
        </is>
      </c>
      <c r="I50" s="215">
        <f>IFERROR(SUMIFS('SUPPLEMENTAL DATA'!$G$2:$G$101,'SUPPLEMENTAL DATA'!$A$2:$A$101,$B$10,'SUPPLEMENTAL DATA'!$B$2:$B$101,$E$10),0)</f>
        <v/>
      </c>
    </row>
    <row r="51">
      <c r="G51" s="214" t="inlineStr">
        <is>
          <t>Uniform / Staffing / Cleaning Fees</t>
        </is>
      </c>
      <c r="I51" s="215">
        <f>IFERROR(SUMIFS('SUPPLEMENTAL DATA'!$H$2:$H$101,'SUPPLEMENTAL DATA'!$A$2:$A$101,$B$10,'SUPPLEMENTAL DATA'!$B$2:$B$101,$E$10),0)</f>
        <v/>
      </c>
    </row>
    <row r="52">
      <c r="I52" s="216">
        <f>SUM(I46:I51)</f>
        <v/>
      </c>
    </row>
    <row r="53"/>
    <row r="54"/>
    <row r="55">
      <c r="B55" s="217" t="inlineStr">
        <is>
          <t>INTERNAL AUTHORIZATION CHECK REQUEST</t>
        </is>
      </c>
      <c r="E55" s="218" t="inlineStr">
        <is>
          <t>INTERNAL - ACCOUNTING GL ENTRY - SUMMARY</t>
        </is>
      </c>
    </row>
    <row r="56">
      <c r="B56" s="214" t="inlineStr">
        <is>
          <t>Abigail Tenorio</t>
        </is>
      </c>
      <c r="C56">
        <f>TODAY()</f>
        <v/>
      </c>
      <c r="E56" s="219" t="inlineStr">
        <is>
          <t>Group Commission</t>
        </is>
      </c>
      <c r="F56" s="220" t="inlineStr">
        <is>
          <t>241 | 36127 | GL:611225</t>
        </is>
      </c>
      <c r="G56" s="221">
        <f>H43</f>
        <v/>
      </c>
    </row>
    <row r="57">
      <c r="B57" s="214" t="inlineStr">
        <is>
          <t>Concessions Manager</t>
        </is>
      </c>
      <c r="E57" s="219" t="inlineStr">
        <is>
          <t>Gratuities</t>
        </is>
      </c>
      <c r="F57" s="220" t="inlineStr">
        <is>
          <t>241 | 36127 | GL:212113</t>
        </is>
      </c>
      <c r="G57" s="221">
        <f>I43</f>
        <v/>
      </c>
    </row>
    <row r="58">
      <c r="B58" s="214" t="inlineStr">
        <is>
          <t>Ray Velasquez</t>
        </is>
      </c>
      <c r="C58">
        <f>TODAY()</f>
        <v/>
      </c>
      <c r="E58" s="219" t="inlineStr">
        <is>
          <t>Misc. (to be reclassed)</t>
        </is>
      </c>
      <c r="F58" s="220" t="inlineStr">
        <is>
          <t>241 | 36127 | GL:673000</t>
        </is>
      </c>
      <c r="G58" s="221">
        <f>SUM(I46:I50)</f>
        <v/>
      </c>
    </row>
    <row r="59">
      <c r="B59" s="214" t="inlineStr">
        <is>
          <t>Director of Operations</t>
        </is>
      </c>
      <c r="E59" s="219" t="inlineStr">
        <is>
          <t>Cleaning Fee - Expense</t>
        </is>
      </c>
      <c r="F59" s="220" t="inlineStr">
        <is>
          <t>241 | 36127 | GL:674102</t>
        </is>
      </c>
      <c r="G59" s="221">
        <f>I51</f>
        <v/>
      </c>
    </row>
    <row r="60">
      <c r="B60" s="214" t="inlineStr">
        <is>
          <t>Evan E. Gonzales</t>
        </is>
      </c>
      <c r="C60">
        <f>TODAY()</f>
        <v/>
      </c>
    </row>
    <row r="61">
      <c r="B61" s="214" t="inlineStr">
        <is>
          <t>Finance Manager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mergeCells count="17">
    <mergeCell ref="E12:F12"/>
    <mergeCell ref="G6:H7"/>
    <mergeCell ref="C2:G2"/>
    <mergeCell ref="B16:I16"/>
    <mergeCell ref="G5:H5"/>
    <mergeCell ref="B47:E51"/>
    <mergeCell ref="B55:C55"/>
    <mergeCell ref="E55:G55"/>
    <mergeCell ref="B6:F6"/>
    <mergeCell ref="E10:F10"/>
    <mergeCell ref="B44:H44"/>
    <mergeCell ref="G45:I45"/>
    <mergeCell ref="B5:F5"/>
    <mergeCell ref="C9:D9"/>
    <mergeCell ref="E9:F9"/>
    <mergeCell ref="B46:E46"/>
    <mergeCell ref="C3:G3"/>
  </mergeCells>
  <dataValidations count="2">
    <dataValidation sqref="E10" showDropDown="0" showInputMessage="0" showErrorMessage="1" allowBlank="0" errorTitle="Payee / NPO" error="Select a Payee/NPO from the SET-UP &amp; SUMMARY list." promptTitle="Payee / NPO" prompt="Select the vendor / NPO for this settlement statement." type="list">
      <formula1>='SET-UP &amp; SUMMARY'!$A$12:$A$18</formula1>
    </dataValidation>
    <dataValidation sqref="B10" showDropDown="0" showInputMessage="0" showErrorMessage="1" allowBlank="0" errorTitle="Event Date" error="Select an Event Date that exists on EVENT ASSIGNMENT." promptTitle="Event Date" prompt="Select the event date for this settlement statement." type="list">
      <formula1>='EVENT ASSIGNMENT'!$A$2:$A$101</formula1>
    </dataValidation>
  </dataValidations>
  <printOptions horizontalCentered="1"/>
  <pageMargins left="0.28" right="0.28" top="0.3" bottom="0.3" header="0.1" footer="0.15"/>
  <pageSetup orientation="landscape" scale="88" fitToHeight="1" fitToWidth="1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30" min="1" max="2"/>
    <col width="60" customWidth="1" style="130" min="3" max="3"/>
    <col width="30" customWidth="1" style="130" min="4" max="4"/>
    <col width="16" customWidth="1" style="130" min="5" max="23"/>
  </cols>
  <sheetData>
    <row r="1" ht="15" customHeight="1" s="130">
      <c r="A1" s="41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30">
      <c r="U2" t="inlineStr">
        <is>
          <t>7.6250%</t>
        </is>
      </c>
    </row>
    <row r="3" ht="68.65000000000001" customHeight="1" s="130">
      <c r="A3" s="44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30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30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30">
      <c r="A6" t="inlineStr">
        <is>
          <t>Department: 36127 - CONCESSIONS</t>
        </is>
      </c>
    </row>
    <row r="7" ht="15" customHeight="1" s="130">
      <c r="B7" t="inlineStr">
        <is>
          <t>Location: FB 100 - TRAILER N CONCOURSE</t>
        </is>
      </c>
    </row>
    <row r="8" ht="15" customHeight="1" s="130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30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30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30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30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30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30">
      <c r="B14" t="inlineStr">
        <is>
          <t>Location: FB 100B - MBP TRAILER N CONCOURSE</t>
        </is>
      </c>
    </row>
    <row r="15" ht="15" customHeight="1" s="130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30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30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30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30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30">
      <c r="B20" t="inlineStr">
        <is>
          <t>Location: FB 101 - STADIUM SIPS SHACK SW</t>
        </is>
      </c>
    </row>
    <row r="21" ht="15" customHeight="1" s="130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30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30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30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30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30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30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30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30">
      <c r="B29" t="inlineStr">
        <is>
          <t>Location: FB 102 - TOWER SOUTH</t>
        </is>
      </c>
    </row>
    <row r="30" ht="15" customHeight="1" s="130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30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30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30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30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30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30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30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30">
      <c r="B38" t="inlineStr">
        <is>
          <t>Location: FB 103 - TOWER NORTH</t>
        </is>
      </c>
    </row>
    <row r="39" ht="15" customHeight="1" s="130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30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30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30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30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30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30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30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30">
      <c r="B47" t="inlineStr">
        <is>
          <t>Location: FB 104 - RED RALLY NORTH WEST</t>
        </is>
      </c>
    </row>
    <row r="48" ht="15" customHeight="1" s="130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30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30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30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30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30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30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30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30">
      <c r="B56" t="inlineStr">
        <is>
          <t>Location: FB 105 - NW SPECIALTY - DAWG HOUSE</t>
        </is>
      </c>
    </row>
    <row r="57" ht="15" customHeight="1" s="130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30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30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30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30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30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30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30">
      <c r="B64" t="inlineStr">
        <is>
          <t>Location: FB 106 - RED RALLY NORTH EAST</t>
        </is>
      </c>
    </row>
    <row r="65" ht="15" customHeight="1" s="130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30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30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30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30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30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30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30">
      <c r="B72" t="inlineStr">
        <is>
          <t>Location: FB 107 - NE SPECIALTY - DAWG HOUSE</t>
        </is>
      </c>
    </row>
    <row r="73" ht="15" customHeight="1" s="130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30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30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30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30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30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30">
      <c r="B79" t="inlineStr">
        <is>
          <t>Location: FB 108 - GRAB N GO - NW</t>
        </is>
      </c>
    </row>
    <row r="80" ht="15" customHeight="1" s="130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30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30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30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30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30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30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30">
      <c r="B87" t="inlineStr">
        <is>
          <t>Location: FB 109 - MBP - NORTH EAST</t>
        </is>
      </c>
    </row>
    <row r="88" ht="15" customHeight="1" s="130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30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30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30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30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30">
      <c r="B93" t="inlineStr">
        <is>
          <t>Location: FB 110 - MBP - SHIVERS (NW)</t>
        </is>
      </c>
    </row>
    <row r="94" ht="15" customHeight="1" s="130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30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30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30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30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30">
      <c r="B99" t="inlineStr">
        <is>
          <t>Location: FB 111 - MBP - NE PEPSI TRAILER</t>
        </is>
      </c>
    </row>
    <row r="100" ht="15" customHeight="1" s="130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30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30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30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30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30">
      <c r="B105" t="inlineStr">
        <is>
          <t>Location: FB 112 - MBP - STUDENT ZONE (SE)</t>
        </is>
      </c>
    </row>
    <row r="106" ht="15" customHeight="1" s="130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30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30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30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30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30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30">
      <c r="B112" t="inlineStr">
        <is>
          <t>Location: FB 113 - MBP - MINI MELTS (NW)</t>
        </is>
      </c>
    </row>
    <row r="113" ht="15" customHeight="1" s="130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30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30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30">
      <c r="B116" t="inlineStr">
        <is>
          <t>Location: FB 113B - MBP - MINI MELTS (NE)</t>
        </is>
      </c>
    </row>
    <row r="117" ht="15" customHeight="1" s="130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30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30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30">
      <c r="B120" t="inlineStr">
        <is>
          <t>Location: FB 117 - MBP ELOTICO CART (NW)</t>
        </is>
      </c>
    </row>
    <row r="121" ht="15" customHeight="1" s="130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30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30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30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30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30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30">
      <c r="B127" t="inlineStr">
        <is>
          <t>Location: FB 120 - MBP N. SCOREBOARD</t>
        </is>
      </c>
    </row>
    <row r="128" ht="15" customHeight="1" s="130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30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30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30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30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30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30">
      <c r="A134" t="inlineStr">
        <is>
          <t>Department: 36128 - GROUP SALES / PREMIUM</t>
        </is>
      </c>
    </row>
    <row r="135" ht="15" customHeight="1" s="130">
      <c r="B135" t="inlineStr">
        <is>
          <t>Location: FB 401 - PREM. PRESS LEVEL</t>
        </is>
      </c>
    </row>
    <row r="136" ht="15" customHeight="1" s="130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30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30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30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30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30">
      <c r="B141" t="inlineStr">
        <is>
          <t>Location: FB 402 - PREM. ZIA 1</t>
        </is>
      </c>
    </row>
    <row r="142" ht="15" customHeight="1" s="130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30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30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30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30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30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30">
      <c r="B148" t="inlineStr">
        <is>
          <t>Location: FB 403 - PREM. ZIA 2</t>
        </is>
      </c>
    </row>
    <row r="149" ht="15" customHeight="1" s="130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30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30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30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30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30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30">
      <c r="B155" t="inlineStr">
        <is>
          <t>Location: FB 404 - PREM. END ZONE CLUB EZC</t>
        </is>
      </c>
    </row>
    <row r="156" ht="15" customHeight="1" s="130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30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30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30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30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30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30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30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30">
      <c r="A164" t="inlineStr">
        <is>
          <t>Department: 36637 - SPECIALTY CONCESSIONS (VENDING)</t>
        </is>
      </c>
    </row>
    <row r="165" ht="15" customHeight="1" s="130">
      <c r="B165" t="inlineStr">
        <is>
          <t>Location: FB 151 - SUB SUGAR SHIVERS</t>
        </is>
      </c>
    </row>
    <row r="166" ht="15" customHeight="1" s="130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30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30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30">
      <c r="B169" t="inlineStr">
        <is>
          <t>Location: FB 155 - SUB ISLAND NOODLES</t>
        </is>
      </c>
    </row>
    <row r="170" ht="15" customHeight="1" s="130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30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30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30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30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30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30" min="1" max="1"/>
    <col width="20" customWidth="1" style="130" min="2" max="2"/>
    <col width="42" customWidth="1" style="130" min="3" max="3"/>
  </cols>
  <sheetData>
    <row r="1" ht="15" customHeight="1" s="130">
      <c r="A1" s="41" t="inlineStr">
        <is>
          <t>MyVenue Product Code</t>
        </is>
      </c>
      <c r="B1" s="41" t="inlineStr">
        <is>
          <t>Contract Class</t>
        </is>
      </c>
      <c r="C1" s="41" t="inlineStr">
        <is>
          <t>Description / Rule</t>
        </is>
      </c>
    </row>
    <row r="2" ht="15" customHeight="1" s="130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</row>
    <row r="3" ht="15" customHeight="1" s="130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30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30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30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30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30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30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30" min="1" max="1"/>
    <col width="34" customWidth="1" style="130" min="2" max="2"/>
    <col width="38" customWidth="1" style="130" min="3" max="3"/>
    <col width="44" customWidth="1" style="130" min="4" max="4"/>
    <col width="18" customWidth="1" style="130" min="5" max="5"/>
    <col width="42" customWidth="1" style="130" min="6" max="6"/>
    <col width="20" customWidth="1" style="130" min="7" max="7"/>
    <col width="15" customWidth="1" style="130" min="8" max="9"/>
  </cols>
  <sheetData>
    <row r="1" ht="15" customHeight="1" s="130">
      <c r="A1" s="41" t="inlineStr">
        <is>
          <t>Raw Row</t>
        </is>
      </c>
      <c r="B1" s="41" t="inlineStr">
        <is>
          <t>Event</t>
        </is>
      </c>
      <c r="C1" s="41" t="inlineStr">
        <is>
          <t>Department</t>
        </is>
      </c>
      <c r="D1" s="41" t="inlineStr">
        <is>
          <t>Location</t>
        </is>
      </c>
      <c r="E1" s="41" t="inlineStr">
        <is>
          <t>Product Code</t>
        </is>
      </c>
      <c r="F1" s="41" t="inlineStr">
        <is>
          <t>Product Name</t>
        </is>
      </c>
      <c r="G1" s="41" t="inlineStr">
        <is>
          <t>Contract Class</t>
        </is>
      </c>
      <c r="H1" s="41" t="inlineStr">
        <is>
          <t>Gross Amt</t>
        </is>
      </c>
      <c r="I1" s="41" t="inlineStr">
        <is>
          <t>Net</t>
        </is>
      </c>
    </row>
    <row r="2" ht="68.65000000000001" customHeight="1" s="130">
      <c r="A2" t="n">
        <v>2</v>
      </c>
      <c r="B2" s="44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30">
      <c r="A3" t="n">
        <v>3</v>
      </c>
      <c r="B3" s="44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30">
      <c r="A4" t="n">
        <v>4</v>
      </c>
      <c r="B4" s="44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30">
      <c r="A5" t="n">
        <v>5</v>
      </c>
      <c r="B5" s="44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30">
      <c r="A6" t="n">
        <v>6</v>
      </c>
      <c r="B6" s="44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30">
      <c r="A7" t="n">
        <v>7</v>
      </c>
      <c r="B7" s="44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30">
      <c r="A8" t="n">
        <v>8</v>
      </c>
      <c r="B8" s="44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30">
      <c r="A9" t="n">
        <v>9</v>
      </c>
      <c r="B9" s="44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30">
      <c r="A10" t="n">
        <v>10</v>
      </c>
      <c r="B10" s="44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30">
      <c r="A11" t="n">
        <v>11</v>
      </c>
      <c r="B11" s="44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30">
      <c r="A12" t="n">
        <v>12</v>
      </c>
      <c r="B12" s="44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30">
      <c r="A13" t="n">
        <v>13</v>
      </c>
      <c r="B13" s="44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30">
      <c r="A14" t="n">
        <v>14</v>
      </c>
      <c r="B14" s="44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30">
      <c r="A15" t="n">
        <v>15</v>
      </c>
      <c r="B15" s="44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30">
      <c r="A16" t="n">
        <v>16</v>
      </c>
      <c r="B16" s="44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30">
      <c r="A17" t="n">
        <v>17</v>
      </c>
      <c r="B17" s="44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30">
      <c r="A18" t="n">
        <v>18</v>
      </c>
      <c r="B18" s="44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30">
      <c r="A19" t="n">
        <v>19</v>
      </c>
      <c r="B19" s="44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30">
      <c r="A20" t="n">
        <v>20</v>
      </c>
      <c r="B20" s="44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30">
      <c r="A21" t="n">
        <v>21</v>
      </c>
      <c r="B21" s="44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30">
      <c r="A22" t="n">
        <v>22</v>
      </c>
      <c r="B22" s="44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30">
      <c r="A23" t="n">
        <v>23</v>
      </c>
      <c r="B23" s="44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30">
      <c r="A24" t="n">
        <v>24</v>
      </c>
      <c r="B24" s="44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30">
      <c r="A25" t="n">
        <v>25</v>
      </c>
      <c r="B25" s="44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30">
      <c r="A26" t="n">
        <v>26</v>
      </c>
      <c r="B26" s="44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30">
      <c r="A27" t="n">
        <v>27</v>
      </c>
      <c r="B27" s="44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30">
      <c r="A28" t="n">
        <v>28</v>
      </c>
      <c r="B28" s="44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30">
      <c r="A29" t="n">
        <v>29</v>
      </c>
      <c r="B29" s="44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30">
      <c r="A30" t="n">
        <v>30</v>
      </c>
      <c r="B30" s="44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30">
      <c r="A31" t="n">
        <v>31</v>
      </c>
      <c r="B31" s="44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30">
      <c r="A32" t="n">
        <v>32</v>
      </c>
      <c r="B32" s="44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30">
      <c r="A33" t="n">
        <v>33</v>
      </c>
      <c r="B33" s="44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30">
      <c r="A34" t="n">
        <v>34</v>
      </c>
      <c r="B34" s="44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30">
      <c r="A35" t="n">
        <v>35</v>
      </c>
      <c r="B35" s="44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30">
      <c r="A36" t="n">
        <v>36</v>
      </c>
      <c r="B36" s="44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30">
      <c r="A37" t="n">
        <v>37</v>
      </c>
      <c r="B37" s="44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30">
      <c r="A38" t="n">
        <v>38</v>
      </c>
      <c r="B38" s="44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30">
      <c r="A39" t="n">
        <v>39</v>
      </c>
      <c r="B39" s="44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30">
      <c r="A40" t="n">
        <v>40</v>
      </c>
      <c r="B40" s="44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30">
      <c r="A41" t="n">
        <v>41</v>
      </c>
      <c r="B41" s="44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30">
      <c r="A42" t="n">
        <v>42</v>
      </c>
      <c r="B42" s="44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30">
      <c r="A43" t="n">
        <v>43</v>
      </c>
      <c r="B43" s="44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30">
      <c r="A44" t="n">
        <v>44</v>
      </c>
      <c r="B44" s="44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30">
      <c r="A45" t="n">
        <v>45</v>
      </c>
      <c r="B45" s="44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30">
      <c r="A46" t="n">
        <v>46</v>
      </c>
      <c r="B46" s="44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30">
      <c r="A47" t="n">
        <v>47</v>
      </c>
      <c r="B47" s="44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30">
      <c r="A48" t="n">
        <v>48</v>
      </c>
      <c r="B48" s="44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30">
      <c r="A49" t="n">
        <v>49</v>
      </c>
      <c r="B49" s="44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30">
      <c r="A50" t="n">
        <v>50</v>
      </c>
      <c r="B50" s="44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30">
      <c r="A51" t="n">
        <v>51</v>
      </c>
      <c r="B51" s="44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30">
      <c r="A52" t="n">
        <v>52</v>
      </c>
      <c r="B52" s="44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30">
      <c r="A53" t="n">
        <v>53</v>
      </c>
      <c r="B53" s="44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30">
      <c r="A54" t="n">
        <v>54</v>
      </c>
      <c r="B54" s="44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30">
      <c r="A55" t="n">
        <v>55</v>
      </c>
      <c r="B55" s="44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30">
      <c r="A56" t="n">
        <v>56</v>
      </c>
      <c r="B56" s="44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30">
      <c r="A57" t="n">
        <v>57</v>
      </c>
      <c r="B57" s="44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30">
      <c r="A58" t="n">
        <v>58</v>
      </c>
      <c r="B58" s="44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30">
      <c r="A59" t="n">
        <v>59</v>
      </c>
      <c r="B59" s="44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30">
      <c r="A60" t="n">
        <v>60</v>
      </c>
      <c r="B60" s="44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30">
      <c r="A61" t="n">
        <v>61</v>
      </c>
      <c r="B61" s="44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30">
      <c r="A62" t="n">
        <v>62</v>
      </c>
      <c r="B62" s="44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30">
      <c r="A63" t="n">
        <v>63</v>
      </c>
      <c r="B63" s="44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30">
      <c r="A64" t="n">
        <v>64</v>
      </c>
      <c r="B64" s="44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30">
      <c r="A65" t="n">
        <v>65</v>
      </c>
      <c r="B65" s="44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30">
      <c r="A66" t="n">
        <v>66</v>
      </c>
      <c r="B66" s="44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30">
      <c r="A67" t="n">
        <v>67</v>
      </c>
      <c r="B67" s="44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30">
      <c r="A68" t="n">
        <v>68</v>
      </c>
      <c r="B68" s="44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30">
      <c r="A69" t="n">
        <v>69</v>
      </c>
      <c r="B69" s="44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30">
      <c r="A70" t="n">
        <v>70</v>
      </c>
      <c r="B70" s="44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30">
      <c r="A71" t="n">
        <v>71</v>
      </c>
      <c r="B71" s="44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30">
      <c r="A72" t="n">
        <v>72</v>
      </c>
      <c r="B72" s="44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30">
      <c r="A73" t="n">
        <v>73</v>
      </c>
      <c r="B73" s="44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30">
      <c r="A74" t="n">
        <v>74</v>
      </c>
      <c r="B74" s="44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30">
      <c r="A75" t="n">
        <v>75</v>
      </c>
      <c r="B75" s="44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30">
      <c r="A76" t="n">
        <v>76</v>
      </c>
      <c r="B76" s="44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30">
      <c r="A77" t="n">
        <v>77</v>
      </c>
      <c r="B77" s="44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30">
      <c r="A78" t="n">
        <v>78</v>
      </c>
      <c r="B78" s="44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30">
      <c r="A79" t="n">
        <v>79</v>
      </c>
      <c r="B79" s="44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30">
      <c r="A80" t="n">
        <v>80</v>
      </c>
      <c r="B80" s="44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30">
      <c r="A81" t="n">
        <v>81</v>
      </c>
      <c r="B81" s="44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30">
      <c r="A82" t="n">
        <v>82</v>
      </c>
      <c r="B82" s="44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30">
      <c r="A83" t="n">
        <v>83</v>
      </c>
      <c r="B83" s="44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30">
      <c r="A84" t="n">
        <v>84</v>
      </c>
      <c r="B84" s="44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30">
      <c r="A85" t="n">
        <v>85</v>
      </c>
      <c r="B85" s="44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30">
      <c r="A86" t="n">
        <v>86</v>
      </c>
      <c r="B86" s="44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30">
      <c r="A87" t="n">
        <v>87</v>
      </c>
      <c r="B87" s="44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30">
      <c r="A88" t="n">
        <v>88</v>
      </c>
      <c r="B88" s="44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30">
      <c r="A89" t="n">
        <v>89</v>
      </c>
      <c r="B89" s="44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30">
      <c r="A90" t="n">
        <v>90</v>
      </c>
      <c r="B90" s="44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30">
      <c r="A91" t="n">
        <v>91</v>
      </c>
      <c r="B91" s="44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30">
      <c r="A92" t="n">
        <v>92</v>
      </c>
      <c r="B92" s="44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30">
      <c r="A93" t="n">
        <v>93</v>
      </c>
      <c r="B93" s="44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30">
      <c r="A94" t="n">
        <v>94</v>
      </c>
      <c r="B94" s="44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30">
      <c r="A95" t="n">
        <v>95</v>
      </c>
      <c r="B95" s="44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30">
      <c r="A96" t="n">
        <v>96</v>
      </c>
      <c r="B96" s="44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30">
      <c r="A97" t="n">
        <v>97</v>
      </c>
      <c r="B97" s="44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30">
      <c r="A98" t="n">
        <v>98</v>
      </c>
      <c r="B98" s="44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30">
      <c r="A99" t="n">
        <v>99</v>
      </c>
      <c r="B99" s="44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30">
      <c r="A100" t="n">
        <v>100</v>
      </c>
      <c r="B100" s="44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30">
      <c r="A101" t="n">
        <v>101</v>
      </c>
      <c r="B101" s="44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30">
      <c r="A102" t="n">
        <v>102</v>
      </c>
      <c r="B102" s="44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30">
      <c r="A103" t="n">
        <v>103</v>
      </c>
      <c r="B103" s="44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30">
      <c r="A104" t="n">
        <v>104</v>
      </c>
      <c r="B104" s="44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30">
      <c r="A105" t="n">
        <v>105</v>
      </c>
      <c r="B105" s="44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30">
      <c r="A106" t="n">
        <v>106</v>
      </c>
      <c r="B106" s="44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30">
      <c r="A107" t="n">
        <v>107</v>
      </c>
      <c r="B107" s="44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30">
      <c r="A108" t="n">
        <v>108</v>
      </c>
      <c r="B108" s="44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30">
      <c r="A109" t="n">
        <v>109</v>
      </c>
      <c r="B109" s="44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30">
      <c r="A110" t="n">
        <v>110</v>
      </c>
      <c r="B110" s="44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30">
      <c r="A111" t="n">
        <v>111</v>
      </c>
      <c r="B111" s="44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30">
      <c r="A112" t="n">
        <v>112</v>
      </c>
      <c r="B112" s="44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30">
      <c r="A113" t="n">
        <v>113</v>
      </c>
      <c r="B113" s="44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30">
      <c r="A114" t="n">
        <v>114</v>
      </c>
      <c r="B114" s="44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30">
      <c r="A115" t="n">
        <v>115</v>
      </c>
      <c r="B115" s="44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30">
      <c r="A116" t="n">
        <v>116</v>
      </c>
      <c r="B116" s="44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30">
      <c r="A117" t="n">
        <v>117</v>
      </c>
      <c r="B117" s="44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30">
      <c r="A118" t="n">
        <v>118</v>
      </c>
      <c r="B118" s="44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30">
      <c r="A119" t="n">
        <v>119</v>
      </c>
      <c r="B119" s="44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30">
      <c r="A120" t="n">
        <v>120</v>
      </c>
      <c r="B120" s="44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30">
      <c r="A121" t="n">
        <v>121</v>
      </c>
      <c r="B121" s="44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30">
      <c r="A122" t="n">
        <v>122</v>
      </c>
      <c r="B122" s="44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30">
      <c r="A123" t="n">
        <v>123</v>
      </c>
      <c r="B123" s="44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30">
      <c r="A124" t="n">
        <v>124</v>
      </c>
      <c r="B124" s="44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30">
      <c r="A125" t="n">
        <v>125</v>
      </c>
      <c r="B125" s="44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30">
      <c r="A126" t="n">
        <v>126</v>
      </c>
      <c r="B126" s="44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30">
      <c r="A127" t="n">
        <v>127</v>
      </c>
      <c r="B127" s="44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30">
      <c r="A128" t="n">
        <v>128</v>
      </c>
      <c r="B128" s="44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30">
      <c r="A129" t="n">
        <v>129</v>
      </c>
      <c r="B129" s="44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30">
      <c r="A130" t="n">
        <v>130</v>
      </c>
      <c r="B130" s="44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30">
      <c r="A131" t="n">
        <v>131</v>
      </c>
      <c r="B131" s="44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30">
      <c r="A132" t="n">
        <v>132</v>
      </c>
      <c r="B132" s="44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30">
      <c r="A133" t="n">
        <v>133</v>
      </c>
      <c r="B133" s="44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30">
      <c r="A134" t="n">
        <v>134</v>
      </c>
      <c r="B134" s="44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30">
      <c r="A135" t="n">
        <v>135</v>
      </c>
      <c r="B135" s="44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30">
      <c r="A136" t="n">
        <v>136</v>
      </c>
      <c r="B136" s="44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30">
      <c r="A137" t="n">
        <v>137</v>
      </c>
      <c r="B137" s="44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30">
      <c r="A138" t="n">
        <v>138</v>
      </c>
      <c r="B138" s="44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30">
      <c r="A139" t="n">
        <v>139</v>
      </c>
      <c r="B139" s="44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30">
      <c r="A140" t="n">
        <v>140</v>
      </c>
      <c r="B140" s="44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30">
      <c r="A141" t="n">
        <v>141</v>
      </c>
      <c r="B141" s="44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30">
      <c r="A142" t="n">
        <v>142</v>
      </c>
      <c r="B142" s="44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30">
      <c r="A143" t="n">
        <v>143</v>
      </c>
      <c r="B143" s="44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30">
      <c r="A144" t="n">
        <v>144</v>
      </c>
      <c r="B144" s="44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30">
      <c r="A145" t="n">
        <v>145</v>
      </c>
      <c r="B145" s="44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30">
      <c r="A146" t="n">
        <v>146</v>
      </c>
      <c r="B146" s="44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30">
      <c r="A147" t="n">
        <v>147</v>
      </c>
      <c r="B147" s="44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30">
      <c r="A148" t="n">
        <v>148</v>
      </c>
      <c r="B148" s="44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30">
      <c r="A149" t="n">
        <v>149</v>
      </c>
      <c r="B149" s="44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30">
      <c r="A150" t="n">
        <v>150</v>
      </c>
      <c r="B150" s="44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30">
      <c r="A151" t="n">
        <v>151</v>
      </c>
      <c r="B151" s="44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30">
      <c r="A152" t="n">
        <v>152</v>
      </c>
      <c r="B152" s="44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30">
      <c r="A153" t="n">
        <v>153</v>
      </c>
      <c r="B153" s="44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30">
      <c r="A154" t="n">
        <v>154</v>
      </c>
      <c r="B154" s="44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30">
      <c r="A155" t="n">
        <v>155</v>
      </c>
      <c r="B155" s="44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30">
      <c r="A156" t="n">
        <v>156</v>
      </c>
      <c r="B156" s="44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30">
      <c r="A157" t="n">
        <v>157</v>
      </c>
      <c r="B157" s="44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30">
      <c r="A158" t="n">
        <v>158</v>
      </c>
      <c r="B158" s="44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30">
      <c r="A159" t="n">
        <v>159</v>
      </c>
      <c r="B159" s="44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30">
      <c r="A160" t="n">
        <v>160</v>
      </c>
      <c r="B160" s="44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30">
      <c r="A161" t="n">
        <v>161</v>
      </c>
      <c r="B161" s="44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30">
      <c r="A162" t="n">
        <v>162</v>
      </c>
      <c r="B162" s="44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30">
      <c r="A163" t="n">
        <v>163</v>
      </c>
      <c r="B163" s="44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30">
      <c r="A164" t="n">
        <v>164</v>
      </c>
      <c r="B164" s="44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30">
      <c r="A165" t="n">
        <v>165</v>
      </c>
      <c r="B165" s="44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30">
      <c r="A166" t="n">
        <v>166</v>
      </c>
      <c r="B166" s="44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30">
      <c r="A167" t="n">
        <v>167</v>
      </c>
      <c r="B167" s="44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30">
      <c r="A168" t="n">
        <v>168</v>
      </c>
      <c r="B168" s="44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30">
      <c r="A169" t="n">
        <v>169</v>
      </c>
      <c r="B169" s="44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30">
      <c r="A170" t="n">
        <v>170</v>
      </c>
      <c r="B170" s="44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30">
      <c r="A171" t="n">
        <v>171</v>
      </c>
      <c r="B171" s="44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30">
      <c r="A172" t="n">
        <v>172</v>
      </c>
      <c r="B172" s="44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30">
      <c r="A173" t="n">
        <v>173</v>
      </c>
      <c r="B173" s="44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30">
      <c r="A174" t="n">
        <v>174</v>
      </c>
      <c r="B174" s="44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30">
      <c r="A175" t="n">
        <v>175</v>
      </c>
      <c r="B175" s="44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30">
      <c r="A176" t="n">
        <v>176</v>
      </c>
      <c r="B176" s="44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30">
      <c r="A177" t="n">
        <v>177</v>
      </c>
      <c r="B177" s="44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30">
      <c r="A178" t="n">
        <v>178</v>
      </c>
      <c r="B178" s="44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30">
      <c r="A179" t="n">
        <v>179</v>
      </c>
      <c r="B179" s="44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30">
      <c r="A180" t="n">
        <v>180</v>
      </c>
      <c r="B180" s="44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30">
      <c r="A181" t="n">
        <v>181</v>
      </c>
      <c r="B181" s="44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30">
      <c r="A182" t="n">
        <v>182</v>
      </c>
      <c r="B182" s="44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30">
      <c r="A183" t="n">
        <v>183</v>
      </c>
      <c r="B183" s="44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30">
      <c r="A184" t="n">
        <v>184</v>
      </c>
      <c r="B184" s="44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30">
      <c r="A185" t="n">
        <v>185</v>
      </c>
      <c r="B185" s="44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30">
      <c r="A186" t="n">
        <v>186</v>
      </c>
      <c r="B186" s="44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30">
      <c r="A187" t="n">
        <v>187</v>
      </c>
      <c r="B187" s="44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30">
      <c r="A188" t="n">
        <v>188</v>
      </c>
      <c r="B188" s="44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30">
      <c r="A189" t="n">
        <v>189</v>
      </c>
      <c r="B189" s="44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30">
      <c r="A190" t="n">
        <v>190</v>
      </c>
      <c r="B190" s="44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30">
      <c r="A191" t="n">
        <v>191</v>
      </c>
      <c r="B191" s="44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30">
      <c r="A192" t="n">
        <v>192</v>
      </c>
      <c r="B192" s="44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30">
      <c r="A193" t="n">
        <v>193</v>
      </c>
      <c r="B193" s="44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30">
      <c r="A194" t="n">
        <v>194</v>
      </c>
      <c r="B194" s="44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30">
      <c r="A195" t="n">
        <v>195</v>
      </c>
      <c r="B195" s="44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30">
      <c r="A196" t="n">
        <v>196</v>
      </c>
      <c r="B196" s="44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30">
      <c r="A197" t="n">
        <v>197</v>
      </c>
      <c r="B197" s="44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30">
      <c r="A198" t="n">
        <v>198</v>
      </c>
      <c r="B198" s="44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30">
      <c r="A199" t="n">
        <v>199</v>
      </c>
      <c r="B199" s="44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30">
      <c r="A200" t="n">
        <v>200</v>
      </c>
      <c r="B200" s="44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30">
      <c r="A201" t="n">
        <v>201</v>
      </c>
      <c r="B201" s="44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30">
      <c r="A202" t="n">
        <v>202</v>
      </c>
      <c r="B202" s="44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30">
      <c r="A203" t="n">
        <v>203</v>
      </c>
      <c r="B203" s="44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30">
      <c r="A204" t="n">
        <v>204</v>
      </c>
      <c r="B204" s="44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30">
      <c r="A205" t="n">
        <v>205</v>
      </c>
      <c r="B205" s="44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30">
      <c r="A206" t="n">
        <v>206</v>
      </c>
      <c r="B206" s="44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30">
      <c r="A207" t="n">
        <v>207</v>
      </c>
      <c r="B207" s="44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30">
      <c r="A208" t="n">
        <v>208</v>
      </c>
      <c r="B208" s="44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30">
      <c r="A209" t="n">
        <v>209</v>
      </c>
      <c r="B209" s="44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30">
      <c r="A210" t="n">
        <v>210</v>
      </c>
      <c r="B210" s="44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30">
      <c r="A211" t="n">
        <v>211</v>
      </c>
      <c r="B211" s="44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30">
      <c r="A212" t="n">
        <v>212</v>
      </c>
      <c r="B212" s="44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30">
      <c r="A213" t="n">
        <v>213</v>
      </c>
      <c r="B213" s="44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30">
      <c r="A214" t="n">
        <v>214</v>
      </c>
      <c r="B214" s="44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30">
      <c r="A215" t="n">
        <v>215</v>
      </c>
      <c r="B215" s="44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30">
      <c r="A216" t="n">
        <v>216</v>
      </c>
      <c r="B216" s="44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30">
      <c r="A217" t="n">
        <v>217</v>
      </c>
      <c r="B217" s="44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30">
      <c r="A218" t="n">
        <v>218</v>
      </c>
      <c r="B218" s="44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30">
      <c r="A219" t="n">
        <v>219</v>
      </c>
      <c r="B219" s="44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30">
      <c r="A220" t="n">
        <v>220</v>
      </c>
      <c r="B220" s="44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30">
      <c r="A221" t="n">
        <v>221</v>
      </c>
      <c r="B221" s="44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30">
      <c r="A222" t="n">
        <v>222</v>
      </c>
      <c r="B222" s="44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30">
      <c r="A223" t="n">
        <v>223</v>
      </c>
      <c r="B223" s="44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30">
      <c r="A224" t="n">
        <v>224</v>
      </c>
      <c r="B224" s="44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30">
      <c r="A225" t="n">
        <v>225</v>
      </c>
      <c r="B225" s="44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30">
      <c r="A226" t="n">
        <v>226</v>
      </c>
      <c r="B226" s="44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30">
      <c r="A227" t="n">
        <v>227</v>
      </c>
      <c r="B227" s="44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30">
      <c r="A228" t="n">
        <v>228</v>
      </c>
      <c r="B228" s="44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30">
      <c r="A229" t="n">
        <v>229</v>
      </c>
      <c r="B229" s="44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30">
      <c r="A230" t="n">
        <v>230</v>
      </c>
      <c r="B230" s="44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30">
      <c r="A231" t="n">
        <v>231</v>
      </c>
      <c r="B231" s="44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30">
      <c r="A232" t="n">
        <v>232</v>
      </c>
      <c r="B232" s="44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30">
      <c r="A233" t="n">
        <v>233</v>
      </c>
      <c r="B233" s="44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30">
      <c r="A234" t="n">
        <v>234</v>
      </c>
      <c r="B234" s="44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30">
      <c r="A235" t="n">
        <v>235</v>
      </c>
      <c r="B235" s="44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30">
      <c r="A236" t="n">
        <v>236</v>
      </c>
      <c r="B236" s="44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30">
      <c r="A237" t="n">
        <v>237</v>
      </c>
      <c r="B237" s="44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30">
      <c r="A238" t="n">
        <v>238</v>
      </c>
      <c r="B238" s="44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30">
      <c r="A239" t="n">
        <v>239</v>
      </c>
      <c r="B239" s="44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30">
      <c r="A240" t="n">
        <v>240</v>
      </c>
      <c r="B240" s="44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30">
      <c r="A241" t="n">
        <v>241</v>
      </c>
      <c r="B241" s="44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30">
      <c r="A242" t="n">
        <v>242</v>
      </c>
      <c r="B242" s="44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30">
      <c r="A243" t="n">
        <v>243</v>
      </c>
      <c r="B243" s="44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30">
      <c r="A244" t="n">
        <v>244</v>
      </c>
      <c r="B244" s="44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30">
      <c r="A245" t="n">
        <v>245</v>
      </c>
      <c r="B245" s="44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30">
      <c r="A246" t="n">
        <v>246</v>
      </c>
      <c r="B246" s="44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30">
      <c r="A247" t="n">
        <v>247</v>
      </c>
      <c r="B247" s="44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30">
      <c r="A248" t="n">
        <v>248</v>
      </c>
      <c r="B248" s="44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30">
      <c r="A249" t="n">
        <v>249</v>
      </c>
      <c r="B249" s="44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30">
      <c r="A250" t="n">
        <v>250</v>
      </c>
      <c r="B250" s="44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30">
      <c r="A251" t="n">
        <v>251</v>
      </c>
      <c r="B251" s="44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30">
      <c r="A252" t="n">
        <v>252</v>
      </c>
      <c r="B252" s="44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30">
      <c r="A253" t="n">
        <v>253</v>
      </c>
      <c r="B253" s="44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30">
      <c r="A254" t="n">
        <v>254</v>
      </c>
      <c r="B254" s="44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30">
      <c r="A255" t="n">
        <v>255</v>
      </c>
      <c r="B255" s="44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30">
      <c r="A256" t="n">
        <v>256</v>
      </c>
      <c r="B256" s="44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30">
      <c r="A257" t="n">
        <v>257</v>
      </c>
      <c r="B257" s="44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30">
      <c r="A258" t="n">
        <v>258</v>
      </c>
      <c r="B258" s="44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30">
      <c r="A259" t="n">
        <v>259</v>
      </c>
      <c r="B259" s="44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30">
      <c r="A260" t="n">
        <v>260</v>
      </c>
      <c r="B260" s="44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30">
      <c r="A261" t="n">
        <v>261</v>
      </c>
      <c r="B261" s="44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30">
      <c r="A262" t="n">
        <v>262</v>
      </c>
      <c r="B262" s="44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30">
      <c r="A263" t="n">
        <v>263</v>
      </c>
      <c r="B263" s="44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30">
      <c r="A264" t="n">
        <v>264</v>
      </c>
      <c r="B264" s="44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30">
      <c r="A265" t="n">
        <v>265</v>
      </c>
      <c r="B265" s="44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30">
      <c r="A266" t="n">
        <v>266</v>
      </c>
      <c r="B266" s="44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30">
      <c r="A267" t="n">
        <v>267</v>
      </c>
      <c r="B267" s="44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30">
      <c r="A268" t="n">
        <v>268</v>
      </c>
      <c r="B268" s="44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30">
      <c r="A269" t="n">
        <v>269</v>
      </c>
      <c r="B269" s="44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30">
      <c r="A270" t="n">
        <v>270</v>
      </c>
      <c r="B270" s="44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30">
      <c r="A271" t="n">
        <v>271</v>
      </c>
      <c r="B271" s="44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30">
      <c r="A272" t="n">
        <v>272</v>
      </c>
      <c r="B272" s="44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30">
      <c r="A273" t="n">
        <v>273</v>
      </c>
      <c r="B273" s="44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30">
      <c r="A274" t="n">
        <v>274</v>
      </c>
      <c r="B274" s="44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30">
      <c r="A275" t="n">
        <v>275</v>
      </c>
      <c r="B275" s="44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30">
      <c r="A276" t="n">
        <v>276</v>
      </c>
      <c r="B276" s="44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30">
      <c r="A277" t="n">
        <v>277</v>
      </c>
      <c r="B277" s="44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30">
      <c r="A278" t="n">
        <v>278</v>
      </c>
      <c r="B278" s="44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30">
      <c r="A279" t="n">
        <v>279</v>
      </c>
      <c r="B279" s="44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30">
      <c r="A280" t="n">
        <v>280</v>
      </c>
      <c r="B280" s="44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30">
      <c r="A281" t="n">
        <v>281</v>
      </c>
      <c r="B281" s="44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30">
      <c r="A282" t="n">
        <v>282</v>
      </c>
      <c r="B282" s="44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30">
      <c r="A283" t="n">
        <v>283</v>
      </c>
      <c r="B283" s="44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30">
      <c r="A284" t="n">
        <v>284</v>
      </c>
      <c r="B284" s="44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30">
      <c r="A285" t="n">
        <v>285</v>
      </c>
      <c r="B285" s="44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30">
      <c r="A286" t="n">
        <v>286</v>
      </c>
      <c r="B286" s="44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30">
      <c r="A287" t="n">
        <v>287</v>
      </c>
      <c r="B287" s="44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30">
      <c r="A288" t="n">
        <v>288</v>
      </c>
      <c r="B288" s="44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30">
      <c r="A289" t="n">
        <v>289</v>
      </c>
      <c r="B289" s="44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30">
      <c r="A290" t="n">
        <v>290</v>
      </c>
      <c r="B290" s="44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30">
      <c r="A291" t="n">
        <v>291</v>
      </c>
      <c r="B291" s="44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30">
      <c r="A292" t="n">
        <v>292</v>
      </c>
      <c r="B292" s="44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30">
      <c r="A293" t="n">
        <v>293</v>
      </c>
      <c r="B293" s="44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30">
      <c r="A294" t="n">
        <v>294</v>
      </c>
      <c r="B294" s="44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30">
      <c r="A295" t="n">
        <v>295</v>
      </c>
      <c r="B295" s="44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30">
      <c r="A296" t="n">
        <v>296</v>
      </c>
      <c r="B296" s="44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30">
      <c r="A297" t="n">
        <v>297</v>
      </c>
      <c r="B297" s="44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30">
      <c r="A298" t="n">
        <v>298</v>
      </c>
      <c r="B298" s="44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30">
      <c r="A299" t="n">
        <v>299</v>
      </c>
      <c r="B299" s="44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30">
      <c r="A300" t="n">
        <v>300</v>
      </c>
      <c r="B300" s="44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30">
      <c r="A301" t="n">
        <v>301</v>
      </c>
      <c r="B301" s="44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30">
      <c r="A302" t="n">
        <v>302</v>
      </c>
      <c r="B302" s="44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30">
      <c r="A303" t="n">
        <v>303</v>
      </c>
      <c r="B303" s="44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30">
      <c r="A304" t="n">
        <v>304</v>
      </c>
      <c r="B304" s="44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30">
      <c r="A305" t="n">
        <v>305</v>
      </c>
      <c r="B305" s="44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30">
      <c r="A306" t="n">
        <v>306</v>
      </c>
      <c r="B306" s="44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30">
      <c r="A307" t="n">
        <v>307</v>
      </c>
      <c r="B307" s="44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30">
      <c r="A308" t="n">
        <v>308</v>
      </c>
      <c r="B308" s="44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30">
      <c r="A309" t="n">
        <v>309</v>
      </c>
      <c r="B309" s="44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30">
      <c r="A310" t="n">
        <v>310</v>
      </c>
      <c r="B310" s="44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30">
      <c r="A311" t="n">
        <v>311</v>
      </c>
      <c r="B311" s="44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30">
      <c r="A312" t="n">
        <v>312</v>
      </c>
      <c r="B312" s="44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30">
      <c r="A313" t="n">
        <v>313</v>
      </c>
      <c r="B313" s="44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30">
      <c r="A314" t="n">
        <v>314</v>
      </c>
      <c r="B314" s="44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30">
      <c r="A315" t="n">
        <v>315</v>
      </c>
      <c r="B315" s="44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30">
      <c r="A316" t="n">
        <v>316</v>
      </c>
      <c r="B316" s="44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30">
      <c r="A317" t="n">
        <v>317</v>
      </c>
      <c r="B317" s="44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30">
      <c r="A318" t="n">
        <v>318</v>
      </c>
      <c r="B318" s="44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30">
      <c r="A319" t="n">
        <v>319</v>
      </c>
      <c r="B319" s="44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30">
      <c r="A320" t="n">
        <v>320</v>
      </c>
      <c r="B320" s="44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30">
      <c r="A321" t="n">
        <v>321</v>
      </c>
      <c r="B321" s="44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30">
      <c r="A322" t="n">
        <v>322</v>
      </c>
      <c r="B322" s="44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30">
      <c r="A323" t="n">
        <v>323</v>
      </c>
      <c r="B323" s="44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30">
      <c r="A324" t="n">
        <v>324</v>
      </c>
      <c r="B324" s="44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30">
      <c r="A325" t="n">
        <v>325</v>
      </c>
      <c r="B325" s="44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30">
      <c r="A326" t="n">
        <v>326</v>
      </c>
      <c r="B326" s="44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30">
      <c r="A327" t="n">
        <v>327</v>
      </c>
      <c r="B327" s="44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30">
      <c r="A328" t="n">
        <v>328</v>
      </c>
      <c r="B328" s="44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30">
      <c r="A329" t="n">
        <v>329</v>
      </c>
      <c r="B329" s="44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30">
      <c r="A330" t="n">
        <v>330</v>
      </c>
      <c r="B330" s="44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30">
      <c r="A331" t="n">
        <v>331</v>
      </c>
      <c r="B331" s="44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30">
      <c r="A332" t="n">
        <v>332</v>
      </c>
      <c r="B332" s="44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30">
      <c r="A333" t="n">
        <v>333</v>
      </c>
      <c r="B333" s="44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30">
      <c r="A334" t="n">
        <v>334</v>
      </c>
      <c r="B334" s="44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30">
      <c r="A335" t="n">
        <v>335</v>
      </c>
      <c r="B335" s="44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30">
      <c r="A336" t="n">
        <v>336</v>
      </c>
      <c r="B336" s="44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30">
      <c r="A337" t="n">
        <v>337</v>
      </c>
      <c r="B337" s="44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30">
      <c r="A338" t="n">
        <v>338</v>
      </c>
      <c r="B338" s="44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30">
      <c r="A339" t="n">
        <v>339</v>
      </c>
      <c r="B339" s="44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30">
      <c r="A340" t="n">
        <v>340</v>
      </c>
      <c r="B340" s="44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30">
      <c r="A341" t="n">
        <v>341</v>
      </c>
      <c r="B341" s="44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30">
      <c r="A342" t="n">
        <v>342</v>
      </c>
      <c r="B342" s="44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30">
      <c r="A343" t="n">
        <v>343</v>
      </c>
      <c r="B343" s="44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30">
      <c r="A344" t="n">
        <v>344</v>
      </c>
      <c r="B344" s="44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30">
      <c r="A345" t="n">
        <v>345</v>
      </c>
      <c r="B345" s="44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30">
      <c r="A346" t="n">
        <v>346</v>
      </c>
      <c r="B346" s="44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30">
      <c r="A347" t="n">
        <v>347</v>
      </c>
      <c r="B347" s="44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30">
      <c r="A348" t="n">
        <v>348</v>
      </c>
      <c r="B348" s="44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30">
      <c r="A349" t="n">
        <v>349</v>
      </c>
      <c r="B349" s="44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30">
      <c r="A350" t="n">
        <v>350</v>
      </c>
      <c r="B350" s="44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30">
      <c r="A351" t="n">
        <v>351</v>
      </c>
      <c r="B351" s="44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30">
      <c r="A352" t="n">
        <v>352</v>
      </c>
      <c r="B352" s="44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30">
      <c r="A353" t="n">
        <v>353</v>
      </c>
      <c r="B353" s="44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30">
      <c r="A354" t="n">
        <v>354</v>
      </c>
      <c r="B354" s="44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30">
      <c r="A355" t="n">
        <v>355</v>
      </c>
      <c r="B355" s="44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30">
      <c r="A356" t="n">
        <v>356</v>
      </c>
      <c r="B356" s="44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30">
      <c r="A357" t="n">
        <v>357</v>
      </c>
      <c r="B357" s="44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30">
      <c r="A358" t="n">
        <v>358</v>
      </c>
      <c r="B358" s="44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30">
      <c r="A359" t="n">
        <v>359</v>
      </c>
      <c r="B359" s="44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30">
      <c r="A360" t="n">
        <v>360</v>
      </c>
      <c r="B360" s="44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30">
      <c r="A361" t="n">
        <v>361</v>
      </c>
      <c r="B361" s="44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30">
      <c r="A362" t="n">
        <v>362</v>
      </c>
      <c r="B362" s="44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30">
      <c r="A363" t="n">
        <v>363</v>
      </c>
      <c r="B363" s="44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30">
      <c r="A364" t="n">
        <v>364</v>
      </c>
      <c r="B364" s="44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30">
      <c r="A365" t="n">
        <v>365</v>
      </c>
      <c r="B365" s="44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30">
      <c r="A366" t="n">
        <v>366</v>
      </c>
      <c r="B366" s="44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30">
      <c r="A367" t="n">
        <v>367</v>
      </c>
      <c r="B367" s="44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30">
      <c r="A368" t="n">
        <v>368</v>
      </c>
      <c r="B368" s="44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30">
      <c r="A369" t="n">
        <v>369</v>
      </c>
      <c r="B369" s="44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30">
      <c r="A370" t="n">
        <v>370</v>
      </c>
      <c r="B370" s="44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30">
      <c r="A371" t="n">
        <v>371</v>
      </c>
      <c r="B371" s="44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30">
      <c r="A372" t="n">
        <v>372</v>
      </c>
      <c r="B372" s="44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30">
      <c r="A373" t="n">
        <v>373</v>
      </c>
      <c r="B373" s="44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30">
      <c r="A374" t="n">
        <v>374</v>
      </c>
      <c r="B374" s="44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30">
      <c r="A375" t="n">
        <v>375</v>
      </c>
      <c r="B375" s="44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30">
      <c r="A376" t="n">
        <v>376</v>
      </c>
      <c r="B376" s="44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30">
      <c r="A377" t="n">
        <v>377</v>
      </c>
      <c r="B377" s="44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30">
      <c r="A378" t="n">
        <v>378</v>
      </c>
      <c r="B378" s="44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30">
      <c r="A379" t="n">
        <v>379</v>
      </c>
      <c r="B379" s="44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30">
      <c r="A380" t="n">
        <v>380</v>
      </c>
      <c r="B380" s="44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30">
      <c r="A381" t="n">
        <v>381</v>
      </c>
      <c r="B381" s="44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30">
      <c r="A382" t="n">
        <v>382</v>
      </c>
      <c r="B382" s="44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30">
      <c r="A383" t="n">
        <v>383</v>
      </c>
      <c r="B383" s="44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30">
      <c r="A384" t="n">
        <v>384</v>
      </c>
      <c r="B384" s="44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30">
      <c r="A385" t="n">
        <v>385</v>
      </c>
      <c r="B385" s="44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30">
      <c r="A386" t="n">
        <v>386</v>
      </c>
      <c r="B386" s="44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30">
      <c r="A387" t="n">
        <v>387</v>
      </c>
      <c r="B387" s="44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30">
      <c r="A388" t="n">
        <v>388</v>
      </c>
      <c r="B388" s="44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30">
      <c r="A389" t="n">
        <v>389</v>
      </c>
      <c r="B389" s="44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30">
      <c r="A390" t="n">
        <v>390</v>
      </c>
      <c r="B390" s="44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30">
      <c r="A391" t="n">
        <v>391</v>
      </c>
      <c r="B391" s="44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30">
      <c r="A392" t="n">
        <v>392</v>
      </c>
      <c r="B392" s="44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30">
      <c r="A393" t="n">
        <v>393</v>
      </c>
      <c r="B393" s="44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30">
      <c r="A394" t="n">
        <v>394</v>
      </c>
      <c r="B394" s="44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30">
      <c r="A395" t="n">
        <v>395</v>
      </c>
      <c r="B395" s="44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30">
      <c r="A396" t="n">
        <v>396</v>
      </c>
      <c r="B396" s="44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30">
      <c r="A397" t="n">
        <v>397</v>
      </c>
      <c r="B397" s="44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30">
      <c r="A398" t="n">
        <v>398</v>
      </c>
      <c r="B398" s="44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30">
      <c r="A399" t="n">
        <v>399</v>
      </c>
      <c r="B399" s="44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30">
      <c r="A400" t="n">
        <v>400</v>
      </c>
      <c r="B400" s="44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30">
      <c r="A401" t="n">
        <v>401</v>
      </c>
      <c r="B401" s="44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30">
      <c r="A402" t="n">
        <v>402</v>
      </c>
      <c r="B402" s="44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30">
      <c r="A403" t="n">
        <v>403</v>
      </c>
      <c r="B403" s="44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30">
      <c r="A404" t="n">
        <v>404</v>
      </c>
      <c r="B404" s="44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30">
      <c r="A405" t="n">
        <v>405</v>
      </c>
      <c r="B405" s="44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30">
      <c r="A406" t="n">
        <v>406</v>
      </c>
      <c r="B406" s="44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30">
      <c r="A407" t="n">
        <v>407</v>
      </c>
      <c r="B407" s="44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30">
      <c r="A408" t="n">
        <v>408</v>
      </c>
      <c r="B408" s="44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30">
      <c r="A409" t="n">
        <v>409</v>
      </c>
      <c r="B409" s="44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30">
      <c r="A410" t="n">
        <v>410</v>
      </c>
      <c r="B410" s="44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30">
      <c r="A411" t="n">
        <v>411</v>
      </c>
      <c r="B411" s="44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30">
      <c r="A412" t="n">
        <v>412</v>
      </c>
      <c r="B412" s="44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30">
      <c r="A413" t="n">
        <v>413</v>
      </c>
      <c r="B413" s="44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30">
      <c r="A414" t="n">
        <v>414</v>
      </c>
      <c r="B414" s="44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30">
      <c r="A415" t="n">
        <v>415</v>
      </c>
      <c r="B415" s="44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30">
      <c r="A416" t="n">
        <v>416</v>
      </c>
      <c r="B416" s="44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30">
      <c r="A417" t="n">
        <v>417</v>
      </c>
      <c r="B417" s="44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30">
      <c r="A418" t="n">
        <v>418</v>
      </c>
      <c r="B418" s="44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30">
      <c r="A419" t="n">
        <v>419</v>
      </c>
      <c r="B419" s="44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30">
      <c r="A420" t="n">
        <v>420</v>
      </c>
      <c r="B420" s="44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30">
      <c r="A421" t="n">
        <v>421</v>
      </c>
      <c r="B421" s="44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30">
      <c r="A422" t="n">
        <v>422</v>
      </c>
      <c r="B422" s="44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30">
      <c r="A423" t="n">
        <v>423</v>
      </c>
      <c r="B423" s="44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30">
      <c r="A424" t="n">
        <v>424</v>
      </c>
      <c r="B424" s="44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30">
      <c r="A425" t="n">
        <v>425</v>
      </c>
      <c r="B425" s="44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30">
      <c r="A426" t="n">
        <v>426</v>
      </c>
      <c r="B426" s="44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30">
      <c r="A427" t="n">
        <v>427</v>
      </c>
      <c r="B427" s="44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30">
      <c r="A428" t="n">
        <v>428</v>
      </c>
      <c r="B428" s="44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30">
      <c r="A429" t="n">
        <v>429</v>
      </c>
      <c r="B429" s="44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30">
      <c r="A430" t="n">
        <v>430</v>
      </c>
      <c r="B430" s="44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30">
      <c r="A431" t="n">
        <v>431</v>
      </c>
      <c r="B431" s="44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30">
      <c r="A432" t="n">
        <v>432</v>
      </c>
      <c r="B432" s="44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30">
      <c r="A433" t="n">
        <v>433</v>
      </c>
      <c r="B433" s="44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30">
      <c r="A434" t="n">
        <v>434</v>
      </c>
      <c r="B434" s="44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30">
      <c r="A435" t="n">
        <v>435</v>
      </c>
      <c r="B435" s="44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30">
      <c r="A436" t="n">
        <v>436</v>
      </c>
      <c r="B436" s="44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30">
      <c r="A437" t="n">
        <v>437</v>
      </c>
      <c r="B437" s="44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30">
      <c r="A438" t="n">
        <v>438</v>
      </c>
      <c r="B438" s="44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30">
      <c r="A439" t="n">
        <v>439</v>
      </c>
      <c r="B439" s="44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30">
      <c r="A440" t="n">
        <v>440</v>
      </c>
      <c r="B440" s="44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30">
      <c r="A441" t="n">
        <v>441</v>
      </c>
      <c r="B441" s="44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30">
      <c r="A442" t="n">
        <v>442</v>
      </c>
      <c r="B442" s="44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30">
      <c r="A443" t="n">
        <v>443</v>
      </c>
      <c r="B443" s="44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30">
      <c r="A444" t="n">
        <v>444</v>
      </c>
      <c r="B444" s="44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30">
      <c r="A445" t="n">
        <v>445</v>
      </c>
      <c r="B445" s="44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30">
      <c r="A446" t="n">
        <v>446</v>
      </c>
      <c r="B446" s="44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30">
      <c r="A447" t="n">
        <v>447</v>
      </c>
      <c r="B447" s="44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30">
      <c r="A448" t="n">
        <v>448</v>
      </c>
      <c r="B448" s="44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30">
      <c r="A449" t="n">
        <v>449</v>
      </c>
      <c r="B449" s="44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30">
      <c r="A450" t="n">
        <v>450</v>
      </c>
      <c r="B450" s="44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30">
      <c r="A451" t="n">
        <v>451</v>
      </c>
      <c r="B451" s="44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30">
      <c r="A452" t="n">
        <v>452</v>
      </c>
      <c r="B452" s="44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30">
      <c r="A453" t="n">
        <v>453</v>
      </c>
      <c r="B453" s="44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30">
      <c r="A454" t="n">
        <v>454</v>
      </c>
      <c r="B454" s="44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30">
      <c r="A455" t="n">
        <v>455</v>
      </c>
      <c r="B455" s="44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30">
      <c r="A456" t="n">
        <v>456</v>
      </c>
      <c r="B456" s="44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30">
      <c r="A457" t="n">
        <v>457</v>
      </c>
      <c r="B457" s="44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30">
      <c r="A458" t="n">
        <v>458</v>
      </c>
      <c r="B458" s="44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30">
      <c r="A459" t="n">
        <v>459</v>
      </c>
      <c r="B459" s="44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30">
      <c r="A460" t="n">
        <v>460</v>
      </c>
      <c r="B460" s="44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30">
      <c r="A461" t="n">
        <v>461</v>
      </c>
      <c r="B461" s="44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30">
      <c r="A462" t="n">
        <v>462</v>
      </c>
      <c r="B462" s="44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30">
      <c r="A463" t="n">
        <v>463</v>
      </c>
      <c r="B463" s="44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30">
      <c r="A464" t="n">
        <v>464</v>
      </c>
      <c r="B464" s="44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30">
      <c r="A465" t="n">
        <v>465</v>
      </c>
      <c r="B465" s="44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30">
      <c r="A466" t="n">
        <v>466</v>
      </c>
      <c r="B466" s="44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30">
      <c r="A467" t="n">
        <v>467</v>
      </c>
      <c r="B467" s="44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30">
      <c r="A468" t="n">
        <v>468</v>
      </c>
      <c r="B468" s="44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30">
      <c r="A469" t="n">
        <v>469</v>
      </c>
      <c r="B469" s="44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30">
      <c r="A470" t="n">
        <v>470</v>
      </c>
      <c r="B470" s="44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30">
      <c r="A471" t="n">
        <v>471</v>
      </c>
      <c r="B471" s="44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30">
      <c r="A472" t="n">
        <v>472</v>
      </c>
      <c r="B472" s="44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30">
      <c r="A473" t="n">
        <v>473</v>
      </c>
      <c r="B473" s="44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30">
      <c r="A474" t="n">
        <v>474</v>
      </c>
      <c r="B474" s="44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30">
      <c r="A475" t="n">
        <v>475</v>
      </c>
      <c r="B475" s="44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30">
      <c r="A476" t="n">
        <v>476</v>
      </c>
      <c r="B476" s="44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30">
      <c r="A477" t="n">
        <v>477</v>
      </c>
      <c r="B477" s="44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30">
      <c r="A478" t="n">
        <v>478</v>
      </c>
      <c r="B478" s="44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30">
      <c r="A479" t="n">
        <v>479</v>
      </c>
      <c r="B479" s="44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30">
      <c r="A480" t="n">
        <v>480</v>
      </c>
      <c r="B480" s="44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30">
      <c r="A481" t="n">
        <v>481</v>
      </c>
      <c r="B481" s="44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30">
      <c r="A482" t="n">
        <v>482</v>
      </c>
      <c r="B482" s="44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30">
      <c r="A483" t="n">
        <v>483</v>
      </c>
      <c r="B483" s="44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30">
      <c r="A484" t="n">
        <v>484</v>
      </c>
      <c r="B484" s="44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30">
      <c r="A485" t="n">
        <v>485</v>
      </c>
      <c r="B485" s="44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30">
      <c r="A486" t="n">
        <v>486</v>
      </c>
      <c r="B486" s="44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30">
      <c r="A487" t="n">
        <v>487</v>
      </c>
      <c r="B487" s="44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30">
      <c r="A488" t="n">
        <v>488</v>
      </c>
      <c r="B488" s="44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30">
      <c r="A489" t="n">
        <v>489</v>
      </c>
      <c r="B489" s="44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30">
      <c r="A490" t="n">
        <v>490</v>
      </c>
      <c r="B490" s="44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30">
      <c r="A491" t="n">
        <v>491</v>
      </c>
      <c r="B491" s="44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30">
      <c r="A492" t="n">
        <v>492</v>
      </c>
      <c r="B492" s="44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30">
      <c r="A493" t="n">
        <v>493</v>
      </c>
      <c r="B493" s="44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30">
      <c r="A494" t="n">
        <v>494</v>
      </c>
      <c r="B494" s="44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30">
      <c r="A495" t="n">
        <v>495</v>
      </c>
      <c r="B495" s="44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30">
      <c r="A496" t="n">
        <v>496</v>
      </c>
      <c r="B496" s="44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30">
      <c r="A497" t="n">
        <v>497</v>
      </c>
      <c r="B497" s="44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30">
      <c r="A498" t="n">
        <v>498</v>
      </c>
      <c r="B498" s="44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30">
      <c r="A499" t="n">
        <v>499</v>
      </c>
      <c r="B499" s="44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30">
      <c r="A500" t="n">
        <v>500</v>
      </c>
      <c r="B500" s="44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30">
      <c r="A501" t="n">
        <v>501</v>
      </c>
      <c r="B501" s="44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30">
      <c r="A502" t="n">
        <v>502</v>
      </c>
      <c r="B502" s="44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30">
      <c r="A503" t="n">
        <v>503</v>
      </c>
      <c r="B503" s="44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30">
      <c r="A504" t="n">
        <v>504</v>
      </c>
      <c r="B504" s="44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30">
      <c r="A505" t="n">
        <v>505</v>
      </c>
      <c r="B505" s="44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30">
      <c r="A506" t="n">
        <v>506</v>
      </c>
      <c r="B506" s="44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30">
      <c r="A507" t="n">
        <v>507</v>
      </c>
      <c r="B507" s="44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30">
      <c r="A508" t="n">
        <v>508</v>
      </c>
      <c r="B508" s="44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30">
      <c r="A509" t="n">
        <v>509</v>
      </c>
      <c r="B509" s="44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30">
      <c r="A510" t="n">
        <v>510</v>
      </c>
      <c r="B510" s="44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30">
      <c r="A511" t="n">
        <v>511</v>
      </c>
      <c r="B511" s="44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30">
      <c r="A512" t="n">
        <v>512</v>
      </c>
      <c r="B512" s="44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30">
      <c r="A513" t="n">
        <v>513</v>
      </c>
      <c r="B513" s="44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30">
      <c r="A514" t="n">
        <v>514</v>
      </c>
      <c r="B514" s="44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30">
      <c r="A515" t="n">
        <v>515</v>
      </c>
      <c r="B515" s="44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30">
      <c r="A516" t="n">
        <v>516</v>
      </c>
      <c r="B516" s="44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30">
      <c r="A517" t="n">
        <v>517</v>
      </c>
      <c r="B517" s="44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30">
      <c r="A518" t="n">
        <v>518</v>
      </c>
      <c r="B518" s="44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30">
      <c r="A519" t="n">
        <v>519</v>
      </c>
      <c r="B519" s="44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30">
      <c r="A520" t="n">
        <v>520</v>
      </c>
      <c r="B520" s="44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30">
      <c r="A521" t="n">
        <v>521</v>
      </c>
      <c r="B521" s="44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30">
      <c r="A522" t="n">
        <v>522</v>
      </c>
      <c r="B522" s="44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30">
      <c r="A523" t="n">
        <v>523</v>
      </c>
      <c r="B523" s="44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30">
      <c r="A524" t="n">
        <v>524</v>
      </c>
      <c r="B524" s="44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30">
      <c r="A525" t="n">
        <v>525</v>
      </c>
      <c r="B525" s="44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30">
      <c r="A526" t="n">
        <v>526</v>
      </c>
      <c r="B526" s="44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30">
      <c r="A527" t="n">
        <v>527</v>
      </c>
      <c r="B527" s="44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30">
      <c r="A528" t="n">
        <v>528</v>
      </c>
      <c r="B528" s="44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30">
      <c r="A529" t="n">
        <v>529</v>
      </c>
      <c r="B529" s="44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30">
      <c r="A530" t="n">
        <v>530</v>
      </c>
      <c r="B530" s="44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30">
      <c r="A531" t="n">
        <v>531</v>
      </c>
      <c r="B531" s="44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30">
      <c r="A532" t="n">
        <v>532</v>
      </c>
      <c r="B532" s="44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30">
      <c r="A533" t="n">
        <v>533</v>
      </c>
      <c r="B533" s="44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30">
      <c r="A534" t="n">
        <v>534</v>
      </c>
      <c r="B534" s="44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30">
      <c r="A535" t="n">
        <v>535</v>
      </c>
      <c r="B535" s="44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30">
      <c r="A536" t="n">
        <v>536</v>
      </c>
      <c r="B536" s="44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30">
      <c r="A537" t="n">
        <v>537</v>
      </c>
      <c r="B537" s="44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30">
      <c r="A538" t="n">
        <v>538</v>
      </c>
      <c r="B538" s="44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30">
      <c r="A539" t="n">
        <v>539</v>
      </c>
      <c r="B539" s="44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30">
      <c r="A540" t="n">
        <v>540</v>
      </c>
      <c r="B540" s="44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30">
      <c r="A541" t="n">
        <v>541</v>
      </c>
      <c r="B541" s="44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30">
      <c r="A542" t="n">
        <v>542</v>
      </c>
      <c r="B542" s="44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30">
      <c r="A543" t="n">
        <v>543</v>
      </c>
      <c r="B543" s="44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30">
      <c r="A544" t="n">
        <v>544</v>
      </c>
      <c r="B544" s="44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30">
      <c r="A545" t="n">
        <v>545</v>
      </c>
      <c r="B545" s="44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30">
      <c r="A546" t="n">
        <v>546</v>
      </c>
      <c r="B546" s="44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30">
      <c r="A547" t="n">
        <v>547</v>
      </c>
      <c r="B547" s="44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30">
      <c r="A548" t="n">
        <v>548</v>
      </c>
      <c r="B548" s="44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30">
      <c r="A549" t="n">
        <v>549</v>
      </c>
      <c r="B549" s="44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30">
      <c r="A550" t="n">
        <v>550</v>
      </c>
      <c r="B550" s="44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30">
      <c r="A551" t="n">
        <v>551</v>
      </c>
      <c r="B551" s="44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30">
      <c r="A552" t="n">
        <v>552</v>
      </c>
      <c r="B552" s="44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30">
      <c r="A553" t="n">
        <v>553</v>
      </c>
      <c r="B553" s="44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30">
      <c r="A554" t="n">
        <v>554</v>
      </c>
      <c r="B554" s="44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30">
      <c r="A555" t="n">
        <v>555</v>
      </c>
      <c r="B555" s="44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30">
      <c r="A556" t="n">
        <v>556</v>
      </c>
      <c r="B556" s="44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30">
      <c r="A557" t="n">
        <v>557</v>
      </c>
      <c r="B557" s="44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30">
      <c r="A558" t="n">
        <v>558</v>
      </c>
      <c r="B558" s="44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30">
      <c r="A559" t="n">
        <v>559</v>
      </c>
      <c r="B559" s="44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30">
      <c r="A560" t="n">
        <v>560</v>
      </c>
      <c r="B560" s="44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30">
      <c r="A561" t="n">
        <v>561</v>
      </c>
      <c r="B561" s="44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30">
      <c r="A562" t="n">
        <v>562</v>
      </c>
      <c r="B562" s="44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30">
      <c r="A563" t="n">
        <v>563</v>
      </c>
      <c r="B563" s="44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30">
      <c r="A564" t="n">
        <v>564</v>
      </c>
      <c r="B564" s="44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30">
      <c r="A565" t="n">
        <v>565</v>
      </c>
      <c r="B565" s="44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30">
      <c r="A566" t="n">
        <v>566</v>
      </c>
      <c r="B566" s="44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30">
      <c r="A567" t="n">
        <v>567</v>
      </c>
      <c r="B567" s="44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30">
      <c r="A568" t="n">
        <v>568</v>
      </c>
      <c r="B568" s="44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30">
      <c r="A569" t="n">
        <v>569</v>
      </c>
      <c r="B569" s="44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30">
      <c r="A570" t="n">
        <v>570</v>
      </c>
      <c r="B570" s="44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30">
      <c r="A571" t="n">
        <v>571</v>
      </c>
      <c r="B571" s="44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30">
      <c r="A572" t="n">
        <v>572</v>
      </c>
      <c r="B572" s="44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30">
      <c r="A573" t="n">
        <v>573</v>
      </c>
      <c r="B573" s="44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30">
      <c r="A574" t="n">
        <v>574</v>
      </c>
      <c r="B574" s="44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30">
      <c r="A575" t="n">
        <v>575</v>
      </c>
      <c r="B575" s="44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30">
      <c r="A576" t="n">
        <v>576</v>
      </c>
      <c r="B576" s="44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30">
      <c r="A577" t="n">
        <v>577</v>
      </c>
      <c r="B577" s="44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30">
      <c r="A578" t="n">
        <v>578</v>
      </c>
      <c r="B578" s="44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30">
      <c r="A579" t="n">
        <v>579</v>
      </c>
      <c r="B579" s="44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30">
      <c r="A580" t="n">
        <v>580</v>
      </c>
      <c r="B580" s="44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30">
      <c r="A581" t="n">
        <v>581</v>
      </c>
      <c r="B581" s="44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30">
      <c r="A582" t="n">
        <v>582</v>
      </c>
      <c r="B582" s="44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30">
      <c r="A583" t="n">
        <v>583</v>
      </c>
      <c r="B583" s="44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30">
      <c r="A584" t="n">
        <v>584</v>
      </c>
      <c r="B584" s="44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30">
      <c r="A585" t="n">
        <v>585</v>
      </c>
      <c r="B585" s="44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30">
      <c r="A586" t="n">
        <v>586</v>
      </c>
      <c r="B586" s="44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30">
      <c r="A587" t="n">
        <v>587</v>
      </c>
      <c r="B587" s="44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30">
      <c r="A588" t="n">
        <v>588</v>
      </c>
      <c r="B588" s="44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30">
      <c r="A589" t="n">
        <v>589</v>
      </c>
      <c r="B589" s="44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30">
      <c r="A590" t="n">
        <v>590</v>
      </c>
      <c r="B590" s="44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30">
      <c r="A591" t="n">
        <v>591</v>
      </c>
      <c r="B591" s="44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30">
      <c r="A592" t="n">
        <v>592</v>
      </c>
      <c r="B592" s="44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30">
      <c r="A593" t="n">
        <v>593</v>
      </c>
      <c r="B593" s="44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30">
      <c r="A594" t="n">
        <v>594</v>
      </c>
      <c r="B594" s="44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30">
      <c r="A595" t="n">
        <v>595</v>
      </c>
      <c r="B595" s="44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30">
      <c r="A596" t="n">
        <v>596</v>
      </c>
      <c r="B596" s="44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30">
      <c r="A597" t="n">
        <v>597</v>
      </c>
      <c r="B597" s="44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30">
      <c r="A598" t="n">
        <v>598</v>
      </c>
      <c r="B598" s="44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30">
      <c r="A599" t="n">
        <v>599</v>
      </c>
      <c r="B599" s="44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30">
      <c r="A600" t="n">
        <v>600</v>
      </c>
      <c r="B600" s="44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30">
      <c r="A601" t="n">
        <v>601</v>
      </c>
      <c r="B601" s="44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30">
      <c r="A602" t="n">
        <v>602</v>
      </c>
      <c r="B602" s="44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30">
      <c r="A603" t="n">
        <v>603</v>
      </c>
      <c r="B603" s="44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30">
      <c r="A604" t="n">
        <v>604</v>
      </c>
      <c r="B604" s="44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30">
      <c r="A605" t="n">
        <v>605</v>
      </c>
      <c r="B605" s="44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30">
      <c r="A606" t="n">
        <v>606</v>
      </c>
      <c r="B606" s="44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30">
      <c r="A607" t="n">
        <v>607</v>
      </c>
      <c r="B607" s="44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30">
      <c r="A608" t="n">
        <v>608</v>
      </c>
      <c r="B608" s="44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30">
      <c r="A609" t="n">
        <v>609</v>
      </c>
      <c r="B609" s="44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30">
      <c r="A610" t="n">
        <v>610</v>
      </c>
      <c r="B610" s="44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30">
      <c r="A611" t="n">
        <v>611</v>
      </c>
      <c r="B611" s="44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30">
      <c r="A612" t="n">
        <v>612</v>
      </c>
      <c r="B612" s="44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30">
      <c r="A613" t="n">
        <v>613</v>
      </c>
      <c r="B613" s="44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30">
      <c r="A614" t="n">
        <v>614</v>
      </c>
      <c r="B614" s="44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30">
      <c r="A615" t="n">
        <v>615</v>
      </c>
      <c r="B615" s="44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30">
      <c r="A616" t="n">
        <v>616</v>
      </c>
      <c r="B616" s="44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30">
      <c r="A617" t="n">
        <v>617</v>
      </c>
      <c r="B617" s="44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30">
      <c r="A618" t="n">
        <v>618</v>
      </c>
      <c r="B618" s="44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30">
      <c r="A619" t="n">
        <v>619</v>
      </c>
      <c r="B619" s="44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30">
      <c r="A620" t="n">
        <v>620</v>
      </c>
      <c r="B620" s="44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30">
      <c r="A621" t="n">
        <v>621</v>
      </c>
      <c r="B621" s="44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30">
      <c r="A622" t="n">
        <v>622</v>
      </c>
      <c r="B622" s="44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30">
      <c r="A623" t="n">
        <v>623</v>
      </c>
      <c r="B623" s="44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30">
      <c r="A624" t="n">
        <v>624</v>
      </c>
      <c r="B624" s="44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30">
      <c r="A625" t="n">
        <v>625</v>
      </c>
      <c r="B625" s="44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30">
      <c r="A626" t="n">
        <v>626</v>
      </c>
      <c r="B626" s="44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30">
      <c r="A627" t="n">
        <v>627</v>
      </c>
      <c r="B627" s="44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30">
      <c r="A628" t="n">
        <v>628</v>
      </c>
      <c r="B628" s="44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30">
      <c r="A629" t="n">
        <v>629</v>
      </c>
      <c r="B629" s="44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30">
      <c r="A630" t="n">
        <v>630</v>
      </c>
      <c r="B630" s="44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30">
      <c r="A631" t="n">
        <v>631</v>
      </c>
      <c r="B631" s="44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30">
      <c r="A632" t="n">
        <v>632</v>
      </c>
      <c r="B632" s="44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30">
      <c r="A633" t="n">
        <v>633</v>
      </c>
      <c r="B633" s="44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30">
      <c r="A634" t="n">
        <v>634</v>
      </c>
      <c r="B634" s="44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30">
      <c r="A635" t="n">
        <v>635</v>
      </c>
      <c r="B635" s="44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30">
      <c r="A636" t="n">
        <v>636</v>
      </c>
      <c r="B636" s="44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30">
      <c r="A637" t="n">
        <v>637</v>
      </c>
      <c r="B637" s="44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30">
      <c r="A638" t="n">
        <v>638</v>
      </c>
      <c r="B638" s="44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30">
      <c r="A639" t="n">
        <v>639</v>
      </c>
      <c r="B639" s="44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30">
      <c r="A640" t="n">
        <v>640</v>
      </c>
      <c r="B640" s="44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30">
      <c r="A641" t="n">
        <v>641</v>
      </c>
      <c r="B641" s="44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30">
      <c r="A642" t="n">
        <v>642</v>
      </c>
      <c r="B642" s="44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30">
      <c r="A643" t="n">
        <v>643</v>
      </c>
      <c r="B643" s="44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30">
      <c r="A644" t="n">
        <v>644</v>
      </c>
      <c r="B644" s="44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30">
      <c r="A645" t="n">
        <v>645</v>
      </c>
      <c r="B645" s="44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30">
      <c r="A646" t="n">
        <v>646</v>
      </c>
      <c r="B646" s="44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30">
      <c r="A647" t="n">
        <v>647</v>
      </c>
      <c r="B647" s="44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30">
      <c r="A648" t="n">
        <v>648</v>
      </c>
      <c r="B648" s="44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30">
      <c r="A649" t="n">
        <v>649</v>
      </c>
      <c r="B649" s="44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30">
      <c r="A650" t="n">
        <v>650</v>
      </c>
      <c r="B650" s="44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30">
      <c r="A651" t="n">
        <v>651</v>
      </c>
      <c r="B651" s="44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30">
      <c r="A652" t="n">
        <v>652</v>
      </c>
      <c r="B652" s="44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30">
      <c r="A653" t="n">
        <v>653</v>
      </c>
      <c r="B653" s="44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30">
      <c r="A654" t="n">
        <v>654</v>
      </c>
      <c r="B654" s="44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30">
      <c r="A655" t="n">
        <v>655</v>
      </c>
      <c r="B655" s="44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30">
      <c r="A656" t="n">
        <v>656</v>
      </c>
      <c r="B656" s="44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30">
      <c r="A657" t="n">
        <v>657</v>
      </c>
      <c r="B657" s="44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30">
      <c r="A658" t="n">
        <v>658</v>
      </c>
      <c r="B658" s="44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30">
      <c r="A659" t="n">
        <v>659</v>
      </c>
      <c r="B659" s="44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30">
      <c r="A660" t="n">
        <v>660</v>
      </c>
      <c r="B660" s="44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30">
      <c r="A661" t="n">
        <v>661</v>
      </c>
      <c r="B661" s="44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30">
      <c r="A662" t="n">
        <v>662</v>
      </c>
      <c r="B662" s="44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30">
      <c r="A663" t="n">
        <v>663</v>
      </c>
      <c r="B663" s="44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30">
      <c r="A664" t="n">
        <v>664</v>
      </c>
      <c r="B664" s="44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30">
      <c r="A665" t="n">
        <v>665</v>
      </c>
      <c r="B665" s="44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30">
      <c r="A666" t="n">
        <v>666</v>
      </c>
      <c r="B666" s="44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30">
      <c r="A667" t="n">
        <v>667</v>
      </c>
      <c r="B667" s="44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30">
      <c r="A668" t="n">
        <v>668</v>
      </c>
      <c r="B668" s="44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30">
      <c r="A669" t="n">
        <v>669</v>
      </c>
      <c r="B669" s="44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30">
      <c r="A670" t="n">
        <v>670</v>
      </c>
      <c r="B670" s="44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30">
      <c r="A671" t="n">
        <v>671</v>
      </c>
      <c r="B671" s="44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30">
      <c r="A672" t="n">
        <v>672</v>
      </c>
      <c r="B672" s="44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30">
      <c r="A673" t="n">
        <v>673</v>
      </c>
      <c r="B673" s="44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30">
      <c r="A674" t="n">
        <v>674</v>
      </c>
      <c r="B674" s="44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30">
      <c r="A675" t="n">
        <v>675</v>
      </c>
      <c r="B675" s="44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30">
      <c r="A676" t="n">
        <v>676</v>
      </c>
      <c r="B676" s="44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30">
      <c r="A677" t="n">
        <v>677</v>
      </c>
      <c r="B677" s="44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30">
      <c r="A678" t="n">
        <v>678</v>
      </c>
      <c r="B678" s="44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30">
      <c r="A679" t="n">
        <v>679</v>
      </c>
      <c r="B679" s="44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30">
      <c r="A680" t="n">
        <v>680</v>
      </c>
      <c r="B680" s="44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30">
      <c r="A681" t="n">
        <v>681</v>
      </c>
      <c r="B681" s="44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30">
      <c r="A682" t="n">
        <v>682</v>
      </c>
      <c r="B682" s="44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30">
      <c r="A683" t="n">
        <v>683</v>
      </c>
      <c r="B683" s="44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30">
      <c r="A684" t="n">
        <v>684</v>
      </c>
      <c r="B684" s="44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30">
      <c r="A685" t="n">
        <v>685</v>
      </c>
      <c r="B685" s="44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30">
      <c r="A686" t="n">
        <v>686</v>
      </c>
      <c r="B686" s="44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30">
      <c r="A687" t="n">
        <v>687</v>
      </c>
      <c r="B687" s="44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30">
      <c r="A688" t="n">
        <v>688</v>
      </c>
      <c r="B688" s="44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30">
      <c r="A689" t="n">
        <v>689</v>
      </c>
      <c r="B689" s="44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30">
      <c r="A690" t="n">
        <v>690</v>
      </c>
      <c r="B690" s="44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30">
      <c r="A691" t="n">
        <v>691</v>
      </c>
      <c r="B691" s="44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30">
      <c r="A692" t="n">
        <v>692</v>
      </c>
      <c r="B692" s="44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30">
      <c r="A693" t="n">
        <v>693</v>
      </c>
      <c r="B693" s="44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30">
      <c r="A694" t="n">
        <v>694</v>
      </c>
      <c r="B694" s="44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30">
      <c r="A695" t="n">
        <v>695</v>
      </c>
      <c r="B695" s="44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30">
      <c r="A696" t="n">
        <v>696</v>
      </c>
      <c r="B696" s="44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30">
      <c r="A697" t="n">
        <v>697</v>
      </c>
      <c r="B697" s="44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30">
      <c r="A698" t="n">
        <v>698</v>
      </c>
      <c r="B698" s="44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30">
      <c r="A699" t="n">
        <v>699</v>
      </c>
      <c r="B699" s="44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30">
      <c r="A700" t="n">
        <v>700</v>
      </c>
      <c r="B700" s="44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30">
      <c r="A701" t="n">
        <v>701</v>
      </c>
      <c r="B701" s="44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30">
      <c r="A702" t="n">
        <v>702</v>
      </c>
      <c r="B702" s="44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30">
      <c r="A703" t="n">
        <v>703</v>
      </c>
      <c r="B703" s="44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30">
      <c r="A704" t="n">
        <v>704</v>
      </c>
      <c r="B704" s="44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30">
      <c r="A705" t="n">
        <v>705</v>
      </c>
      <c r="B705" s="44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30">
      <c r="A706" t="n">
        <v>706</v>
      </c>
      <c r="B706" s="44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30">
      <c r="A707" t="n">
        <v>707</v>
      </c>
      <c r="B707" s="44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30">
      <c r="A708" t="n">
        <v>708</v>
      </c>
      <c r="B708" s="44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30">
      <c r="A709" t="n">
        <v>709</v>
      </c>
      <c r="B709" s="44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30">
      <c r="A710" t="n">
        <v>710</v>
      </c>
      <c r="B710" s="44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30">
      <c r="A711" t="n">
        <v>711</v>
      </c>
      <c r="B711" s="44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30">
      <c r="A712" t="n">
        <v>712</v>
      </c>
      <c r="B712" s="44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30">
      <c r="A713" t="n">
        <v>713</v>
      </c>
      <c r="B713" s="44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30">
      <c r="A714" t="n">
        <v>714</v>
      </c>
      <c r="B714" s="44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30">
      <c r="A715" t="n">
        <v>715</v>
      </c>
      <c r="B715" s="44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30">
      <c r="A716" t="n">
        <v>716</v>
      </c>
      <c r="B716" s="44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30">
      <c r="A717" t="n">
        <v>717</v>
      </c>
      <c r="B717" s="44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30">
      <c r="A718" t="n">
        <v>718</v>
      </c>
      <c r="B718" s="44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30">
      <c r="A719" t="n">
        <v>719</v>
      </c>
      <c r="B719" s="44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30">
      <c r="A720" t="n">
        <v>720</v>
      </c>
      <c r="B720" s="44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30">
      <c r="A721" t="n">
        <v>721</v>
      </c>
      <c r="B721" s="44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30">
      <c r="A722" t="n">
        <v>722</v>
      </c>
      <c r="B722" s="44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30">
      <c r="A723" t="n">
        <v>723</v>
      </c>
      <c r="B723" s="44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30">
      <c r="A724" t="n">
        <v>724</v>
      </c>
      <c r="B724" s="44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30">
      <c r="A725" t="n">
        <v>725</v>
      </c>
      <c r="B725" s="44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30">
      <c r="A726" t="n">
        <v>726</v>
      </c>
      <c r="B726" s="44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30">
      <c r="A727" t="n">
        <v>727</v>
      </c>
      <c r="B727" s="44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30">
      <c r="A728" t="n">
        <v>728</v>
      </c>
      <c r="B728" s="44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30">
      <c r="A729" t="n">
        <v>729</v>
      </c>
      <c r="B729" s="44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30">
      <c r="A730" t="n">
        <v>730</v>
      </c>
      <c r="B730" s="44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30">
      <c r="A731" t="n">
        <v>731</v>
      </c>
      <c r="B731" s="44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30">
      <c r="A732" t="n">
        <v>732</v>
      </c>
      <c r="B732" s="44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30">
      <c r="A733" t="n">
        <v>733</v>
      </c>
      <c r="B733" s="44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30">
      <c r="A734" t="n">
        <v>734</v>
      </c>
      <c r="B734" s="44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30">
      <c r="A735" t="n">
        <v>735</v>
      </c>
      <c r="B735" s="44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30">
      <c r="A736" t="n">
        <v>736</v>
      </c>
      <c r="B736" s="44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30">
      <c r="A737" t="n">
        <v>737</v>
      </c>
      <c r="B737" s="44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30">
      <c r="A738" t="n">
        <v>738</v>
      </c>
      <c r="B738" s="44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30">
      <c r="A739" t="n">
        <v>739</v>
      </c>
      <c r="B739" s="44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30">
      <c r="A740" t="n">
        <v>740</v>
      </c>
      <c r="B740" s="44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30">
      <c r="A741" t="n">
        <v>741</v>
      </c>
      <c r="B741" s="44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30">
      <c r="A742" t="n">
        <v>742</v>
      </c>
      <c r="B742" s="44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30">
      <c r="A743" t="n">
        <v>743</v>
      </c>
      <c r="B743" s="44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30">
      <c r="A744" t="n">
        <v>744</v>
      </c>
      <c r="B744" s="44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30">
      <c r="A745" t="n">
        <v>745</v>
      </c>
      <c r="B745" s="44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30">
      <c r="A746" t="n">
        <v>746</v>
      </c>
      <c r="B746" s="44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30">
      <c r="A747" t="n">
        <v>747</v>
      </c>
      <c r="B747" s="44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30">
      <c r="A748" t="n">
        <v>748</v>
      </c>
      <c r="B748" s="44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30">
      <c r="A749" t="n">
        <v>749</v>
      </c>
      <c r="B749" s="44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30">
      <c r="A750" t="n">
        <v>750</v>
      </c>
      <c r="B750" s="44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30">
      <c r="A751" t="n">
        <v>751</v>
      </c>
      <c r="B751" s="44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30">
      <c r="A752" t="n">
        <v>752</v>
      </c>
      <c r="B752" s="44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30">
      <c r="A753" t="n">
        <v>753</v>
      </c>
      <c r="B753" s="44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30">
      <c r="A754" t="n">
        <v>754</v>
      </c>
      <c r="B754" s="44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30">
      <c r="A755" t="n">
        <v>755</v>
      </c>
      <c r="B755" s="44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30">
      <c r="A756" t="n">
        <v>756</v>
      </c>
      <c r="B756" s="44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30">
      <c r="A757" t="n">
        <v>757</v>
      </c>
      <c r="B757" s="44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30">
      <c r="A758" t="n">
        <v>758</v>
      </c>
      <c r="B758" s="44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30">
      <c r="A759" t="n">
        <v>759</v>
      </c>
      <c r="B759" s="44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30">
      <c r="A760" t="n">
        <v>760</v>
      </c>
      <c r="B760" s="44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30">
      <c r="A761" t="n">
        <v>761</v>
      </c>
      <c r="B761" s="44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30">
      <c r="A762" t="n">
        <v>762</v>
      </c>
      <c r="B762" s="44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30">
      <c r="A763" t="n">
        <v>763</v>
      </c>
      <c r="B763" s="44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30">
      <c r="A764" t="n">
        <v>764</v>
      </c>
      <c r="B764" s="44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30">
      <c r="A765" t="n">
        <v>765</v>
      </c>
      <c r="B765" s="44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30">
      <c r="A766" t="n">
        <v>766</v>
      </c>
      <c r="B766" s="44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30">
      <c r="A767" t="n">
        <v>767</v>
      </c>
      <c r="B767" s="44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30">
      <c r="A768" t="n">
        <v>768</v>
      </c>
      <c r="B768" s="44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30">
      <c r="A769" t="n">
        <v>769</v>
      </c>
      <c r="B769" s="44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30">
      <c r="A770" t="n">
        <v>770</v>
      </c>
      <c r="B770" s="44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30">
      <c r="A771" t="n">
        <v>771</v>
      </c>
      <c r="B771" s="44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30">
      <c r="A772" t="n">
        <v>772</v>
      </c>
      <c r="B772" s="44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30">
      <c r="A773" t="n">
        <v>773</v>
      </c>
      <c r="B773" s="44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30">
      <c r="A774" t="n">
        <v>774</v>
      </c>
      <c r="B774" s="44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30">
      <c r="A775" t="n">
        <v>775</v>
      </c>
      <c r="B775" s="44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30">
      <c r="A776" t="n">
        <v>776</v>
      </c>
      <c r="B776" s="44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30">
      <c r="A777" t="n">
        <v>777</v>
      </c>
      <c r="B777" s="44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30">
      <c r="A778" t="n">
        <v>778</v>
      </c>
      <c r="B778" s="44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30">
      <c r="A779" t="n">
        <v>779</v>
      </c>
      <c r="B779" s="44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30">
      <c r="A780" t="n">
        <v>780</v>
      </c>
      <c r="B780" s="44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30">
      <c r="A781" t="n">
        <v>781</v>
      </c>
      <c r="B781" s="44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30">
      <c r="A782" t="n">
        <v>782</v>
      </c>
      <c r="B782" s="44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30">
      <c r="A783" t="n">
        <v>783</v>
      </c>
      <c r="B783" s="44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30">
      <c r="A784" t="n">
        <v>784</v>
      </c>
      <c r="B784" s="44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30">
      <c r="A785" t="n">
        <v>785</v>
      </c>
      <c r="B785" s="44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30">
      <c r="A786" t="n">
        <v>786</v>
      </c>
      <c r="B786" s="44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30">
      <c r="A787" t="n">
        <v>787</v>
      </c>
      <c r="B787" s="44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30">
      <c r="A788" t="n">
        <v>788</v>
      </c>
      <c r="B788" s="44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30">
      <c r="A789" t="n">
        <v>789</v>
      </c>
      <c r="B789" s="44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30">
      <c r="A790" t="n">
        <v>790</v>
      </c>
      <c r="B790" s="44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30">
      <c r="A791" t="n">
        <v>791</v>
      </c>
      <c r="B791" s="44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30">
      <c r="A792" t="n">
        <v>792</v>
      </c>
      <c r="B792" s="44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30">
      <c r="A793" t="n">
        <v>793</v>
      </c>
      <c r="B793" s="44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30">
      <c r="A794" t="n">
        <v>794</v>
      </c>
      <c r="B794" s="44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30">
      <c r="A795" t="n">
        <v>795</v>
      </c>
      <c r="B795" s="44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30">
      <c r="A796" t="n">
        <v>796</v>
      </c>
      <c r="B796" s="44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30">
      <c r="A797" t="n">
        <v>797</v>
      </c>
      <c r="B797" s="44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30">
      <c r="A798" t="n">
        <v>798</v>
      </c>
      <c r="B798" s="44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30">
      <c r="A799" t="n">
        <v>799</v>
      </c>
      <c r="B799" s="44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30">
      <c r="A800" t="n">
        <v>800</v>
      </c>
      <c r="B800" s="44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30">
      <c r="A801" t="n">
        <v>801</v>
      </c>
      <c r="B801" s="44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30">
      <c r="A802" t="n">
        <v>802</v>
      </c>
      <c r="B802" s="44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30">
      <c r="A803" t="n">
        <v>803</v>
      </c>
      <c r="B803" s="44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30">
      <c r="A804" t="n">
        <v>804</v>
      </c>
      <c r="B804" s="44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30">
      <c r="A805" t="n">
        <v>805</v>
      </c>
      <c r="B805" s="44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30">
      <c r="A806" t="n">
        <v>806</v>
      </c>
      <c r="B806" s="44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30">
      <c r="A807" t="n">
        <v>807</v>
      </c>
      <c r="B807" s="44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30">
      <c r="A808" t="n">
        <v>808</v>
      </c>
      <c r="B808" s="44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30">
      <c r="A809" t="n">
        <v>809</v>
      </c>
      <c r="B809" s="44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30">
      <c r="A810" t="n">
        <v>810</v>
      </c>
      <c r="B810" s="44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30">
      <c r="A811" t="n">
        <v>811</v>
      </c>
      <c r="B811" s="44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30">
      <c r="A812" t="n">
        <v>812</v>
      </c>
      <c r="B812" s="44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30">
      <c r="A813" t="n">
        <v>813</v>
      </c>
      <c r="B813" s="44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30">
      <c r="A814" t="n">
        <v>814</v>
      </c>
      <c r="B814" s="44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30">
      <c r="A815" t="n">
        <v>815</v>
      </c>
      <c r="B815" s="44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30">
      <c r="A816" t="n">
        <v>816</v>
      </c>
      <c r="B816" s="44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30">
      <c r="A817" t="n">
        <v>817</v>
      </c>
      <c r="B817" s="44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30">
      <c r="A818" t="n">
        <v>818</v>
      </c>
      <c r="B818" s="44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30">
      <c r="A819" t="n">
        <v>819</v>
      </c>
      <c r="B819" s="44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30">
      <c r="A820" t="n">
        <v>820</v>
      </c>
      <c r="B820" s="44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30">
      <c r="A821" t="n">
        <v>821</v>
      </c>
      <c r="B821" s="44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30">
      <c r="A822" t="n">
        <v>822</v>
      </c>
      <c r="B822" s="44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30">
      <c r="A823" t="n">
        <v>823</v>
      </c>
      <c r="B823" s="44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30">
      <c r="A824" t="n">
        <v>824</v>
      </c>
      <c r="B824" s="44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30">
      <c r="A825" t="n">
        <v>825</v>
      </c>
      <c r="B825" s="44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30">
      <c r="A826" t="n">
        <v>826</v>
      </c>
      <c r="B826" s="44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30">
      <c r="A827" t="n">
        <v>827</v>
      </c>
      <c r="B827" s="44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30">
      <c r="A828" t="n">
        <v>828</v>
      </c>
      <c r="B828" s="44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30">
      <c r="A829" t="n">
        <v>829</v>
      </c>
      <c r="B829" s="44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30">
      <c r="A830" t="n">
        <v>830</v>
      </c>
      <c r="B830" s="44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30">
      <c r="A831" t="n">
        <v>831</v>
      </c>
      <c r="B831" s="44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30">
      <c r="A832" t="n">
        <v>832</v>
      </c>
      <c r="B832" s="44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30">
      <c r="A833" t="n">
        <v>833</v>
      </c>
      <c r="B833" s="44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30">
      <c r="A834" t="n">
        <v>834</v>
      </c>
      <c r="B834" s="44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30">
      <c r="A835" t="n">
        <v>835</v>
      </c>
      <c r="B835" s="44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30">
      <c r="A836" t="n">
        <v>836</v>
      </c>
      <c r="B836" s="44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30">
      <c r="A837" t="n">
        <v>837</v>
      </c>
      <c r="B837" s="44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30">
      <c r="A838" t="n">
        <v>838</v>
      </c>
      <c r="B838" s="44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30">
      <c r="A839" t="n">
        <v>839</v>
      </c>
      <c r="B839" s="44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30">
      <c r="A840" t="n">
        <v>840</v>
      </c>
      <c r="B840" s="44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30">
      <c r="A841" t="n">
        <v>841</v>
      </c>
      <c r="B841" s="44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30">
      <c r="A842" t="n">
        <v>842</v>
      </c>
      <c r="B842" s="44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30">
      <c r="A843" t="n">
        <v>843</v>
      </c>
      <c r="B843" s="44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30">
      <c r="A844" t="n">
        <v>844</v>
      </c>
      <c r="B844" s="44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30">
      <c r="A845" t="n">
        <v>845</v>
      </c>
      <c r="B845" s="44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30">
      <c r="A846" t="n">
        <v>846</v>
      </c>
      <c r="B846" s="44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30">
      <c r="A847" t="n">
        <v>847</v>
      </c>
      <c r="B847" s="44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30">
      <c r="A848" t="n">
        <v>848</v>
      </c>
      <c r="B848" s="44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30">
      <c r="A849" t="n">
        <v>849</v>
      </c>
      <c r="B849" s="44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30">
      <c r="A850" t="n">
        <v>850</v>
      </c>
      <c r="B850" s="44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30">
      <c r="A851" t="n">
        <v>851</v>
      </c>
      <c r="B851" s="44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30">
      <c r="A852" t="n">
        <v>852</v>
      </c>
      <c r="B852" s="44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30">
      <c r="A853" t="n">
        <v>853</v>
      </c>
      <c r="B853" s="44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30">
      <c r="A854" t="n">
        <v>854</v>
      </c>
      <c r="B854" s="44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30">
      <c r="A855" t="n">
        <v>855</v>
      </c>
      <c r="B855" s="44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30">
      <c r="A856" t="n">
        <v>856</v>
      </c>
      <c r="B856" s="44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30">
      <c r="A857" t="n">
        <v>857</v>
      </c>
      <c r="B857" s="44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30">
      <c r="A858" t="n">
        <v>858</v>
      </c>
      <c r="B858" s="44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30">
      <c r="A859" t="n">
        <v>859</v>
      </c>
      <c r="B859" s="44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30">
      <c r="A860" t="n">
        <v>860</v>
      </c>
      <c r="B860" s="44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30">
      <c r="A861" t="n">
        <v>861</v>
      </c>
      <c r="B861" s="44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30">
      <c r="A862" t="n">
        <v>862</v>
      </c>
      <c r="B862" s="44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30">
      <c r="A863" t="n">
        <v>863</v>
      </c>
      <c r="B863" s="44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30">
      <c r="A864" t="n">
        <v>864</v>
      </c>
      <c r="B864" s="44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30">
      <c r="A865" t="n">
        <v>865</v>
      </c>
      <c r="B865" s="44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30">
      <c r="A866" t="n">
        <v>866</v>
      </c>
      <c r="B866" s="44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30">
      <c r="A867" t="n">
        <v>867</v>
      </c>
      <c r="B867" s="44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30">
      <c r="A868" t="n">
        <v>868</v>
      </c>
      <c r="B868" s="44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30">
      <c r="A869" t="n">
        <v>869</v>
      </c>
      <c r="B869" s="44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30">
      <c r="A870" t="n">
        <v>870</v>
      </c>
      <c r="B870" s="44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30">
      <c r="A871" t="n">
        <v>871</v>
      </c>
      <c r="B871" s="44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30">
      <c r="A872" t="n">
        <v>872</v>
      </c>
      <c r="B872" s="44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30">
      <c r="A873" t="n">
        <v>873</v>
      </c>
      <c r="B873" s="44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30">
      <c r="A874" t="n">
        <v>874</v>
      </c>
      <c r="B874" s="44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30">
      <c r="A875" t="n">
        <v>875</v>
      </c>
      <c r="B875" s="44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30">
      <c r="A876" t="n">
        <v>876</v>
      </c>
      <c r="B876" s="44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30">
      <c r="A877" t="n">
        <v>877</v>
      </c>
      <c r="B877" s="44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30">
      <c r="A878" t="n">
        <v>878</v>
      </c>
      <c r="B878" s="44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30">
      <c r="A879" t="n">
        <v>879</v>
      </c>
      <c r="B879" s="44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30">
      <c r="A880" t="n">
        <v>880</v>
      </c>
      <c r="B880" s="44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30">
      <c r="A881" t="n">
        <v>881</v>
      </c>
      <c r="B881" s="44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30">
      <c r="A882" t="n">
        <v>882</v>
      </c>
      <c r="B882" s="44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30">
      <c r="A883" t="n">
        <v>883</v>
      </c>
      <c r="B883" s="44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30">
      <c r="A884" t="n">
        <v>884</v>
      </c>
      <c r="B884" s="44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30">
      <c r="A885" t="n">
        <v>885</v>
      </c>
      <c r="B885" s="44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30">
      <c r="A886" t="n">
        <v>886</v>
      </c>
      <c r="B886" s="44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30">
      <c r="A887" t="n">
        <v>887</v>
      </c>
      <c r="B887" s="44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30">
      <c r="A888" t="n">
        <v>888</v>
      </c>
      <c r="B888" s="44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30">
      <c r="A889" t="n">
        <v>889</v>
      </c>
      <c r="B889" s="44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30">
      <c r="A890" t="n">
        <v>890</v>
      </c>
      <c r="B890" s="44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30">
      <c r="A891" t="n">
        <v>891</v>
      </c>
      <c r="B891" s="44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30">
      <c r="A892" t="n">
        <v>892</v>
      </c>
      <c r="B892" s="44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30">
      <c r="A893" t="n">
        <v>893</v>
      </c>
      <c r="B893" s="44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30">
      <c r="A894" t="n">
        <v>894</v>
      </c>
      <c r="B894" s="44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30">
      <c r="A895" t="n">
        <v>895</v>
      </c>
      <c r="B895" s="44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30">
      <c r="A896" t="n">
        <v>896</v>
      </c>
      <c r="B896" s="44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30">
      <c r="A897" t="n">
        <v>897</v>
      </c>
      <c r="B897" s="44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30">
      <c r="A898" t="n">
        <v>898</v>
      </c>
      <c r="B898" s="44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30">
      <c r="A899" t="n">
        <v>899</v>
      </c>
      <c r="B899" s="44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30">
      <c r="A900" t="n">
        <v>900</v>
      </c>
      <c r="B900" s="44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30">
      <c r="A901" t="n">
        <v>901</v>
      </c>
      <c r="B901" s="44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30">
      <c r="A902" t="n">
        <v>902</v>
      </c>
      <c r="B902" s="44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30">
      <c r="A903" t="n">
        <v>903</v>
      </c>
      <c r="B903" s="44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30">
      <c r="A904" t="n">
        <v>904</v>
      </c>
      <c r="B904" s="44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30">
      <c r="A905" t="n">
        <v>905</v>
      </c>
      <c r="B905" s="44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30">
      <c r="A906" t="n">
        <v>906</v>
      </c>
      <c r="B906" s="44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30">
      <c r="A907" t="n">
        <v>907</v>
      </c>
      <c r="B907" s="44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30">
      <c r="A908" t="n">
        <v>908</v>
      </c>
      <c r="B908" s="44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30">
      <c r="A909" t="n">
        <v>909</v>
      </c>
      <c r="B909" s="44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30">
      <c r="A910" t="n">
        <v>910</v>
      </c>
      <c r="B910" s="44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30">
      <c r="A911" t="n">
        <v>911</v>
      </c>
      <c r="B911" s="44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30">
      <c r="A912" t="n">
        <v>912</v>
      </c>
      <c r="B912" s="44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30">
      <c r="A913" t="n">
        <v>913</v>
      </c>
      <c r="B913" s="44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30">
      <c r="A914" t="n">
        <v>914</v>
      </c>
      <c r="B914" s="44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30">
      <c r="A915" t="n">
        <v>915</v>
      </c>
      <c r="B915" s="44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30">
      <c r="A916" t="n">
        <v>916</v>
      </c>
      <c r="B916" s="44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30">
      <c r="A917" t="n">
        <v>917</v>
      </c>
      <c r="B917" s="44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30">
      <c r="A918" t="n">
        <v>918</v>
      </c>
      <c r="B918" s="44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30">
      <c r="A919" t="n">
        <v>919</v>
      </c>
      <c r="B919" s="44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30">
      <c r="A920" t="n">
        <v>920</v>
      </c>
      <c r="B920" s="44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30">
      <c r="A921" t="n">
        <v>921</v>
      </c>
      <c r="B921" s="44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30">
      <c r="A922" t="n">
        <v>922</v>
      </c>
      <c r="B922" s="44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30">
      <c r="A923" t="n">
        <v>923</v>
      </c>
      <c r="B923" s="44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30">
      <c r="A924" t="n">
        <v>924</v>
      </c>
      <c r="B924" s="44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30">
      <c r="A925" t="n">
        <v>925</v>
      </c>
      <c r="B925" s="44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30">
      <c r="A926" t="n">
        <v>926</v>
      </c>
      <c r="B926" s="44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30">
      <c r="A927" t="n">
        <v>927</v>
      </c>
      <c r="B927" s="44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30">
      <c r="A928" t="n">
        <v>928</v>
      </c>
      <c r="B928" s="44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30">
      <c r="A929" t="n">
        <v>929</v>
      </c>
      <c r="B929" s="44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30">
      <c r="A930" t="n">
        <v>930</v>
      </c>
      <c r="B930" s="44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30">
      <c r="A931" t="n">
        <v>931</v>
      </c>
      <c r="B931" s="44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30">
      <c r="A932" t="n">
        <v>932</v>
      </c>
      <c r="B932" s="44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30">
      <c r="A933" t="n">
        <v>933</v>
      </c>
      <c r="B933" s="44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30">
      <c r="A934" t="n">
        <v>934</v>
      </c>
      <c r="B934" s="44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30">
      <c r="A935" t="n">
        <v>935</v>
      </c>
      <c r="B935" s="44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30">
      <c r="A936" t="n">
        <v>936</v>
      </c>
      <c r="B936" s="44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30">
      <c r="A937" t="n">
        <v>937</v>
      </c>
      <c r="B937" s="44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30">
      <c r="A938" t="n">
        <v>938</v>
      </c>
      <c r="B938" s="44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30">
      <c r="A939" t="n">
        <v>939</v>
      </c>
      <c r="B939" s="44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30">
      <c r="A940" t="n">
        <v>940</v>
      </c>
      <c r="B940" s="44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30">
      <c r="A941" t="n">
        <v>941</v>
      </c>
      <c r="B941" s="44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30">
      <c r="A942" t="n">
        <v>942</v>
      </c>
      <c r="B942" s="44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30">
      <c r="A943" t="n">
        <v>943</v>
      </c>
      <c r="B943" s="44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30">
      <c r="A944" t="n">
        <v>944</v>
      </c>
      <c r="B944" s="44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30">
      <c r="A945" t="n">
        <v>945</v>
      </c>
      <c r="B945" s="44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30">
      <c r="A946" t="n">
        <v>946</v>
      </c>
      <c r="B946" s="44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30">
      <c r="A947" t="n">
        <v>947</v>
      </c>
      <c r="B947" s="44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30">
      <c r="A948" t="n">
        <v>948</v>
      </c>
      <c r="B948" s="44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30">
      <c r="A949" t="n">
        <v>949</v>
      </c>
      <c r="B949" s="44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30">
      <c r="A950" t="n">
        <v>950</v>
      </c>
      <c r="B950" s="44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30">
      <c r="A951" t="n">
        <v>951</v>
      </c>
      <c r="B951" s="44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30">
      <c r="A952" t="n">
        <v>952</v>
      </c>
      <c r="B952" s="44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30">
      <c r="A953" t="n">
        <v>953</v>
      </c>
      <c r="B953" s="44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30">
      <c r="A954" t="n">
        <v>954</v>
      </c>
      <c r="B954" s="44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30">
      <c r="A955" t="n">
        <v>955</v>
      </c>
      <c r="B955" s="44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30">
      <c r="A956" t="n">
        <v>956</v>
      </c>
      <c r="B956" s="44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30">
      <c r="A957" t="n">
        <v>957</v>
      </c>
      <c r="B957" s="44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30">
      <c r="A958" t="n">
        <v>958</v>
      </c>
      <c r="B958" s="44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30">
      <c r="A959" t="n">
        <v>959</v>
      </c>
      <c r="B959" s="44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30">
      <c r="A960" t="n">
        <v>960</v>
      </c>
      <c r="B960" s="44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30">
      <c r="A961" t="n">
        <v>961</v>
      </c>
      <c r="B961" s="44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30">
      <c r="A962" t="n">
        <v>962</v>
      </c>
      <c r="B962" s="44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30">
      <c r="A963" t="n">
        <v>963</v>
      </c>
      <c r="B963" s="44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30">
      <c r="A964" t="n">
        <v>964</v>
      </c>
      <c r="B964" s="44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30">
      <c r="A965" t="n">
        <v>965</v>
      </c>
      <c r="B965" s="44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30">
      <c r="A966" t="n">
        <v>966</v>
      </c>
      <c r="B966" s="44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30">
      <c r="A967" t="n">
        <v>967</v>
      </c>
      <c r="B967" s="44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30">
      <c r="A968" t="n">
        <v>968</v>
      </c>
      <c r="B968" s="44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30">
      <c r="A969" t="n">
        <v>969</v>
      </c>
      <c r="B969" s="44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30">
      <c r="A970" t="n">
        <v>970</v>
      </c>
      <c r="B970" s="44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30">
      <c r="A971" t="n">
        <v>971</v>
      </c>
      <c r="B971" s="44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30">
      <c r="A972" t="n">
        <v>972</v>
      </c>
      <c r="B972" s="44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30">
      <c r="A973" t="n">
        <v>973</v>
      </c>
      <c r="B973" s="44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30">
      <c r="A974" t="n">
        <v>974</v>
      </c>
      <c r="B974" s="44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30">
      <c r="A975" t="n">
        <v>975</v>
      </c>
      <c r="B975" s="44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30">
      <c r="A976" t="n">
        <v>976</v>
      </c>
      <c r="B976" s="44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30">
      <c r="A977" t="n">
        <v>977</v>
      </c>
      <c r="B977" s="44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30">
      <c r="A978" t="n">
        <v>978</v>
      </c>
      <c r="B978" s="44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30">
      <c r="A979" t="n">
        <v>979</v>
      </c>
      <c r="B979" s="44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30">
      <c r="A980" t="n">
        <v>980</v>
      </c>
      <c r="B980" s="44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30">
      <c r="A981" t="n">
        <v>981</v>
      </c>
      <c r="B981" s="44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30">
      <c r="A982" t="n">
        <v>982</v>
      </c>
      <c r="B982" s="44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30">
      <c r="A983" t="n">
        <v>983</v>
      </c>
      <c r="B983" s="44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30">
      <c r="A984" t="n">
        <v>984</v>
      </c>
      <c r="B984" s="44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30">
      <c r="A985" t="n">
        <v>985</v>
      </c>
      <c r="B985" s="44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30">
      <c r="A986" t="n">
        <v>986</v>
      </c>
      <c r="B986" s="44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30">
      <c r="A987" t="n">
        <v>987</v>
      </c>
      <c r="B987" s="44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30">
      <c r="A988" t="n">
        <v>988</v>
      </c>
      <c r="B988" s="44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30">
      <c r="A989" t="n">
        <v>989</v>
      </c>
      <c r="B989" s="44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30">
      <c r="A990" t="n">
        <v>990</v>
      </c>
      <c r="B990" s="44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30">
      <c r="A991" t="n">
        <v>991</v>
      </c>
      <c r="B991" s="44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30">
      <c r="A992" t="n">
        <v>992</v>
      </c>
      <c r="B992" s="44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30">
      <c r="A993" t="n">
        <v>993</v>
      </c>
      <c r="B993" s="44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30">
      <c r="A994" t="n">
        <v>994</v>
      </c>
      <c r="B994" s="44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30">
      <c r="A995" t="n">
        <v>995</v>
      </c>
      <c r="B995" s="44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30">
      <c r="A996" t="n">
        <v>996</v>
      </c>
      <c r="B996" s="44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30">
      <c r="A997" t="n">
        <v>997</v>
      </c>
      <c r="B997" s="44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30">
      <c r="A998" t="n">
        <v>998</v>
      </c>
      <c r="B998" s="44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30">
      <c r="A999" t="n">
        <v>999</v>
      </c>
      <c r="B999" s="44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30">
      <c r="A1000" t="n">
        <v>1000</v>
      </c>
      <c r="B1000" s="44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L16" sqref="L16"/>
    </sheetView>
  </sheetViews>
  <sheetFormatPr baseColWidth="8" defaultColWidth="8.7109375" defaultRowHeight="15" customHeight="1"/>
  <cols>
    <col width="14" customWidth="1" style="130" min="1" max="1"/>
    <col width="20" customWidth="1" style="130" min="2" max="2"/>
    <col width="14" customWidth="1" style="130" min="3" max="3"/>
    <col width="32" customWidth="1" style="130" min="4" max="4"/>
    <col width="38" customWidth="1" style="130" min="5" max="5"/>
    <col width="14" customWidth="1" style="130" min="6" max="6"/>
    <col width="16" customWidth="1" style="130" min="7" max="7"/>
    <col width="14" customWidth="1" style="130" min="8" max="8"/>
    <col width="18" customWidth="1" style="130" min="9" max="9"/>
    <col width="16" customWidth="1" style="130" min="10" max="10"/>
    <col width="22" customWidth="1" style="130" min="11" max="11"/>
    <col width="28" customWidth="1" style="130" min="12" max="12"/>
  </cols>
  <sheetData>
    <row r="1" ht="17.45" customHeight="1" s="130">
      <c r="A1" s="127" t="inlineStr">
        <is>
          <t>CONTRACT DONATION CALCULATION — ASSIGNMENT-DRIVEN</t>
        </is>
      </c>
    </row>
    <row r="2" ht="15" customHeight="1" s="130">
      <c r="A2" s="121" t="inlineStr">
        <is>
          <t>Rates and minimums are controlled here. Event-specific ownership comes from EVENT ASSIGNMENT; MSR sales come from MSR DATA.</t>
        </is>
      </c>
    </row>
    <row r="3" ht="12.75" customHeight="1" s="130"/>
    <row r="4" ht="15" customHeight="1" s="130">
      <c r="A4" s="76" t="inlineStr">
        <is>
          <t>Food / Non-Alcoholic Rate</t>
        </is>
      </c>
      <c r="B4" s="222" t="n">
        <v>0.1</v>
      </c>
      <c r="D4" s="41" t="n"/>
    </row>
    <row r="5" ht="15" customHeight="1" s="130">
      <c r="A5" s="76" t="inlineStr">
        <is>
          <t>Alcoholic Beverage Rate</t>
        </is>
      </c>
      <c r="B5" s="222" t="n">
        <v>0.08</v>
      </c>
      <c r="D5" s="41" t="n"/>
      <c r="E5" s="223" t="n"/>
    </row>
    <row r="6" ht="15" customHeight="1" s="130">
      <c r="A6" s="76" t="inlineStr">
        <is>
          <t>Minimum Donation / Event</t>
        </is>
      </c>
      <c r="B6" s="223" t="n">
        <v>200</v>
      </c>
      <c r="D6" s="41" t="n"/>
      <c r="E6" s="223" t="n"/>
    </row>
    <row r="7" ht="15" customHeight="1" s="130">
      <c r="D7" s="41" t="n"/>
      <c r="E7" s="223" t="n"/>
    </row>
    <row r="8" ht="15" customHeight="1" s="130">
      <c r="A8" s="76" t="inlineStr">
        <is>
          <t>Core Logic</t>
        </is>
      </c>
      <c r="B8" t="inlineStr">
        <is>
          <t>Allocated Food/N-A Net × 10% + Allocated Alcohol Net × 8%</t>
        </is>
      </c>
      <c r="D8" s="41" t="n"/>
      <c r="E8" s="223" t="n"/>
    </row>
    <row r="9" ht="15" customHeight="1" s="130">
      <c r="A9" s="76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41" t="n"/>
    </row>
    <row r="10" ht="12.75" customHeight="1" s="130">
      <c r="A10" s="76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30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</row>
    <row r="12" ht="15" customHeight="1" s="130">
      <c r="A12" s="66" t="inlineStr">
        <is>
          <t>Event Date</t>
        </is>
      </c>
      <c r="B12" s="66" t="inlineStr">
        <is>
          <t>NPO</t>
        </is>
      </c>
      <c r="C12" s="66" t="inlineStr">
        <is>
          <t>Location ID</t>
        </is>
      </c>
      <c r="D12" s="66" t="inlineStr">
        <is>
          <t>Location Description</t>
        </is>
      </c>
      <c r="E12" s="224" t="inlineStr">
        <is>
          <t>MSR Location</t>
        </is>
      </c>
      <c r="F12" s="224" t="inlineStr">
        <is>
          <t>Allocation %</t>
        </is>
      </c>
      <c r="G12" s="224" t="inlineStr">
        <is>
          <t>MSR Total Net</t>
        </is>
      </c>
      <c r="H12" s="224" t="inlineStr">
        <is>
          <t>Alcohol Net</t>
        </is>
      </c>
      <c r="I12" s="224" t="inlineStr">
        <is>
          <t>Food / Non-Alc Net</t>
        </is>
      </c>
      <c r="J12" s="224" t="inlineStr">
        <is>
          <t>Allocated Net</t>
        </is>
      </c>
      <c r="K12" s="224" t="inlineStr">
        <is>
          <t>NEW CONTRACT DONATION</t>
        </is>
      </c>
      <c r="L12" s="66" t="inlineStr">
        <is>
          <t>Status</t>
        </is>
      </c>
    </row>
    <row r="13" ht="15" customHeight="1" s="130">
      <c r="A13" s="225">
        <f>IF('EVENT ASSIGNMENT'!A2="","",'EVENT ASSIGNMENT'!A2)</f>
        <v/>
      </c>
      <c r="B13" s="80">
        <f>IF('EVENT ASSIGNMENT'!F2="","",'EVENT ASSIGNMENT'!F2)</f>
        <v/>
      </c>
      <c r="C13" s="80">
        <f>IF('EVENT ASSIGNMENT'!C2="","",'EVENT ASSIGNMENT'!C2)</f>
        <v/>
      </c>
      <c r="D13" s="80">
        <f>IF('EVENT ASSIGNMENT'!D2="","",'EVENT ASSIGNMENT'!D2)</f>
        <v/>
      </c>
      <c r="E13" s="226">
        <f>IF('EVENT ASSIGNMENT'!E2="","",'EVENT ASSIGNMENT'!E2)</f>
        <v/>
      </c>
      <c r="F13" s="227">
        <f>IF('EVENT ASSIGNMENT'!G2="","",'EVENT ASSIGNMENT'!G2)</f>
        <v/>
      </c>
      <c r="G13" s="226">
        <f>IF(E13="",0,SUMIFS('MSR DATA'!$I$2:$I$1001,'MSR DATA'!$D$2:$D$1001,E13))</f>
        <v/>
      </c>
      <c r="H13" s="226">
        <f>IF(E13="",0,SUMIFS('MSR DATA'!$I$2:$I$1001,'MSR DATA'!$D$2:$D$1001,E13,'MSR DATA'!$G$2:$G$1001,"ALCOHOL"))</f>
        <v/>
      </c>
      <c r="I13" s="226">
        <f>G13-H13</f>
        <v/>
      </c>
      <c r="J13" s="226">
        <f>G13*IF(F13="",0,F13)</f>
        <v/>
      </c>
      <c r="K13" s="226">
        <f>I13*IF(F13="",0,F13)*$B$4+H13*IF(F13="",0,F13)*$B$5</f>
        <v/>
      </c>
      <c r="L13" s="80">
        <f>IF(B13="","",IF(F13="","MISSING ALLOCATION",IF(ABS(SUMIFS($F$13:$F$112,$A$13:$A$112,A13,$C$13:$C$112,C13)-1)&gt;0.0001,"REVIEW LOCATION ALLOCATION",IF(G13=0,"NO MSR SALES","OK"))))</f>
        <v/>
      </c>
    </row>
    <row r="14" ht="15" customHeight="1" s="130">
      <c r="A14" s="225">
        <f>IF('EVENT ASSIGNMENT'!A3="","",'EVENT ASSIGNMENT'!A3)</f>
        <v/>
      </c>
      <c r="B14" s="80">
        <f>IF('EVENT ASSIGNMENT'!F3="","",'EVENT ASSIGNMENT'!F3)</f>
        <v/>
      </c>
      <c r="C14" s="80">
        <f>IF('EVENT ASSIGNMENT'!C3="","",'EVENT ASSIGNMENT'!C3)</f>
        <v/>
      </c>
      <c r="D14" s="80">
        <f>IF('EVENT ASSIGNMENT'!D3="","",'EVENT ASSIGNMENT'!D3)</f>
        <v/>
      </c>
      <c r="E14" s="226">
        <f>IF('EVENT ASSIGNMENT'!E3="","",'EVENT ASSIGNMENT'!E3)</f>
        <v/>
      </c>
      <c r="F14" s="227">
        <f>IF('EVENT ASSIGNMENT'!G3="","",'EVENT ASSIGNMENT'!G3)</f>
        <v/>
      </c>
      <c r="G14" s="226">
        <f>IF(E14="",0,SUMIFS('MSR DATA'!$I$2:$I$1001,'MSR DATA'!$D$2:$D$1001,E14))</f>
        <v/>
      </c>
      <c r="H14" s="226">
        <f>IF(E14="",0,SUMIFS('MSR DATA'!$I$2:$I$1001,'MSR DATA'!$D$2:$D$1001,E14,'MSR DATA'!$G$2:$G$1001,"ALCOHOL"))</f>
        <v/>
      </c>
      <c r="I14" s="226">
        <f>G14-H14</f>
        <v/>
      </c>
      <c r="J14" s="226">
        <f>G14*IF(F14="",0,F14)</f>
        <v/>
      </c>
      <c r="K14" s="226">
        <f>I14*IF(F14="",0,F14)*$B$4+H14*IF(F14="",0,F14)*$B$5</f>
        <v/>
      </c>
      <c r="L14" s="80">
        <f>IF(B14="","",IF(F14="","MISSING ALLOCATION",IF(ABS(SUMIFS($F$13:$F$112,$A$13:$A$112,A14,$C$13:$C$112,C14)-1)&gt;0.0001,"REVIEW LOCATION ALLOCATION",IF(G14=0,"NO MSR SALES","OK"))))</f>
        <v/>
      </c>
    </row>
    <row r="15" ht="15" customHeight="1" s="130">
      <c r="A15" s="225">
        <f>IF('EVENT ASSIGNMENT'!A4="","",'EVENT ASSIGNMENT'!A4)</f>
        <v/>
      </c>
      <c r="B15" s="80">
        <f>IF('EVENT ASSIGNMENT'!F4="","",'EVENT ASSIGNMENT'!F4)</f>
        <v/>
      </c>
      <c r="C15" s="80">
        <f>IF('EVENT ASSIGNMENT'!C4="","",'EVENT ASSIGNMENT'!C4)</f>
        <v/>
      </c>
      <c r="D15" s="80">
        <f>IF('EVENT ASSIGNMENT'!D4="","",'EVENT ASSIGNMENT'!D4)</f>
        <v/>
      </c>
      <c r="E15" s="226">
        <f>IF('EVENT ASSIGNMENT'!E4="","",'EVENT ASSIGNMENT'!E4)</f>
        <v/>
      </c>
      <c r="F15" s="227">
        <f>IF('EVENT ASSIGNMENT'!G4="","",'EVENT ASSIGNMENT'!G4)</f>
        <v/>
      </c>
      <c r="G15" s="226">
        <f>IF(E15="",0,SUMIFS('MSR DATA'!$I$2:$I$1001,'MSR DATA'!$D$2:$D$1001,E15))</f>
        <v/>
      </c>
      <c r="H15" s="226">
        <f>IF(E15="",0,SUMIFS('MSR DATA'!$I$2:$I$1001,'MSR DATA'!$D$2:$D$1001,E15,'MSR DATA'!$G$2:$G$1001,"ALCOHOL"))</f>
        <v/>
      </c>
      <c r="I15" s="226">
        <f>G15-H15</f>
        <v/>
      </c>
      <c r="J15" s="226">
        <f>G15*IF(F15="",0,F15)</f>
        <v/>
      </c>
      <c r="K15" s="226">
        <f>I15*IF(F15="",0,F15)*$B$4+H15*IF(F15="",0,F15)*$B$5</f>
        <v/>
      </c>
      <c r="L15" s="80">
        <f>IF(B15="","",IF(F15="","MISSING ALLOCATION",IF(ABS(SUMIFS($F$13:$F$112,$A$13:$A$112,A15,$C$13:$C$112,C15)-1)&gt;0.0001,"REVIEW LOCATION ALLOCATION",IF(G15=0,"NO MSR SALES","OK"))))</f>
        <v/>
      </c>
    </row>
    <row r="16" ht="15" customHeight="1" s="130">
      <c r="A16" s="225">
        <f>IF('EVENT ASSIGNMENT'!A5="","",'EVENT ASSIGNMENT'!A5)</f>
        <v/>
      </c>
      <c r="B16" s="80">
        <f>IF('EVENT ASSIGNMENT'!F5="","",'EVENT ASSIGNMENT'!F5)</f>
        <v/>
      </c>
      <c r="C16" s="80">
        <f>IF('EVENT ASSIGNMENT'!C5="","",'EVENT ASSIGNMENT'!C5)</f>
        <v/>
      </c>
      <c r="D16" s="80">
        <f>IF('EVENT ASSIGNMENT'!D5="","",'EVENT ASSIGNMENT'!D5)</f>
        <v/>
      </c>
      <c r="E16" s="226">
        <f>IF('EVENT ASSIGNMENT'!E5="","",'EVENT ASSIGNMENT'!E5)</f>
        <v/>
      </c>
      <c r="F16" s="227">
        <f>IF('EVENT ASSIGNMENT'!G5="","",'EVENT ASSIGNMENT'!G5)</f>
        <v/>
      </c>
      <c r="G16" s="226">
        <f>IF(E16="",0,SUMIFS('MSR DATA'!$I$2:$I$1001,'MSR DATA'!$D$2:$D$1001,E16))</f>
        <v/>
      </c>
      <c r="H16" s="226">
        <f>IF(E16="",0,SUMIFS('MSR DATA'!$I$2:$I$1001,'MSR DATA'!$D$2:$D$1001,E16,'MSR DATA'!$G$2:$G$1001,"ALCOHOL"))</f>
        <v/>
      </c>
      <c r="I16" s="226">
        <f>G16-H16</f>
        <v/>
      </c>
      <c r="J16" s="226">
        <f>G16*IF(F16="",0,F16)</f>
        <v/>
      </c>
      <c r="K16" s="226">
        <f>I16*IF(F16="",0,F16)*$B$4+H16*IF(F16="",0,F16)*$B$5</f>
        <v/>
      </c>
      <c r="L16" s="80">
        <f>IF(B16="","",IF(F16="","MISSING ALLOCATION",IF(ABS(SUMIFS($F$13:$F$112,$A$13:$A$112,A16,$C$13:$C$112,C16)-1)&gt;0.0001,"REVIEW LOCATION ALLOCATION",IF(G16=0,"NO MSR SALES","OK"))))</f>
        <v/>
      </c>
    </row>
    <row r="17" ht="15" customHeight="1" s="130">
      <c r="A17" s="225">
        <f>IF('EVENT ASSIGNMENT'!A6="","",'EVENT ASSIGNMENT'!A6)</f>
        <v/>
      </c>
      <c r="B17" s="80">
        <f>IF('EVENT ASSIGNMENT'!F6="","",'EVENT ASSIGNMENT'!F6)</f>
        <v/>
      </c>
      <c r="C17" s="80">
        <f>IF('EVENT ASSIGNMENT'!C6="","",'EVENT ASSIGNMENT'!C6)</f>
        <v/>
      </c>
      <c r="D17" s="80">
        <f>IF('EVENT ASSIGNMENT'!D6="","",'EVENT ASSIGNMENT'!D6)</f>
        <v/>
      </c>
      <c r="E17" s="226">
        <f>IF('EVENT ASSIGNMENT'!E6="","",'EVENT ASSIGNMENT'!E6)</f>
        <v/>
      </c>
      <c r="F17" s="227">
        <f>IF('EVENT ASSIGNMENT'!G6="","",'EVENT ASSIGNMENT'!G6)</f>
        <v/>
      </c>
      <c r="G17" s="226">
        <f>IF(E17="",0,SUMIFS('MSR DATA'!$I$2:$I$1001,'MSR DATA'!$D$2:$D$1001,E17))</f>
        <v/>
      </c>
      <c r="H17" s="226">
        <f>IF(E17="",0,SUMIFS('MSR DATA'!$I$2:$I$1001,'MSR DATA'!$D$2:$D$1001,E17,'MSR DATA'!$G$2:$G$1001,"ALCOHOL"))</f>
        <v/>
      </c>
      <c r="I17" s="226">
        <f>G17-H17</f>
        <v/>
      </c>
      <c r="J17" s="226">
        <f>G17*IF(F17="",0,F17)</f>
        <v/>
      </c>
      <c r="K17" s="226">
        <f>I17*IF(F17="",0,F17)*$B$4+H17*IF(F17="",0,F17)*$B$5</f>
        <v/>
      </c>
      <c r="L17" s="80">
        <f>IF(B17="","",IF(F17="","MISSING ALLOCATION",IF(ABS(SUMIFS($F$13:$F$112,$A$13:$A$112,A17,$C$13:$C$112,C17)-1)&gt;0.0001,"REVIEW LOCATION ALLOCATION",IF(G17=0,"NO MSR SALES","OK"))))</f>
        <v/>
      </c>
    </row>
    <row r="18" ht="15" customHeight="1" s="130">
      <c r="A18" s="225">
        <f>IF('EVENT ASSIGNMENT'!A7="","",'EVENT ASSIGNMENT'!A7)</f>
        <v/>
      </c>
      <c r="B18" s="80">
        <f>IF('EVENT ASSIGNMENT'!F7="","",'EVENT ASSIGNMENT'!F7)</f>
        <v/>
      </c>
      <c r="C18" s="80">
        <f>IF('EVENT ASSIGNMENT'!C7="","",'EVENT ASSIGNMENT'!C7)</f>
        <v/>
      </c>
      <c r="D18" s="80">
        <f>IF('EVENT ASSIGNMENT'!D7="","",'EVENT ASSIGNMENT'!D7)</f>
        <v/>
      </c>
      <c r="E18" s="226">
        <f>IF('EVENT ASSIGNMENT'!E7="","",'EVENT ASSIGNMENT'!E7)</f>
        <v/>
      </c>
      <c r="F18" s="227">
        <f>IF('EVENT ASSIGNMENT'!G7="","",'EVENT ASSIGNMENT'!G7)</f>
        <v/>
      </c>
      <c r="G18" s="226">
        <f>IF(E18="",0,SUMIFS('MSR DATA'!$I$2:$I$1001,'MSR DATA'!$D$2:$D$1001,E18))</f>
        <v/>
      </c>
      <c r="H18" s="226">
        <f>IF(E18="",0,SUMIFS('MSR DATA'!$I$2:$I$1001,'MSR DATA'!$D$2:$D$1001,E18,'MSR DATA'!$G$2:$G$1001,"ALCOHOL"))</f>
        <v/>
      </c>
      <c r="I18" s="226">
        <f>G18-H18</f>
        <v/>
      </c>
      <c r="J18" s="226">
        <f>G18*IF(F18="",0,F18)</f>
        <v/>
      </c>
      <c r="K18" s="226">
        <f>I18*IF(F18="",0,F18)*$B$4+H18*IF(F18="",0,F18)*$B$5</f>
        <v/>
      </c>
      <c r="L18" s="80">
        <f>IF(B18="","",IF(F18="","MISSING ALLOCATION",IF(ABS(SUMIFS($F$13:$F$112,$A$13:$A$112,A18,$C$13:$C$112,C18)-1)&gt;0.0001,"REVIEW LOCATION ALLOCATION",IF(G18=0,"NO MSR SALES","OK"))))</f>
        <v/>
      </c>
    </row>
    <row r="19" ht="15" customHeight="1" s="130">
      <c r="A19" s="225">
        <f>IF('EVENT ASSIGNMENT'!A8="","",'EVENT ASSIGNMENT'!A8)</f>
        <v/>
      </c>
      <c r="B19" s="80">
        <f>IF('EVENT ASSIGNMENT'!F8="","",'EVENT ASSIGNMENT'!F8)</f>
        <v/>
      </c>
      <c r="C19" s="80">
        <f>IF('EVENT ASSIGNMENT'!C8="","",'EVENT ASSIGNMENT'!C8)</f>
        <v/>
      </c>
      <c r="D19" s="80">
        <f>IF('EVENT ASSIGNMENT'!D8="","",'EVENT ASSIGNMENT'!D8)</f>
        <v/>
      </c>
      <c r="E19" s="226">
        <f>IF('EVENT ASSIGNMENT'!E8="","",'EVENT ASSIGNMENT'!E8)</f>
        <v/>
      </c>
      <c r="F19" s="227">
        <f>IF('EVENT ASSIGNMENT'!G8="","",'EVENT ASSIGNMENT'!G8)</f>
        <v/>
      </c>
      <c r="G19" s="226">
        <f>IF(E19="",0,SUMIFS('MSR DATA'!$I$2:$I$1001,'MSR DATA'!$D$2:$D$1001,E19))</f>
        <v/>
      </c>
      <c r="H19" s="226">
        <f>IF(E19="",0,SUMIFS('MSR DATA'!$I$2:$I$1001,'MSR DATA'!$D$2:$D$1001,E19,'MSR DATA'!$G$2:$G$1001,"ALCOHOL"))</f>
        <v/>
      </c>
      <c r="I19" s="226">
        <f>G19-H19</f>
        <v/>
      </c>
      <c r="J19" s="226">
        <f>G19*IF(F19="",0,F19)</f>
        <v/>
      </c>
      <c r="K19" s="226">
        <f>I19*IF(F19="",0,F19)*$B$4+H19*IF(F19="",0,F19)*$B$5</f>
        <v/>
      </c>
      <c r="L19" s="80">
        <f>IF(B19="","",IF(F19="","MISSING ALLOCATION",IF(ABS(SUMIFS($F$13:$F$112,$A$13:$A$112,A19,$C$13:$C$112,C19)-1)&gt;0.0001,"REVIEW LOCATION ALLOCATION",IF(G19=0,"NO MSR SALES","OK"))))</f>
        <v/>
      </c>
    </row>
    <row r="20" ht="15" customHeight="1" s="130">
      <c r="A20" s="225">
        <f>IF('EVENT ASSIGNMENT'!A9="","",'EVENT ASSIGNMENT'!A9)</f>
        <v/>
      </c>
      <c r="B20" s="80">
        <f>IF('EVENT ASSIGNMENT'!F9="","",'EVENT ASSIGNMENT'!F9)</f>
        <v/>
      </c>
      <c r="C20" s="80">
        <f>IF('EVENT ASSIGNMENT'!C9="","",'EVENT ASSIGNMENT'!C9)</f>
        <v/>
      </c>
      <c r="D20" s="80">
        <f>IF('EVENT ASSIGNMENT'!D9="","",'EVENT ASSIGNMENT'!D9)</f>
        <v/>
      </c>
      <c r="E20" s="226">
        <f>IF('EVENT ASSIGNMENT'!E9="","",'EVENT ASSIGNMENT'!E9)</f>
        <v/>
      </c>
      <c r="F20" s="227">
        <f>IF('EVENT ASSIGNMENT'!G9="","",'EVENT ASSIGNMENT'!G9)</f>
        <v/>
      </c>
      <c r="G20" s="226">
        <f>IF(E20="",0,SUMIFS('MSR DATA'!$I$2:$I$1001,'MSR DATA'!$D$2:$D$1001,E20))</f>
        <v/>
      </c>
      <c r="H20" s="226">
        <f>IF(E20="",0,SUMIFS('MSR DATA'!$I$2:$I$1001,'MSR DATA'!$D$2:$D$1001,E20,'MSR DATA'!$G$2:$G$1001,"ALCOHOL"))</f>
        <v/>
      </c>
      <c r="I20" s="226">
        <f>G20-H20</f>
        <v/>
      </c>
      <c r="J20" s="226">
        <f>G20*IF(F20="",0,F20)</f>
        <v/>
      </c>
      <c r="K20" s="226">
        <f>I20*IF(F20="",0,F20)*$B$4+H20*IF(F20="",0,F20)*$B$5</f>
        <v/>
      </c>
      <c r="L20" s="80">
        <f>IF(B20="","",IF(F20="","MISSING ALLOCATION",IF(ABS(SUMIFS($F$13:$F$112,$A$13:$A$112,A20,$C$13:$C$112,C20)-1)&gt;0.0001,"REVIEW LOCATION ALLOCATION",IF(G20=0,"NO MSR SALES","OK"))))</f>
        <v/>
      </c>
    </row>
    <row r="21" ht="15" customHeight="1" s="130">
      <c r="A21" s="225">
        <f>IF('EVENT ASSIGNMENT'!A10="","",'EVENT ASSIGNMENT'!A10)</f>
        <v/>
      </c>
      <c r="B21" s="80">
        <f>IF('EVENT ASSIGNMENT'!F10="","",'EVENT ASSIGNMENT'!F10)</f>
        <v/>
      </c>
      <c r="C21" s="80">
        <f>IF('EVENT ASSIGNMENT'!C10="","",'EVENT ASSIGNMENT'!C10)</f>
        <v/>
      </c>
      <c r="D21" s="80">
        <f>IF('EVENT ASSIGNMENT'!D10="","",'EVENT ASSIGNMENT'!D10)</f>
        <v/>
      </c>
      <c r="E21" s="226">
        <f>IF('EVENT ASSIGNMENT'!E10="","",'EVENT ASSIGNMENT'!E10)</f>
        <v/>
      </c>
      <c r="F21" s="227">
        <f>IF('EVENT ASSIGNMENT'!G10="","",'EVENT ASSIGNMENT'!G10)</f>
        <v/>
      </c>
      <c r="G21" s="226">
        <f>IF(E21="",0,SUMIFS('MSR DATA'!$I$2:$I$1001,'MSR DATA'!$D$2:$D$1001,E21))</f>
        <v/>
      </c>
      <c r="H21" s="226">
        <f>IF(E21="",0,SUMIFS('MSR DATA'!$I$2:$I$1001,'MSR DATA'!$D$2:$D$1001,E21,'MSR DATA'!$G$2:$G$1001,"ALCOHOL"))</f>
        <v/>
      </c>
      <c r="I21" s="226">
        <f>G21-H21</f>
        <v/>
      </c>
      <c r="J21" s="226">
        <f>G21*IF(F21="",0,F21)</f>
        <v/>
      </c>
      <c r="K21" s="226">
        <f>I21*IF(F21="",0,F21)*$B$4+H21*IF(F21="",0,F21)*$B$5</f>
        <v/>
      </c>
      <c r="L21" s="80">
        <f>IF(B21="","",IF(F21="","MISSING ALLOCATION",IF(ABS(SUMIFS($F$13:$F$112,$A$13:$A$112,A21,$C$13:$C$112,C21)-1)&gt;0.0001,"REVIEW LOCATION ALLOCATION",IF(G21=0,"NO MSR SALES","OK"))))</f>
        <v/>
      </c>
    </row>
    <row r="22" ht="15" customHeight="1" s="130">
      <c r="A22" s="225">
        <f>IF('EVENT ASSIGNMENT'!A11="","",'EVENT ASSIGNMENT'!A11)</f>
        <v/>
      </c>
      <c r="B22" s="80">
        <f>IF('EVENT ASSIGNMENT'!F11="","",'EVENT ASSIGNMENT'!F11)</f>
        <v/>
      </c>
      <c r="C22" s="80">
        <f>IF('EVENT ASSIGNMENT'!C11="","",'EVENT ASSIGNMENT'!C11)</f>
        <v/>
      </c>
      <c r="D22" s="80">
        <f>IF('EVENT ASSIGNMENT'!D11="","",'EVENT ASSIGNMENT'!D11)</f>
        <v/>
      </c>
      <c r="E22" s="226">
        <f>IF('EVENT ASSIGNMENT'!E11="","",'EVENT ASSIGNMENT'!E11)</f>
        <v/>
      </c>
      <c r="F22" s="227">
        <f>IF('EVENT ASSIGNMENT'!G11="","",'EVENT ASSIGNMENT'!G11)</f>
        <v/>
      </c>
      <c r="G22" s="226">
        <f>IF(E22="",0,SUMIFS('MSR DATA'!$I$2:$I$1001,'MSR DATA'!$D$2:$D$1001,E22))</f>
        <v/>
      </c>
      <c r="H22" s="226">
        <f>IF(E22="",0,SUMIFS('MSR DATA'!$I$2:$I$1001,'MSR DATA'!$D$2:$D$1001,E22,'MSR DATA'!$G$2:$G$1001,"ALCOHOL"))</f>
        <v/>
      </c>
      <c r="I22" s="226">
        <f>G22-H22</f>
        <v/>
      </c>
      <c r="J22" s="226">
        <f>G22*IF(F22="",0,F22)</f>
        <v/>
      </c>
      <c r="K22" s="226">
        <f>I22*IF(F22="",0,F22)*$B$4+H22*IF(F22="",0,F22)*$B$5</f>
        <v/>
      </c>
      <c r="L22" s="80">
        <f>IF(B22="","",IF(F22="","MISSING ALLOCATION",IF(ABS(SUMIFS($F$13:$F$112,$A$13:$A$112,A22,$C$13:$C$112,C22)-1)&gt;0.0001,"REVIEW LOCATION ALLOCATION",IF(G22=0,"NO MSR SALES","OK"))))</f>
        <v/>
      </c>
    </row>
    <row r="23" ht="15" customHeight="1" s="130">
      <c r="A23" s="225">
        <f>IF('EVENT ASSIGNMENT'!A12="","",'EVENT ASSIGNMENT'!A12)</f>
        <v/>
      </c>
      <c r="B23" s="80">
        <f>IF('EVENT ASSIGNMENT'!F12="","",'EVENT ASSIGNMENT'!F12)</f>
        <v/>
      </c>
      <c r="C23" s="80">
        <f>IF('EVENT ASSIGNMENT'!C12="","",'EVENT ASSIGNMENT'!C12)</f>
        <v/>
      </c>
      <c r="D23" s="80">
        <f>IF('EVENT ASSIGNMENT'!D12="","",'EVENT ASSIGNMENT'!D12)</f>
        <v/>
      </c>
      <c r="E23" s="226">
        <f>IF('EVENT ASSIGNMENT'!E12="","",'EVENT ASSIGNMENT'!E12)</f>
        <v/>
      </c>
      <c r="F23" s="227">
        <f>IF('EVENT ASSIGNMENT'!G12="","",'EVENT ASSIGNMENT'!G12)</f>
        <v/>
      </c>
      <c r="G23" s="226">
        <f>IF(E23="",0,SUMIFS('MSR DATA'!$I$2:$I$1001,'MSR DATA'!$D$2:$D$1001,E23))</f>
        <v/>
      </c>
      <c r="H23" s="226">
        <f>IF(E23="",0,SUMIFS('MSR DATA'!$I$2:$I$1001,'MSR DATA'!$D$2:$D$1001,E23,'MSR DATA'!$G$2:$G$1001,"ALCOHOL"))</f>
        <v/>
      </c>
      <c r="I23" s="226">
        <f>G23-H23</f>
        <v/>
      </c>
      <c r="J23" s="226">
        <f>G23*IF(F23="",0,F23)</f>
        <v/>
      </c>
      <c r="K23" s="226">
        <f>I23*IF(F23="",0,F23)*$B$4+H23*IF(F23="",0,F23)*$B$5</f>
        <v/>
      </c>
      <c r="L23" s="80">
        <f>IF(B23="","",IF(F23="","MISSING ALLOCATION",IF(ABS(SUMIFS($F$13:$F$112,$A$13:$A$112,A23,$C$13:$C$112,C23)-1)&gt;0.0001,"REVIEW LOCATION ALLOCATION",IF(G23=0,"NO MSR SALES","OK"))))</f>
        <v/>
      </c>
    </row>
    <row r="24" ht="15" customHeight="1" s="130">
      <c r="A24" s="225">
        <f>IF('EVENT ASSIGNMENT'!A13="","",'EVENT ASSIGNMENT'!A13)</f>
        <v/>
      </c>
      <c r="B24" s="80">
        <f>IF('EVENT ASSIGNMENT'!F13="","",'EVENT ASSIGNMENT'!F13)</f>
        <v/>
      </c>
      <c r="C24" s="80">
        <f>IF('EVENT ASSIGNMENT'!C13="","",'EVENT ASSIGNMENT'!C13)</f>
        <v/>
      </c>
      <c r="D24" s="80">
        <f>IF('EVENT ASSIGNMENT'!D13="","",'EVENT ASSIGNMENT'!D13)</f>
        <v/>
      </c>
      <c r="E24" s="226">
        <f>IF('EVENT ASSIGNMENT'!E13="","",'EVENT ASSIGNMENT'!E13)</f>
        <v/>
      </c>
      <c r="F24" s="227">
        <f>IF('EVENT ASSIGNMENT'!G13="","",'EVENT ASSIGNMENT'!G13)</f>
        <v/>
      </c>
      <c r="G24" s="226">
        <f>IF(E24="",0,SUMIFS('MSR DATA'!$I$2:$I$1001,'MSR DATA'!$D$2:$D$1001,E24))</f>
        <v/>
      </c>
      <c r="H24" s="226">
        <f>IF(E24="",0,SUMIFS('MSR DATA'!$I$2:$I$1001,'MSR DATA'!$D$2:$D$1001,E24,'MSR DATA'!$G$2:$G$1001,"ALCOHOL"))</f>
        <v/>
      </c>
      <c r="I24" s="226">
        <f>G24-H24</f>
        <v/>
      </c>
      <c r="J24" s="226">
        <f>G24*IF(F24="",0,F24)</f>
        <v/>
      </c>
      <c r="K24" s="226">
        <f>I24*IF(F24="",0,F24)*$B$4+H24*IF(F24="",0,F24)*$B$5</f>
        <v/>
      </c>
      <c r="L24" s="80">
        <f>IF(B24="","",IF(F24="","MISSING ALLOCATION",IF(ABS(SUMIFS($F$13:$F$112,$A$13:$A$112,A24,$C$13:$C$112,C24)-1)&gt;0.0001,"REVIEW LOCATION ALLOCATION",IF(G24=0,"NO MSR SALES","OK"))))</f>
        <v/>
      </c>
    </row>
    <row r="25" ht="15" customHeight="1" s="130">
      <c r="A25" s="228">
        <f>IF('EVENT ASSIGNMENT'!A14="","",'EVENT ASSIGNMENT'!A14)</f>
        <v/>
      </c>
      <c r="B25" s="84">
        <f>IF('EVENT ASSIGNMENT'!F14="","",'EVENT ASSIGNMENT'!F14)</f>
        <v/>
      </c>
      <c r="C25" s="84">
        <f>IF('EVENT ASSIGNMENT'!C14="","",'EVENT ASSIGNMENT'!C14)</f>
        <v/>
      </c>
      <c r="D25" s="84">
        <f>IF('EVENT ASSIGNMENT'!D14="","",'EVENT ASSIGNMENT'!D14)</f>
        <v/>
      </c>
      <c r="E25" s="229">
        <f>IF('EVENT ASSIGNMENT'!E14="","",'EVENT ASSIGNMENT'!E14)</f>
        <v/>
      </c>
      <c r="F25" s="230">
        <f>IF('EVENT ASSIGNMENT'!G14="","",'EVENT ASSIGNMENT'!G14)</f>
        <v/>
      </c>
      <c r="G25" s="229">
        <f>IF(E25="",0,SUMIFS('MSR DATA'!$I$2:$I$1001,'MSR DATA'!$D$2:$D$1001,E25))</f>
        <v/>
      </c>
      <c r="H25" s="229">
        <f>IF(E25="",0,SUMIFS('MSR DATA'!$I$2:$I$1001,'MSR DATA'!$D$2:$D$1001,E25,'MSR DATA'!$G$2:$G$1001,"ALCOHOL"))</f>
        <v/>
      </c>
      <c r="I25" s="229">
        <f>G25-H25</f>
        <v/>
      </c>
      <c r="J25" s="229">
        <f>G25*IF(F25="",0,F25)</f>
        <v/>
      </c>
      <c r="K25" s="229">
        <f>I25*IF(F25="",0,F25)*$B$4+H25*IF(F25="",0,F25)*$B$5</f>
        <v/>
      </c>
      <c r="L25" s="84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30">
      <c r="A26" s="225">
        <f>IF('EVENT ASSIGNMENT'!A15="","",'EVENT ASSIGNMENT'!A15)</f>
        <v/>
      </c>
      <c r="B26" s="80">
        <f>IF('EVENT ASSIGNMENT'!F15="","",'EVENT ASSIGNMENT'!F15)</f>
        <v/>
      </c>
      <c r="C26" s="80">
        <f>IF('EVENT ASSIGNMENT'!C15="","",'EVENT ASSIGNMENT'!C15)</f>
        <v/>
      </c>
      <c r="D26" s="80">
        <f>IF('EVENT ASSIGNMENT'!D15="","",'EVENT ASSIGNMENT'!D15)</f>
        <v/>
      </c>
      <c r="E26" s="80">
        <f>IF('EVENT ASSIGNMENT'!E15="","",'EVENT ASSIGNMENT'!E15)</f>
        <v/>
      </c>
      <c r="F26" s="227">
        <f>IF('EVENT ASSIGNMENT'!G15="","",'EVENT ASSIGNMENT'!G15)</f>
        <v/>
      </c>
      <c r="G26" s="226">
        <f>IF(E26="",0,SUMIFS('MSR DATA'!$I$2:$I$1001,'MSR DATA'!$D$2:$D$1001,E26))</f>
        <v/>
      </c>
      <c r="H26" s="226">
        <f>IF(E26="",0,SUMIFS('MSR DATA'!$I$2:$I$1001,'MSR DATA'!$D$2:$D$1001,E26,'MSR DATA'!$G$2:$G$1001,"ALCOHOL"))</f>
        <v/>
      </c>
      <c r="I26" s="226">
        <f>G26-H26</f>
        <v/>
      </c>
      <c r="J26" s="226">
        <f>G26*IF(F26="",0,F26)</f>
        <v/>
      </c>
      <c r="K26" s="226">
        <f>I26*IF(F26="",0,F26)*$B$4+H26*IF(F26="",0,F26)*$B$5</f>
        <v/>
      </c>
      <c r="L26" s="80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30">
      <c r="A27" s="225">
        <f>IF('EVENT ASSIGNMENT'!A16="","",'EVENT ASSIGNMENT'!A16)</f>
        <v/>
      </c>
      <c r="B27" s="80">
        <f>IF('EVENT ASSIGNMENT'!F16="","",'EVENT ASSIGNMENT'!F16)</f>
        <v/>
      </c>
      <c r="C27" s="80">
        <f>IF('EVENT ASSIGNMENT'!C16="","",'EVENT ASSIGNMENT'!C16)</f>
        <v/>
      </c>
      <c r="D27" s="80">
        <f>IF('EVENT ASSIGNMENT'!D16="","",'EVENT ASSIGNMENT'!D16)</f>
        <v/>
      </c>
      <c r="E27" s="80">
        <f>IF('EVENT ASSIGNMENT'!E16="","",'EVENT ASSIGNMENT'!E16)</f>
        <v/>
      </c>
      <c r="F27" s="227">
        <f>IF('EVENT ASSIGNMENT'!G16="","",'EVENT ASSIGNMENT'!G16)</f>
        <v/>
      </c>
      <c r="G27" s="226">
        <f>IF(E27="",0,SUMIFS('MSR DATA'!$I$2:$I$1001,'MSR DATA'!$D$2:$D$1001,E27))</f>
        <v/>
      </c>
      <c r="H27" s="226">
        <f>IF(E27="",0,SUMIFS('MSR DATA'!$I$2:$I$1001,'MSR DATA'!$D$2:$D$1001,E27,'MSR DATA'!$G$2:$G$1001,"ALCOHOL"))</f>
        <v/>
      </c>
      <c r="I27" s="226">
        <f>G27-H27</f>
        <v/>
      </c>
      <c r="J27" s="226">
        <f>G27*IF(F27="",0,F27)</f>
        <v/>
      </c>
      <c r="K27" s="226">
        <f>I27*IF(F27="",0,F27)*$B$4+H27*IF(F27="",0,F27)*$B$5</f>
        <v/>
      </c>
      <c r="L27" s="80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30">
      <c r="A28" s="225">
        <f>IF('EVENT ASSIGNMENT'!A17="","",'EVENT ASSIGNMENT'!A17)</f>
        <v/>
      </c>
      <c r="B28" s="80">
        <f>IF('EVENT ASSIGNMENT'!F17="","",'EVENT ASSIGNMENT'!F17)</f>
        <v/>
      </c>
      <c r="C28" s="80">
        <f>IF('EVENT ASSIGNMENT'!C17="","",'EVENT ASSIGNMENT'!C17)</f>
        <v/>
      </c>
      <c r="D28" s="80">
        <f>IF('EVENT ASSIGNMENT'!D17="","",'EVENT ASSIGNMENT'!D17)</f>
        <v/>
      </c>
      <c r="E28" s="80">
        <f>IF('EVENT ASSIGNMENT'!E17="","",'EVENT ASSIGNMENT'!E17)</f>
        <v/>
      </c>
      <c r="F28" s="227">
        <f>IF('EVENT ASSIGNMENT'!G17="","",'EVENT ASSIGNMENT'!G17)</f>
        <v/>
      </c>
      <c r="G28" s="226">
        <f>IF(E28="",0,SUMIFS('MSR DATA'!$I$2:$I$1001,'MSR DATA'!$D$2:$D$1001,E28))</f>
        <v/>
      </c>
      <c r="H28" s="226">
        <f>IF(E28="",0,SUMIFS('MSR DATA'!$I$2:$I$1001,'MSR DATA'!$D$2:$D$1001,E28,'MSR DATA'!$G$2:$G$1001,"ALCOHOL"))</f>
        <v/>
      </c>
      <c r="I28" s="226">
        <f>G28-H28</f>
        <v/>
      </c>
      <c r="J28" s="226">
        <f>G28*IF(F28="",0,F28)</f>
        <v/>
      </c>
      <c r="K28" s="226">
        <f>I28*IF(F28="",0,F28)*$B$4+H28*IF(F28="",0,F28)*$B$5</f>
        <v/>
      </c>
      <c r="L28" s="80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30">
      <c r="A29" s="225">
        <f>IF('EVENT ASSIGNMENT'!A18="","",'EVENT ASSIGNMENT'!A18)</f>
        <v/>
      </c>
      <c r="B29" s="80">
        <f>IF('EVENT ASSIGNMENT'!F18="","",'EVENT ASSIGNMENT'!F18)</f>
        <v/>
      </c>
      <c r="C29" s="80">
        <f>IF('EVENT ASSIGNMENT'!C18="","",'EVENT ASSIGNMENT'!C18)</f>
        <v/>
      </c>
      <c r="D29" s="80">
        <f>IF('EVENT ASSIGNMENT'!D18="","",'EVENT ASSIGNMENT'!D18)</f>
        <v/>
      </c>
      <c r="E29" s="80">
        <f>IF('EVENT ASSIGNMENT'!E18="","",'EVENT ASSIGNMENT'!E18)</f>
        <v/>
      </c>
      <c r="F29" s="227">
        <f>IF('EVENT ASSIGNMENT'!G18="","",'EVENT ASSIGNMENT'!G18)</f>
        <v/>
      </c>
      <c r="G29" s="226">
        <f>IF(E29="",0,SUMIFS('MSR DATA'!$I$2:$I$1001,'MSR DATA'!$D$2:$D$1001,E29))</f>
        <v/>
      </c>
      <c r="H29" s="226">
        <f>IF(E29="",0,SUMIFS('MSR DATA'!$I$2:$I$1001,'MSR DATA'!$D$2:$D$1001,E29,'MSR DATA'!$G$2:$G$1001,"ALCOHOL"))</f>
        <v/>
      </c>
      <c r="I29" s="226">
        <f>G29-H29</f>
        <v/>
      </c>
      <c r="J29" s="226">
        <f>G29*IF(F29="",0,F29)</f>
        <v/>
      </c>
      <c r="K29" s="226">
        <f>I29*IF(F29="",0,F29)*$B$4+H29*IF(F29="",0,F29)*$B$5</f>
        <v/>
      </c>
      <c r="L29" s="80">
        <f>IF(B29="","",IF(F29="","MISSING ALLOCATION",IF(ABS(SUMIFS($F$13:$F$112,$A$13:$A$112,A29,$C$13:$C$112,C29)-1)&gt;0.0001,"REVIEW LOCATION ALLOCATION",IF(G29=0,"NO MSR SALES","OK"))))</f>
        <v/>
      </c>
    </row>
    <row r="30" ht="15" customHeight="1" s="130">
      <c r="A30" s="228">
        <f>IF('EVENT ASSIGNMENT'!A19="","",'EVENT ASSIGNMENT'!A19)</f>
        <v/>
      </c>
      <c r="B30" s="80">
        <f>IF('EVENT ASSIGNMENT'!F19="","",'EVENT ASSIGNMENT'!F19)</f>
        <v/>
      </c>
      <c r="C30" s="80">
        <f>IF('EVENT ASSIGNMENT'!C19="","",'EVENT ASSIGNMENT'!C19)</f>
        <v/>
      </c>
      <c r="D30" s="80">
        <f>IF('EVENT ASSIGNMENT'!D19="","",'EVENT ASSIGNMENT'!D19)</f>
        <v/>
      </c>
      <c r="E30" s="80">
        <f>IF('EVENT ASSIGNMENT'!E19="","",'EVENT ASSIGNMENT'!E19)</f>
        <v/>
      </c>
      <c r="F30" s="227">
        <f>IF('EVENT ASSIGNMENT'!G19="","",'EVENT ASSIGNMENT'!G19)</f>
        <v/>
      </c>
      <c r="G30" s="226">
        <f>IF(E30="",0,SUMIFS('MSR DATA'!$I$2:$I$1001,'MSR DATA'!$D$2:$D$1001,E30))</f>
        <v/>
      </c>
      <c r="H30" s="226">
        <f>IF(E30="",0,SUMIFS('MSR DATA'!$I$2:$I$1001,'MSR DATA'!$D$2:$D$1001,E30,'MSR DATA'!$G$2:$G$1001,"ALCOHOL"))</f>
        <v/>
      </c>
      <c r="I30" s="226">
        <f>G30-H30</f>
        <v/>
      </c>
      <c r="J30" s="226">
        <f>G30*IF(F30="",0,F30)</f>
        <v/>
      </c>
      <c r="K30" s="226">
        <f>I30*IF(F30="",0,F30)*$B$4+H30*IF(F30="",0,F30)*$B$5</f>
        <v/>
      </c>
      <c r="L30" s="80">
        <f>IF(B30="","",IF(F30="","MISSING ALLOCATION",IF(ABS(SUMIFS($F$13:$F$112,$A$13:$A$112,A30,$C$13:$C$112,C30)-1)&gt;0.0001,"REVIEW LOCATION ALLOCATION",IF(G30=0,"NO MSR SALES","OK"))))</f>
        <v/>
      </c>
    </row>
    <row r="31" ht="15" customHeight="1" s="130">
      <c r="A31" s="231">
        <f>IF('EVENT ASSIGNMENT'!A20="","",'EVENT ASSIGNMENT'!A20)</f>
        <v/>
      </c>
      <c r="B31" s="80">
        <f>IF('EVENT ASSIGNMENT'!F20="","",'EVENT ASSIGNMENT'!F20)</f>
        <v/>
      </c>
      <c r="C31" s="80">
        <f>IF('EVENT ASSIGNMENT'!C20="","",'EVENT ASSIGNMENT'!C20)</f>
        <v/>
      </c>
      <c r="D31" s="80">
        <f>IF('EVENT ASSIGNMENT'!D20="","",'EVENT ASSIGNMENT'!D20)</f>
        <v/>
      </c>
      <c r="E31" s="80">
        <f>IF('EVENT ASSIGNMENT'!E20="","",'EVENT ASSIGNMENT'!E20)</f>
        <v/>
      </c>
      <c r="F31" s="227">
        <f>IF('EVENT ASSIGNMENT'!G20="","",'EVENT ASSIGNMENT'!G20)</f>
        <v/>
      </c>
      <c r="G31" s="226">
        <f>IF(E31="",0,SUMIFS('MSR DATA'!$I$2:$I$1001,'MSR DATA'!$D$2:$D$1001,E31))</f>
        <v/>
      </c>
      <c r="H31" s="226">
        <f>IF(E31="",0,SUMIFS('MSR DATA'!$I$2:$I$1001,'MSR DATA'!$D$2:$D$1001,E31,'MSR DATA'!$G$2:$G$1001,"ALCOHOL"))</f>
        <v/>
      </c>
      <c r="I31" s="226">
        <f>G31-H31</f>
        <v/>
      </c>
      <c r="J31" s="226">
        <f>G31*IF(F31="",0,F31)</f>
        <v/>
      </c>
      <c r="K31" s="226">
        <f>I31*IF(F31="",0,F31)*$B$4+H31*IF(F31="",0,F31)*$B$5</f>
        <v/>
      </c>
      <c r="L31" s="80">
        <f>IF(B31="","",IF(F31="","MISSING ALLOCATION",IF(ABS(SUMIFS($F$13:$F$112,$A$13:$A$112,A31,$C$13:$C$112,C31)-1)&gt;0.0001,"REVIEW LOCATION ALLOCATION",IF(G31=0,"NO MSR SALES","OK"))))</f>
        <v/>
      </c>
    </row>
    <row r="32" ht="15" customHeight="1" s="130">
      <c r="A32" s="231">
        <f>IF('EVENT ASSIGNMENT'!A21="","",'EVENT ASSIGNMENT'!A21)</f>
        <v/>
      </c>
      <c r="B32" s="80">
        <f>IF('EVENT ASSIGNMENT'!F21="","",'EVENT ASSIGNMENT'!F21)</f>
        <v/>
      </c>
      <c r="C32" s="80">
        <f>IF('EVENT ASSIGNMENT'!C21="","",'EVENT ASSIGNMENT'!C21)</f>
        <v/>
      </c>
      <c r="D32" s="80">
        <f>IF('EVENT ASSIGNMENT'!D21="","",'EVENT ASSIGNMENT'!D21)</f>
        <v/>
      </c>
      <c r="E32" s="80">
        <f>IF('EVENT ASSIGNMENT'!E21="","",'EVENT ASSIGNMENT'!E21)</f>
        <v/>
      </c>
      <c r="F32" s="227">
        <f>IF('EVENT ASSIGNMENT'!G21="","",'EVENT ASSIGNMENT'!G21)</f>
        <v/>
      </c>
      <c r="G32" s="226">
        <f>IF(E32="",0,SUMIFS('MSR DATA'!$I$2:$I$1001,'MSR DATA'!$D$2:$D$1001,E32))</f>
        <v/>
      </c>
      <c r="H32" s="226">
        <f>IF(E32="",0,SUMIFS('MSR DATA'!$I$2:$I$1001,'MSR DATA'!$D$2:$D$1001,E32,'MSR DATA'!$G$2:$G$1001,"ALCOHOL"))</f>
        <v/>
      </c>
      <c r="I32" s="226">
        <f>G32-H32</f>
        <v/>
      </c>
      <c r="J32" s="226">
        <f>G32*IF(F32="",0,F32)</f>
        <v/>
      </c>
      <c r="K32" s="226">
        <f>I32*IF(F32="",0,F32)*$B$4+H32*IF(F32="",0,F32)*$B$5</f>
        <v/>
      </c>
      <c r="L32" s="80">
        <f>IF(B32="","",IF(F32="","MISSING ALLOCATION",IF(ABS(SUMIFS($F$13:$F$112,$A$13:$A$112,A32,$C$13:$C$112,C32)-1)&gt;0.0001,"REVIEW LOCATION ALLOCATION",IF(G32=0,"NO MSR SALES","OK"))))</f>
        <v/>
      </c>
    </row>
    <row r="33" ht="15" customHeight="1" s="130">
      <c r="A33" s="231">
        <f>IF('EVENT ASSIGNMENT'!A22="","",'EVENT ASSIGNMENT'!A22)</f>
        <v/>
      </c>
      <c r="B33" s="80">
        <f>IF('EVENT ASSIGNMENT'!F22="","",'EVENT ASSIGNMENT'!F22)</f>
        <v/>
      </c>
      <c r="C33" s="80">
        <f>IF('EVENT ASSIGNMENT'!C22="","",'EVENT ASSIGNMENT'!C22)</f>
        <v/>
      </c>
      <c r="D33" s="80">
        <f>IF('EVENT ASSIGNMENT'!D22="","",'EVENT ASSIGNMENT'!D22)</f>
        <v/>
      </c>
      <c r="E33" s="80">
        <f>IF('EVENT ASSIGNMENT'!E22="","",'EVENT ASSIGNMENT'!E22)</f>
        <v/>
      </c>
      <c r="F33" s="227">
        <f>IF('EVENT ASSIGNMENT'!G22="","",'EVENT ASSIGNMENT'!G22)</f>
        <v/>
      </c>
      <c r="G33" s="226">
        <f>IF(E33="",0,SUMIFS('MSR DATA'!$I$2:$I$1001,'MSR DATA'!$D$2:$D$1001,E33))</f>
        <v/>
      </c>
      <c r="H33" s="226">
        <f>IF(E33="",0,SUMIFS('MSR DATA'!$I$2:$I$1001,'MSR DATA'!$D$2:$D$1001,E33,'MSR DATA'!$G$2:$G$1001,"ALCOHOL"))</f>
        <v/>
      </c>
      <c r="I33" s="226">
        <f>G33-H33</f>
        <v/>
      </c>
      <c r="J33" s="226">
        <f>G33*IF(F33="",0,F33)</f>
        <v/>
      </c>
      <c r="K33" s="226">
        <f>I33*IF(F33="",0,F33)*$B$4+H33*IF(F33="",0,F33)*$B$5</f>
        <v/>
      </c>
      <c r="L33" s="80">
        <f>IF(B33="","",IF(F33="","MISSING ALLOCATION",IF(ABS(SUMIFS($F$13:$F$112,$A$13:$A$112,A33,$C$13:$C$112,C33)-1)&gt;0.0001,"REVIEW LOCATION ALLOCATION",IF(G33=0,"NO MSR SALES","OK"))))</f>
        <v/>
      </c>
    </row>
    <row r="34" ht="15" customHeight="1" s="130">
      <c r="A34" s="231">
        <f>IF('EVENT ASSIGNMENT'!A23="","",'EVENT ASSIGNMENT'!A23)</f>
        <v/>
      </c>
      <c r="B34" s="80">
        <f>IF('EVENT ASSIGNMENT'!F23="","",'EVENT ASSIGNMENT'!F23)</f>
        <v/>
      </c>
      <c r="C34" s="80">
        <f>IF('EVENT ASSIGNMENT'!C23="","",'EVENT ASSIGNMENT'!C23)</f>
        <v/>
      </c>
      <c r="D34" s="80">
        <f>IF('EVENT ASSIGNMENT'!D23="","",'EVENT ASSIGNMENT'!D23)</f>
        <v/>
      </c>
      <c r="E34" s="80">
        <f>IF('EVENT ASSIGNMENT'!E23="","",'EVENT ASSIGNMENT'!E23)</f>
        <v/>
      </c>
      <c r="F34" s="227">
        <f>IF('EVENT ASSIGNMENT'!G23="","",'EVENT ASSIGNMENT'!G23)</f>
        <v/>
      </c>
      <c r="G34" s="226">
        <f>IF(E34="",0,SUMIFS('MSR DATA'!$I$2:$I$1001,'MSR DATA'!$D$2:$D$1001,E34))</f>
        <v/>
      </c>
      <c r="H34" s="226">
        <f>IF(E34="",0,SUMIFS('MSR DATA'!$I$2:$I$1001,'MSR DATA'!$D$2:$D$1001,E34,'MSR DATA'!$G$2:$G$1001,"ALCOHOL"))</f>
        <v/>
      </c>
      <c r="I34" s="226">
        <f>G34-H34</f>
        <v/>
      </c>
      <c r="J34" s="226">
        <f>G34*IF(F34="",0,F34)</f>
        <v/>
      </c>
      <c r="K34" s="226">
        <f>I34*IF(F34="",0,F34)*$B$4+H34*IF(F34="",0,F34)*$B$5</f>
        <v/>
      </c>
      <c r="L34" s="80">
        <f>IF(B34="","",IF(F34="","MISSING ALLOCATION",IF(ABS(SUMIFS($F$13:$F$112,$A$13:$A$112,A34,$C$13:$C$112,C34)-1)&gt;0.0001,"REVIEW LOCATION ALLOCATION",IF(G34=0,"NO MSR SALES","OK"))))</f>
        <v/>
      </c>
    </row>
    <row r="35" ht="15" customHeight="1" s="130">
      <c r="A35" s="231">
        <f>IF('EVENT ASSIGNMENT'!A24="","",'EVENT ASSIGNMENT'!A24)</f>
        <v/>
      </c>
      <c r="B35" s="80">
        <f>IF('EVENT ASSIGNMENT'!F24="","",'EVENT ASSIGNMENT'!F24)</f>
        <v/>
      </c>
      <c r="C35" s="80">
        <f>IF('EVENT ASSIGNMENT'!C24="","",'EVENT ASSIGNMENT'!C24)</f>
        <v/>
      </c>
      <c r="D35" s="80">
        <f>IF('EVENT ASSIGNMENT'!D24="","",'EVENT ASSIGNMENT'!D24)</f>
        <v/>
      </c>
      <c r="E35" s="80">
        <f>IF('EVENT ASSIGNMENT'!E24="","",'EVENT ASSIGNMENT'!E24)</f>
        <v/>
      </c>
      <c r="F35" s="227">
        <f>IF('EVENT ASSIGNMENT'!G24="","",'EVENT ASSIGNMENT'!G24)</f>
        <v/>
      </c>
      <c r="G35" s="226">
        <f>IF(E35="",0,SUMIFS('MSR DATA'!$I$2:$I$1001,'MSR DATA'!$D$2:$D$1001,E35))</f>
        <v/>
      </c>
      <c r="H35" s="226">
        <f>IF(E35="",0,SUMIFS('MSR DATA'!$I$2:$I$1001,'MSR DATA'!$D$2:$D$1001,E35,'MSR DATA'!$G$2:$G$1001,"ALCOHOL"))</f>
        <v/>
      </c>
      <c r="I35" s="226">
        <f>G35-H35</f>
        <v/>
      </c>
      <c r="J35" s="226">
        <f>G35*IF(F35="",0,F35)</f>
        <v/>
      </c>
      <c r="K35" s="226">
        <f>I35*IF(F35="",0,F35)*$B$4+H35*IF(F35="",0,F35)*$B$5</f>
        <v/>
      </c>
      <c r="L35" s="80">
        <f>IF(B35="","",IF(F35="","MISSING ALLOCATION",IF(ABS(SUMIFS($F$13:$F$112,$A$13:$A$112,A35,$C$13:$C$112,C35)-1)&gt;0.0001,"REVIEW LOCATION ALLOCATION",IF(G35=0,"NO MSR SALES","OK"))))</f>
        <v/>
      </c>
    </row>
    <row r="36" ht="15" customHeight="1" s="130">
      <c r="A36" s="231">
        <f>IF('EVENT ASSIGNMENT'!A25="","",'EVENT ASSIGNMENT'!A25)</f>
        <v/>
      </c>
      <c r="B36" s="80">
        <f>IF('EVENT ASSIGNMENT'!F25="","",'EVENT ASSIGNMENT'!F25)</f>
        <v/>
      </c>
      <c r="C36" s="80">
        <f>IF('EVENT ASSIGNMENT'!C25="","",'EVENT ASSIGNMENT'!C25)</f>
        <v/>
      </c>
      <c r="D36" s="80">
        <f>IF('EVENT ASSIGNMENT'!D25="","",'EVENT ASSIGNMENT'!D25)</f>
        <v/>
      </c>
      <c r="E36" s="80">
        <f>IF('EVENT ASSIGNMENT'!E25="","",'EVENT ASSIGNMENT'!E25)</f>
        <v/>
      </c>
      <c r="F36" s="227">
        <f>IF('EVENT ASSIGNMENT'!G25="","",'EVENT ASSIGNMENT'!G25)</f>
        <v/>
      </c>
      <c r="G36" s="226">
        <f>IF(E36="",0,SUMIFS('MSR DATA'!$I$2:$I$1001,'MSR DATA'!$D$2:$D$1001,E36))</f>
        <v/>
      </c>
      <c r="H36" s="226">
        <f>IF(E36="",0,SUMIFS('MSR DATA'!$I$2:$I$1001,'MSR DATA'!$D$2:$D$1001,E36,'MSR DATA'!$G$2:$G$1001,"ALCOHOL"))</f>
        <v/>
      </c>
      <c r="I36" s="226">
        <f>G36-H36</f>
        <v/>
      </c>
      <c r="J36" s="226">
        <f>G36*IF(F36="",0,F36)</f>
        <v/>
      </c>
      <c r="K36" s="226">
        <f>I36*IF(F36="",0,F36)*$B$4+H36*IF(F36="",0,F36)*$B$5</f>
        <v/>
      </c>
      <c r="L36" s="80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30">
      <c r="A37" s="225">
        <f>IF('EVENT ASSIGNMENT'!A26="","",'EVENT ASSIGNMENT'!A26)</f>
        <v/>
      </c>
      <c r="B37" s="80">
        <f>IF('EVENT ASSIGNMENT'!F26="","",'EVENT ASSIGNMENT'!F26)</f>
        <v/>
      </c>
      <c r="C37" s="80">
        <f>IF('EVENT ASSIGNMENT'!C26="","",'EVENT ASSIGNMENT'!C26)</f>
        <v/>
      </c>
      <c r="D37" s="80">
        <f>IF('EVENT ASSIGNMENT'!D26="","",'EVENT ASSIGNMENT'!D26)</f>
        <v/>
      </c>
      <c r="E37" s="80">
        <f>IF('EVENT ASSIGNMENT'!E26="","",'EVENT ASSIGNMENT'!E26)</f>
        <v/>
      </c>
      <c r="F37" s="227">
        <f>IF('EVENT ASSIGNMENT'!G26="","",'EVENT ASSIGNMENT'!G26)</f>
        <v/>
      </c>
      <c r="G37" s="226">
        <f>IF(E37="",0,SUMIFS('MSR DATA'!$I$2:$I$1001,'MSR DATA'!$D$2:$D$1001,E37))</f>
        <v/>
      </c>
      <c r="H37" s="226">
        <f>IF(E37="",0,SUMIFS('MSR DATA'!$I$2:$I$1001,'MSR DATA'!$D$2:$D$1001,E37,'MSR DATA'!$G$2:$G$1001,"ALCOHOL"))</f>
        <v/>
      </c>
      <c r="I37" s="226">
        <f>G37-H37</f>
        <v/>
      </c>
      <c r="J37" s="226">
        <f>G37*IF(F37="",0,F37)</f>
        <v/>
      </c>
      <c r="K37" s="226">
        <f>I37*IF(F37="",0,F37)*$B$4+H37*IF(F37="",0,F37)*$B$5</f>
        <v/>
      </c>
      <c r="L37" s="80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30">
      <c r="A38" s="225">
        <f>IF('EVENT ASSIGNMENT'!A27="","",'EVENT ASSIGNMENT'!A27)</f>
        <v/>
      </c>
      <c r="B38" s="80">
        <f>IF('EVENT ASSIGNMENT'!F27="","",'EVENT ASSIGNMENT'!F27)</f>
        <v/>
      </c>
      <c r="C38" s="80">
        <f>IF('EVENT ASSIGNMENT'!C27="","",'EVENT ASSIGNMENT'!C27)</f>
        <v/>
      </c>
      <c r="D38" s="80">
        <f>IF('EVENT ASSIGNMENT'!D27="","",'EVENT ASSIGNMENT'!D27)</f>
        <v/>
      </c>
      <c r="E38" s="80">
        <f>IF('EVENT ASSIGNMENT'!E27="","",'EVENT ASSIGNMENT'!E27)</f>
        <v/>
      </c>
      <c r="F38" s="227">
        <f>IF('EVENT ASSIGNMENT'!G27="","",'EVENT ASSIGNMENT'!G27)</f>
        <v/>
      </c>
      <c r="G38" s="226">
        <f>IF(E38="",0,SUMIFS('MSR DATA'!$I$2:$I$1001,'MSR DATA'!$D$2:$D$1001,E38))</f>
        <v/>
      </c>
      <c r="H38" s="226">
        <f>IF(E38="",0,SUMIFS('MSR DATA'!$I$2:$I$1001,'MSR DATA'!$D$2:$D$1001,E38,'MSR DATA'!$G$2:$G$1001,"ALCOHOL"))</f>
        <v/>
      </c>
      <c r="I38" s="226">
        <f>G38-H38</f>
        <v/>
      </c>
      <c r="J38" s="226">
        <f>G38*IF(F38="",0,F38)</f>
        <v/>
      </c>
      <c r="K38" s="226">
        <f>I38*IF(F38="",0,F38)*$B$4+H38*IF(F38="",0,F38)*$B$5</f>
        <v/>
      </c>
      <c r="L38" s="80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30">
      <c r="A39" s="225">
        <f>IF('EVENT ASSIGNMENT'!A28="","",'EVENT ASSIGNMENT'!A28)</f>
        <v/>
      </c>
      <c r="B39" s="80">
        <f>IF('EVENT ASSIGNMENT'!F28="","",'EVENT ASSIGNMENT'!F28)</f>
        <v/>
      </c>
      <c r="C39" s="80">
        <f>IF('EVENT ASSIGNMENT'!C28="","",'EVENT ASSIGNMENT'!C28)</f>
        <v/>
      </c>
      <c r="D39" s="80">
        <f>IF('EVENT ASSIGNMENT'!D28="","",'EVENT ASSIGNMENT'!D28)</f>
        <v/>
      </c>
      <c r="E39" s="80">
        <f>IF('EVENT ASSIGNMENT'!E28="","",'EVENT ASSIGNMENT'!E28)</f>
        <v/>
      </c>
      <c r="F39" s="227">
        <f>IF('EVENT ASSIGNMENT'!G28="","",'EVENT ASSIGNMENT'!G28)</f>
        <v/>
      </c>
      <c r="G39" s="226">
        <f>IF(E39="",0,SUMIFS('MSR DATA'!$I$2:$I$1001,'MSR DATA'!$D$2:$D$1001,E39))</f>
        <v/>
      </c>
      <c r="H39" s="226">
        <f>IF(E39="",0,SUMIFS('MSR DATA'!$I$2:$I$1001,'MSR DATA'!$D$2:$D$1001,E39,'MSR DATA'!$G$2:$G$1001,"ALCOHOL"))</f>
        <v/>
      </c>
      <c r="I39" s="226">
        <f>G39-H39</f>
        <v/>
      </c>
      <c r="J39" s="226">
        <f>G39*IF(F39="",0,F39)</f>
        <v/>
      </c>
      <c r="K39" s="226">
        <f>I39*IF(F39="",0,F39)*$B$4+H39*IF(F39="",0,F39)*$B$5</f>
        <v/>
      </c>
      <c r="L39" s="80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30">
      <c r="A40" s="225">
        <f>IF('EVENT ASSIGNMENT'!A29="","",'EVENT ASSIGNMENT'!A29)</f>
        <v/>
      </c>
      <c r="B40" s="80">
        <f>IF('EVENT ASSIGNMENT'!F29="","",'EVENT ASSIGNMENT'!F29)</f>
        <v/>
      </c>
      <c r="C40" s="80">
        <f>IF('EVENT ASSIGNMENT'!C29="","",'EVENT ASSIGNMENT'!C29)</f>
        <v/>
      </c>
      <c r="D40" s="80">
        <f>IF('EVENT ASSIGNMENT'!D29="","",'EVENT ASSIGNMENT'!D29)</f>
        <v/>
      </c>
      <c r="E40" s="80">
        <f>IF('EVENT ASSIGNMENT'!E29="","",'EVENT ASSIGNMENT'!E29)</f>
        <v/>
      </c>
      <c r="F40" s="227">
        <f>IF('EVENT ASSIGNMENT'!G29="","",'EVENT ASSIGNMENT'!G29)</f>
        <v/>
      </c>
      <c r="G40" s="226">
        <f>IF(E40="",0,SUMIFS('MSR DATA'!$I$2:$I$1001,'MSR DATA'!$D$2:$D$1001,E40))</f>
        <v/>
      </c>
      <c r="H40" s="226">
        <f>IF(E40="",0,SUMIFS('MSR DATA'!$I$2:$I$1001,'MSR DATA'!$D$2:$D$1001,E40,'MSR DATA'!$G$2:$G$1001,"ALCOHOL"))</f>
        <v/>
      </c>
      <c r="I40" s="226">
        <f>G40-H40</f>
        <v/>
      </c>
      <c r="J40" s="226">
        <f>G40*IF(F40="",0,F40)</f>
        <v/>
      </c>
      <c r="K40" s="226">
        <f>I40*IF(F40="",0,F40)*$B$4+H40*IF(F40="",0,F40)*$B$5</f>
        <v/>
      </c>
      <c r="L40" s="80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30">
      <c r="A41" s="225">
        <f>IF('EVENT ASSIGNMENT'!A30="","",'EVENT ASSIGNMENT'!A30)</f>
        <v/>
      </c>
      <c r="B41" s="80">
        <f>IF('EVENT ASSIGNMENT'!F30="","",'EVENT ASSIGNMENT'!F30)</f>
        <v/>
      </c>
      <c r="C41" s="80">
        <f>IF('EVENT ASSIGNMENT'!C30="","",'EVENT ASSIGNMENT'!C30)</f>
        <v/>
      </c>
      <c r="D41" s="80">
        <f>IF('EVENT ASSIGNMENT'!D30="","",'EVENT ASSIGNMENT'!D30)</f>
        <v/>
      </c>
      <c r="E41" s="80">
        <f>IF('EVENT ASSIGNMENT'!E30="","",'EVENT ASSIGNMENT'!E30)</f>
        <v/>
      </c>
      <c r="F41" s="227">
        <f>IF('EVENT ASSIGNMENT'!G30="","",'EVENT ASSIGNMENT'!G30)</f>
        <v/>
      </c>
      <c r="G41" s="226">
        <f>IF(E41="",0,SUMIFS('MSR DATA'!$I$2:$I$1001,'MSR DATA'!$D$2:$D$1001,E41))</f>
        <v/>
      </c>
      <c r="H41" s="226">
        <f>IF(E41="",0,SUMIFS('MSR DATA'!$I$2:$I$1001,'MSR DATA'!$D$2:$D$1001,E41,'MSR DATA'!$G$2:$G$1001,"ALCOHOL"))</f>
        <v/>
      </c>
      <c r="I41" s="226">
        <f>G41-H41</f>
        <v/>
      </c>
      <c r="J41" s="226">
        <f>G41*IF(F41="",0,F41)</f>
        <v/>
      </c>
      <c r="K41" s="226">
        <f>I41*IF(F41="",0,F41)*$B$4+H41*IF(F41="",0,F41)*$B$5</f>
        <v/>
      </c>
      <c r="L41" s="80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30">
      <c r="A42" s="225">
        <f>IF('EVENT ASSIGNMENT'!A31="","",'EVENT ASSIGNMENT'!A31)</f>
        <v/>
      </c>
      <c r="B42" s="80">
        <f>IF('EVENT ASSIGNMENT'!F31="","",'EVENT ASSIGNMENT'!F31)</f>
        <v/>
      </c>
      <c r="C42" s="80">
        <f>IF('EVENT ASSIGNMENT'!C31="","",'EVENT ASSIGNMENT'!C31)</f>
        <v/>
      </c>
      <c r="D42" s="80">
        <f>IF('EVENT ASSIGNMENT'!D31="","",'EVENT ASSIGNMENT'!D31)</f>
        <v/>
      </c>
      <c r="E42" s="80">
        <f>IF('EVENT ASSIGNMENT'!E31="","",'EVENT ASSIGNMENT'!E31)</f>
        <v/>
      </c>
      <c r="F42" s="227">
        <f>IF('EVENT ASSIGNMENT'!G31="","",'EVENT ASSIGNMENT'!G31)</f>
        <v/>
      </c>
      <c r="G42" s="226">
        <f>IF(E42="",0,SUMIFS('MSR DATA'!$I$2:$I$1001,'MSR DATA'!$D$2:$D$1001,E42))</f>
        <v/>
      </c>
      <c r="H42" s="226">
        <f>IF(E42="",0,SUMIFS('MSR DATA'!$I$2:$I$1001,'MSR DATA'!$D$2:$D$1001,E42,'MSR DATA'!$G$2:$G$1001,"ALCOHOL"))</f>
        <v/>
      </c>
      <c r="I42" s="226">
        <f>G42-H42</f>
        <v/>
      </c>
      <c r="J42" s="226">
        <f>G42*IF(F42="",0,F42)</f>
        <v/>
      </c>
      <c r="K42" s="226">
        <f>I42*IF(F42="",0,F42)*$B$4+H42*IF(F42="",0,F42)*$B$5</f>
        <v/>
      </c>
      <c r="L42" s="80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30">
      <c r="A43" s="225">
        <f>IF('EVENT ASSIGNMENT'!A32="","",'EVENT ASSIGNMENT'!A32)</f>
        <v/>
      </c>
      <c r="B43" s="80">
        <f>IF('EVENT ASSIGNMENT'!F32="","",'EVENT ASSIGNMENT'!F32)</f>
        <v/>
      </c>
      <c r="C43" s="80">
        <f>IF('EVENT ASSIGNMENT'!C32="","",'EVENT ASSIGNMENT'!C32)</f>
        <v/>
      </c>
      <c r="D43" s="80">
        <f>IF('EVENT ASSIGNMENT'!D32="","",'EVENT ASSIGNMENT'!D32)</f>
        <v/>
      </c>
      <c r="E43" s="80">
        <f>IF('EVENT ASSIGNMENT'!E32="","",'EVENT ASSIGNMENT'!E32)</f>
        <v/>
      </c>
      <c r="F43" s="227">
        <f>IF('EVENT ASSIGNMENT'!G32="","",'EVENT ASSIGNMENT'!G32)</f>
        <v/>
      </c>
      <c r="G43" s="226">
        <f>IF(E43="",0,SUMIFS('MSR DATA'!$I$2:$I$1001,'MSR DATA'!$D$2:$D$1001,E43))</f>
        <v/>
      </c>
      <c r="H43" s="226">
        <f>IF(E43="",0,SUMIFS('MSR DATA'!$I$2:$I$1001,'MSR DATA'!$D$2:$D$1001,E43,'MSR DATA'!$G$2:$G$1001,"ALCOHOL"))</f>
        <v/>
      </c>
      <c r="I43" s="226">
        <f>G43-H43</f>
        <v/>
      </c>
      <c r="J43" s="226">
        <f>G43*IF(F43="",0,F43)</f>
        <v/>
      </c>
      <c r="K43" s="226">
        <f>I43*IF(F43="",0,F43)*$B$4+H43*IF(F43="",0,F43)*$B$5</f>
        <v/>
      </c>
      <c r="L43" s="80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30">
      <c r="A44" s="225">
        <f>IF('EVENT ASSIGNMENT'!A33="","",'EVENT ASSIGNMENT'!A33)</f>
        <v/>
      </c>
      <c r="B44" s="80">
        <f>IF('EVENT ASSIGNMENT'!F33="","",'EVENT ASSIGNMENT'!F33)</f>
        <v/>
      </c>
      <c r="C44" s="80">
        <f>IF('EVENT ASSIGNMENT'!C33="","",'EVENT ASSIGNMENT'!C33)</f>
        <v/>
      </c>
      <c r="D44" s="80">
        <f>IF('EVENT ASSIGNMENT'!D33="","",'EVENT ASSIGNMENT'!D33)</f>
        <v/>
      </c>
      <c r="E44" s="80">
        <f>IF('EVENT ASSIGNMENT'!E33="","",'EVENT ASSIGNMENT'!E33)</f>
        <v/>
      </c>
      <c r="F44" s="227">
        <f>IF('EVENT ASSIGNMENT'!G33="","",'EVENT ASSIGNMENT'!G33)</f>
        <v/>
      </c>
      <c r="G44" s="226">
        <f>IF(E44="",0,SUMIFS('MSR DATA'!$I$2:$I$1001,'MSR DATA'!$D$2:$D$1001,E44))</f>
        <v/>
      </c>
      <c r="H44" s="226">
        <f>IF(E44="",0,SUMIFS('MSR DATA'!$I$2:$I$1001,'MSR DATA'!$D$2:$D$1001,E44,'MSR DATA'!$G$2:$G$1001,"ALCOHOL"))</f>
        <v/>
      </c>
      <c r="I44" s="226">
        <f>G44-H44</f>
        <v/>
      </c>
      <c r="J44" s="226">
        <f>G44*IF(F44="",0,F44)</f>
        <v/>
      </c>
      <c r="K44" s="226">
        <f>I44*IF(F44="",0,F44)*$B$4+H44*IF(F44="",0,F44)*$B$5</f>
        <v/>
      </c>
      <c r="L44" s="80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30">
      <c r="A45" s="225">
        <f>IF('EVENT ASSIGNMENT'!A34="","",'EVENT ASSIGNMENT'!A34)</f>
        <v/>
      </c>
      <c r="B45" s="80">
        <f>IF('EVENT ASSIGNMENT'!F34="","",'EVENT ASSIGNMENT'!F34)</f>
        <v/>
      </c>
      <c r="C45" s="80">
        <f>IF('EVENT ASSIGNMENT'!C34="","",'EVENT ASSIGNMENT'!C34)</f>
        <v/>
      </c>
      <c r="D45" s="80">
        <f>IF('EVENT ASSIGNMENT'!D34="","",'EVENT ASSIGNMENT'!D34)</f>
        <v/>
      </c>
      <c r="E45" s="80">
        <f>IF('EVENT ASSIGNMENT'!E34="","",'EVENT ASSIGNMENT'!E34)</f>
        <v/>
      </c>
      <c r="F45" s="227">
        <f>IF('EVENT ASSIGNMENT'!G34="","",'EVENT ASSIGNMENT'!G34)</f>
        <v/>
      </c>
      <c r="G45" s="226">
        <f>IF(E45="",0,SUMIFS('MSR DATA'!$I$2:$I$1001,'MSR DATA'!$D$2:$D$1001,E45))</f>
        <v/>
      </c>
      <c r="H45" s="226">
        <f>IF(E45="",0,SUMIFS('MSR DATA'!$I$2:$I$1001,'MSR DATA'!$D$2:$D$1001,E45,'MSR DATA'!$G$2:$G$1001,"ALCOHOL"))</f>
        <v/>
      </c>
      <c r="I45" s="226">
        <f>G45-H45</f>
        <v/>
      </c>
      <c r="J45" s="226">
        <f>G45*IF(F45="",0,F45)</f>
        <v/>
      </c>
      <c r="K45" s="226">
        <f>I45*IF(F45="",0,F45)*$B$4+H45*IF(F45="",0,F45)*$B$5</f>
        <v/>
      </c>
      <c r="L45" s="80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30">
      <c r="A46" s="225">
        <f>IF('EVENT ASSIGNMENT'!A35="","",'EVENT ASSIGNMENT'!A35)</f>
        <v/>
      </c>
      <c r="B46" s="80">
        <f>IF('EVENT ASSIGNMENT'!F35="","",'EVENT ASSIGNMENT'!F35)</f>
        <v/>
      </c>
      <c r="C46" s="80">
        <f>IF('EVENT ASSIGNMENT'!C35="","",'EVENT ASSIGNMENT'!C35)</f>
        <v/>
      </c>
      <c r="D46" s="80">
        <f>IF('EVENT ASSIGNMENT'!D35="","",'EVENT ASSIGNMENT'!D35)</f>
        <v/>
      </c>
      <c r="E46" s="80">
        <f>IF('EVENT ASSIGNMENT'!E35="","",'EVENT ASSIGNMENT'!E35)</f>
        <v/>
      </c>
      <c r="F46" s="227">
        <f>IF('EVENT ASSIGNMENT'!G35="","",'EVENT ASSIGNMENT'!G35)</f>
        <v/>
      </c>
      <c r="G46" s="226">
        <f>IF(E46="",0,SUMIFS('MSR DATA'!$I$2:$I$1001,'MSR DATA'!$D$2:$D$1001,E46))</f>
        <v/>
      </c>
      <c r="H46" s="226">
        <f>IF(E46="",0,SUMIFS('MSR DATA'!$I$2:$I$1001,'MSR DATA'!$D$2:$D$1001,E46,'MSR DATA'!$G$2:$G$1001,"ALCOHOL"))</f>
        <v/>
      </c>
      <c r="I46" s="226">
        <f>G46-H46</f>
        <v/>
      </c>
      <c r="J46" s="226">
        <f>G46*IF(F46="",0,F46)</f>
        <v/>
      </c>
      <c r="K46" s="226">
        <f>I46*IF(F46="",0,F46)*$B$4+H46*IF(F46="",0,F46)*$B$5</f>
        <v/>
      </c>
      <c r="L46" s="80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30">
      <c r="A47" s="225">
        <f>IF('EVENT ASSIGNMENT'!A36="","",'EVENT ASSIGNMENT'!A36)</f>
        <v/>
      </c>
      <c r="B47" s="80">
        <f>IF('EVENT ASSIGNMENT'!F36="","",'EVENT ASSIGNMENT'!F36)</f>
        <v/>
      </c>
      <c r="C47" s="80">
        <f>IF('EVENT ASSIGNMENT'!C36="","",'EVENT ASSIGNMENT'!C36)</f>
        <v/>
      </c>
      <c r="D47" s="80">
        <f>IF('EVENT ASSIGNMENT'!D36="","",'EVENT ASSIGNMENT'!D36)</f>
        <v/>
      </c>
      <c r="E47" s="80">
        <f>IF('EVENT ASSIGNMENT'!E36="","",'EVENT ASSIGNMENT'!E36)</f>
        <v/>
      </c>
      <c r="F47" s="227">
        <f>IF('EVENT ASSIGNMENT'!G36="","",'EVENT ASSIGNMENT'!G36)</f>
        <v/>
      </c>
      <c r="G47" s="226">
        <f>IF(E47="",0,SUMIFS('MSR DATA'!$I$2:$I$1001,'MSR DATA'!$D$2:$D$1001,E47))</f>
        <v/>
      </c>
      <c r="H47" s="226">
        <f>IF(E47="",0,SUMIFS('MSR DATA'!$I$2:$I$1001,'MSR DATA'!$D$2:$D$1001,E47,'MSR DATA'!$G$2:$G$1001,"ALCOHOL"))</f>
        <v/>
      </c>
      <c r="I47" s="226">
        <f>G47-H47</f>
        <v/>
      </c>
      <c r="J47" s="226">
        <f>G47*IF(F47="",0,F47)</f>
        <v/>
      </c>
      <c r="K47" s="226">
        <f>I47*IF(F47="",0,F47)*$B$4+H47*IF(F47="",0,F47)*$B$5</f>
        <v/>
      </c>
      <c r="L47" s="80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30">
      <c r="A48" s="225">
        <f>IF('EVENT ASSIGNMENT'!A37="","",'EVENT ASSIGNMENT'!A37)</f>
        <v/>
      </c>
      <c r="B48" s="80">
        <f>IF('EVENT ASSIGNMENT'!F37="","",'EVENT ASSIGNMENT'!F37)</f>
        <v/>
      </c>
      <c r="C48" s="80">
        <f>IF('EVENT ASSIGNMENT'!C37="","",'EVENT ASSIGNMENT'!C37)</f>
        <v/>
      </c>
      <c r="D48" s="80">
        <f>IF('EVENT ASSIGNMENT'!D37="","",'EVENT ASSIGNMENT'!D37)</f>
        <v/>
      </c>
      <c r="E48" s="80">
        <f>IF('EVENT ASSIGNMENT'!E37="","",'EVENT ASSIGNMENT'!E37)</f>
        <v/>
      </c>
      <c r="F48" s="227">
        <f>IF('EVENT ASSIGNMENT'!G37="","",'EVENT ASSIGNMENT'!G37)</f>
        <v/>
      </c>
      <c r="G48" s="226">
        <f>IF(E48="",0,SUMIFS('MSR DATA'!$I$2:$I$1001,'MSR DATA'!$D$2:$D$1001,E48))</f>
        <v/>
      </c>
      <c r="H48" s="226">
        <f>IF(E48="",0,SUMIFS('MSR DATA'!$I$2:$I$1001,'MSR DATA'!$D$2:$D$1001,E48,'MSR DATA'!$G$2:$G$1001,"ALCOHOL"))</f>
        <v/>
      </c>
      <c r="I48" s="226">
        <f>G48-H48</f>
        <v/>
      </c>
      <c r="J48" s="226">
        <f>G48*IF(F48="",0,F48)</f>
        <v/>
      </c>
      <c r="K48" s="226">
        <f>I48*IF(F48="",0,F48)*$B$4+H48*IF(F48="",0,F48)*$B$5</f>
        <v/>
      </c>
      <c r="L48" s="80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30">
      <c r="A49" s="225">
        <f>IF('EVENT ASSIGNMENT'!A38="","",'EVENT ASSIGNMENT'!A38)</f>
        <v/>
      </c>
      <c r="B49" s="80">
        <f>IF('EVENT ASSIGNMENT'!F38="","",'EVENT ASSIGNMENT'!F38)</f>
        <v/>
      </c>
      <c r="C49" s="80">
        <f>IF('EVENT ASSIGNMENT'!C38="","",'EVENT ASSIGNMENT'!C38)</f>
        <v/>
      </c>
      <c r="D49" s="80">
        <f>IF('EVENT ASSIGNMENT'!D38="","",'EVENT ASSIGNMENT'!D38)</f>
        <v/>
      </c>
      <c r="E49" s="80">
        <f>IF('EVENT ASSIGNMENT'!E38="","",'EVENT ASSIGNMENT'!E38)</f>
        <v/>
      </c>
      <c r="F49" s="227">
        <f>IF('EVENT ASSIGNMENT'!G38="","",'EVENT ASSIGNMENT'!G38)</f>
        <v/>
      </c>
      <c r="G49" s="226">
        <f>IF(E49="",0,SUMIFS('MSR DATA'!$I$2:$I$1001,'MSR DATA'!$D$2:$D$1001,E49))</f>
        <v/>
      </c>
      <c r="H49" s="226">
        <f>IF(E49="",0,SUMIFS('MSR DATA'!$I$2:$I$1001,'MSR DATA'!$D$2:$D$1001,E49,'MSR DATA'!$G$2:$G$1001,"ALCOHOL"))</f>
        <v/>
      </c>
      <c r="I49" s="226">
        <f>G49-H49</f>
        <v/>
      </c>
      <c r="J49" s="226">
        <f>G49*IF(F49="",0,F49)</f>
        <v/>
      </c>
      <c r="K49" s="226">
        <f>I49*IF(F49="",0,F49)*$B$4+H49*IF(F49="",0,F49)*$B$5</f>
        <v/>
      </c>
      <c r="L49" s="80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30">
      <c r="A50" s="225">
        <f>IF('EVENT ASSIGNMENT'!A39="","",'EVENT ASSIGNMENT'!A39)</f>
        <v/>
      </c>
      <c r="B50" s="80">
        <f>IF('EVENT ASSIGNMENT'!F39="","",'EVENT ASSIGNMENT'!F39)</f>
        <v/>
      </c>
      <c r="C50" s="80">
        <f>IF('EVENT ASSIGNMENT'!C39="","",'EVENT ASSIGNMENT'!C39)</f>
        <v/>
      </c>
      <c r="D50" s="80">
        <f>IF('EVENT ASSIGNMENT'!D39="","",'EVENT ASSIGNMENT'!D39)</f>
        <v/>
      </c>
      <c r="E50" s="80">
        <f>IF('EVENT ASSIGNMENT'!E39="","",'EVENT ASSIGNMENT'!E39)</f>
        <v/>
      </c>
      <c r="F50" s="227">
        <f>IF('EVENT ASSIGNMENT'!G39="","",'EVENT ASSIGNMENT'!G39)</f>
        <v/>
      </c>
      <c r="G50" s="226">
        <f>IF(E50="",0,SUMIFS('MSR DATA'!$I$2:$I$1001,'MSR DATA'!$D$2:$D$1001,E50))</f>
        <v/>
      </c>
      <c r="H50" s="226">
        <f>IF(E50="",0,SUMIFS('MSR DATA'!$I$2:$I$1001,'MSR DATA'!$D$2:$D$1001,E50,'MSR DATA'!$G$2:$G$1001,"ALCOHOL"))</f>
        <v/>
      </c>
      <c r="I50" s="226">
        <f>G50-H50</f>
        <v/>
      </c>
      <c r="J50" s="226">
        <f>G50*IF(F50="",0,F50)</f>
        <v/>
      </c>
      <c r="K50" s="226">
        <f>I50*IF(F50="",0,F50)*$B$4+H50*IF(F50="",0,F50)*$B$5</f>
        <v/>
      </c>
      <c r="L50" s="80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30">
      <c r="A51" s="225">
        <f>IF('EVENT ASSIGNMENT'!A40="","",'EVENT ASSIGNMENT'!A40)</f>
        <v/>
      </c>
      <c r="B51" s="80">
        <f>IF('EVENT ASSIGNMENT'!F40="","",'EVENT ASSIGNMENT'!F40)</f>
        <v/>
      </c>
      <c r="C51" s="80">
        <f>IF('EVENT ASSIGNMENT'!C40="","",'EVENT ASSIGNMENT'!C40)</f>
        <v/>
      </c>
      <c r="D51" s="80">
        <f>IF('EVENT ASSIGNMENT'!D40="","",'EVENT ASSIGNMENT'!D40)</f>
        <v/>
      </c>
      <c r="E51" s="80">
        <f>IF('EVENT ASSIGNMENT'!E40="","",'EVENT ASSIGNMENT'!E40)</f>
        <v/>
      </c>
      <c r="F51" s="227">
        <f>IF('EVENT ASSIGNMENT'!G40="","",'EVENT ASSIGNMENT'!G40)</f>
        <v/>
      </c>
      <c r="G51" s="226">
        <f>IF(E51="",0,SUMIFS('MSR DATA'!$I$2:$I$1001,'MSR DATA'!$D$2:$D$1001,E51))</f>
        <v/>
      </c>
      <c r="H51" s="226">
        <f>IF(E51="",0,SUMIFS('MSR DATA'!$I$2:$I$1001,'MSR DATA'!$D$2:$D$1001,E51,'MSR DATA'!$G$2:$G$1001,"ALCOHOL"))</f>
        <v/>
      </c>
      <c r="I51" s="226">
        <f>G51-H51</f>
        <v/>
      </c>
      <c r="J51" s="226">
        <f>G51*IF(F51="",0,F51)</f>
        <v/>
      </c>
      <c r="K51" s="226">
        <f>I51*IF(F51="",0,F51)*$B$4+H51*IF(F51="",0,F51)*$B$5</f>
        <v/>
      </c>
      <c r="L51" s="80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30">
      <c r="A52" s="225">
        <f>IF('EVENT ASSIGNMENT'!A41="","",'EVENT ASSIGNMENT'!A41)</f>
        <v/>
      </c>
      <c r="B52" s="80">
        <f>IF('EVENT ASSIGNMENT'!F41="","",'EVENT ASSIGNMENT'!F41)</f>
        <v/>
      </c>
      <c r="C52" s="80">
        <f>IF('EVENT ASSIGNMENT'!C41="","",'EVENT ASSIGNMENT'!C41)</f>
        <v/>
      </c>
      <c r="D52" s="80">
        <f>IF('EVENT ASSIGNMENT'!D41="","",'EVENT ASSIGNMENT'!D41)</f>
        <v/>
      </c>
      <c r="E52" s="80">
        <f>IF('EVENT ASSIGNMENT'!E41="","",'EVENT ASSIGNMENT'!E41)</f>
        <v/>
      </c>
      <c r="F52" s="227">
        <f>IF('EVENT ASSIGNMENT'!G41="","",'EVENT ASSIGNMENT'!G41)</f>
        <v/>
      </c>
      <c r="G52" s="226">
        <f>IF(E52="",0,SUMIFS('MSR DATA'!$I$2:$I$1001,'MSR DATA'!$D$2:$D$1001,E52))</f>
        <v/>
      </c>
      <c r="H52" s="226">
        <f>IF(E52="",0,SUMIFS('MSR DATA'!$I$2:$I$1001,'MSR DATA'!$D$2:$D$1001,E52,'MSR DATA'!$G$2:$G$1001,"ALCOHOL"))</f>
        <v/>
      </c>
      <c r="I52" s="226">
        <f>G52-H52</f>
        <v/>
      </c>
      <c r="J52" s="226">
        <f>G52*IF(F52="",0,F52)</f>
        <v/>
      </c>
      <c r="K52" s="226">
        <f>I52*IF(F52="",0,F52)*$B$4+H52*IF(F52="",0,F52)*$B$5</f>
        <v/>
      </c>
      <c r="L52" s="80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30">
      <c r="A53" s="225">
        <f>IF('EVENT ASSIGNMENT'!A42="","",'EVENT ASSIGNMENT'!A42)</f>
        <v/>
      </c>
      <c r="B53" s="80">
        <f>IF('EVENT ASSIGNMENT'!F42="","",'EVENT ASSIGNMENT'!F42)</f>
        <v/>
      </c>
      <c r="C53" s="80">
        <f>IF('EVENT ASSIGNMENT'!C42="","",'EVENT ASSIGNMENT'!C42)</f>
        <v/>
      </c>
      <c r="D53" s="80">
        <f>IF('EVENT ASSIGNMENT'!D42="","",'EVENT ASSIGNMENT'!D42)</f>
        <v/>
      </c>
      <c r="E53" s="80">
        <f>IF('EVENT ASSIGNMENT'!E42="","",'EVENT ASSIGNMENT'!E42)</f>
        <v/>
      </c>
      <c r="F53" s="227">
        <f>IF('EVENT ASSIGNMENT'!G42="","",'EVENT ASSIGNMENT'!G42)</f>
        <v/>
      </c>
      <c r="G53" s="226">
        <f>IF(E53="",0,SUMIFS('MSR DATA'!$I$2:$I$1001,'MSR DATA'!$D$2:$D$1001,E53))</f>
        <v/>
      </c>
      <c r="H53" s="226">
        <f>IF(E53="",0,SUMIFS('MSR DATA'!$I$2:$I$1001,'MSR DATA'!$D$2:$D$1001,E53,'MSR DATA'!$G$2:$G$1001,"ALCOHOL"))</f>
        <v/>
      </c>
      <c r="I53" s="226">
        <f>G53-H53</f>
        <v/>
      </c>
      <c r="J53" s="226">
        <f>G53*IF(F53="",0,F53)</f>
        <v/>
      </c>
      <c r="K53" s="226">
        <f>I53*IF(F53="",0,F53)*$B$4+H53*IF(F53="",0,F53)*$B$5</f>
        <v/>
      </c>
      <c r="L53" s="80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30">
      <c r="A54" s="225">
        <f>IF('EVENT ASSIGNMENT'!A43="","",'EVENT ASSIGNMENT'!A43)</f>
        <v/>
      </c>
      <c r="B54" s="80">
        <f>IF('EVENT ASSIGNMENT'!F43="","",'EVENT ASSIGNMENT'!F43)</f>
        <v/>
      </c>
      <c r="C54" s="80">
        <f>IF('EVENT ASSIGNMENT'!C43="","",'EVENT ASSIGNMENT'!C43)</f>
        <v/>
      </c>
      <c r="D54" s="80">
        <f>IF('EVENT ASSIGNMENT'!D43="","",'EVENT ASSIGNMENT'!D43)</f>
        <v/>
      </c>
      <c r="E54" s="80">
        <f>IF('EVENT ASSIGNMENT'!E43="","",'EVENT ASSIGNMENT'!E43)</f>
        <v/>
      </c>
      <c r="F54" s="227">
        <f>IF('EVENT ASSIGNMENT'!G43="","",'EVENT ASSIGNMENT'!G43)</f>
        <v/>
      </c>
      <c r="G54" s="226">
        <f>IF(E54="",0,SUMIFS('MSR DATA'!$I$2:$I$1001,'MSR DATA'!$D$2:$D$1001,E54))</f>
        <v/>
      </c>
      <c r="H54" s="226">
        <f>IF(E54="",0,SUMIFS('MSR DATA'!$I$2:$I$1001,'MSR DATA'!$D$2:$D$1001,E54,'MSR DATA'!$G$2:$G$1001,"ALCOHOL"))</f>
        <v/>
      </c>
      <c r="I54" s="226">
        <f>G54-H54</f>
        <v/>
      </c>
      <c r="J54" s="226">
        <f>G54*IF(F54="",0,F54)</f>
        <v/>
      </c>
      <c r="K54" s="226">
        <f>I54*IF(F54="",0,F54)*$B$4+H54*IF(F54="",0,F54)*$B$5</f>
        <v/>
      </c>
      <c r="L54" s="80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30">
      <c r="A55" s="225">
        <f>IF('EVENT ASSIGNMENT'!A44="","",'EVENT ASSIGNMENT'!A44)</f>
        <v/>
      </c>
      <c r="B55" s="80">
        <f>IF('EVENT ASSIGNMENT'!F44="","",'EVENT ASSIGNMENT'!F44)</f>
        <v/>
      </c>
      <c r="C55" s="80">
        <f>IF('EVENT ASSIGNMENT'!C44="","",'EVENT ASSIGNMENT'!C44)</f>
        <v/>
      </c>
      <c r="D55" s="80">
        <f>IF('EVENT ASSIGNMENT'!D44="","",'EVENT ASSIGNMENT'!D44)</f>
        <v/>
      </c>
      <c r="E55" s="80">
        <f>IF('EVENT ASSIGNMENT'!E44="","",'EVENT ASSIGNMENT'!E44)</f>
        <v/>
      </c>
      <c r="F55" s="227">
        <f>IF('EVENT ASSIGNMENT'!G44="","",'EVENT ASSIGNMENT'!G44)</f>
        <v/>
      </c>
      <c r="G55" s="226">
        <f>IF(E55="",0,SUMIFS('MSR DATA'!$I$2:$I$1001,'MSR DATA'!$D$2:$D$1001,E55))</f>
        <v/>
      </c>
      <c r="H55" s="226">
        <f>IF(E55="",0,SUMIFS('MSR DATA'!$I$2:$I$1001,'MSR DATA'!$D$2:$D$1001,E55,'MSR DATA'!$G$2:$G$1001,"ALCOHOL"))</f>
        <v/>
      </c>
      <c r="I55" s="226">
        <f>G55-H55</f>
        <v/>
      </c>
      <c r="J55" s="226">
        <f>G55*IF(F55="",0,F55)</f>
        <v/>
      </c>
      <c r="K55" s="226">
        <f>I55*IF(F55="",0,F55)*$B$4+H55*IF(F55="",0,F55)*$B$5</f>
        <v/>
      </c>
      <c r="L55" s="80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30">
      <c r="A56" s="225">
        <f>IF('EVENT ASSIGNMENT'!A45="","",'EVENT ASSIGNMENT'!A45)</f>
        <v/>
      </c>
      <c r="B56" s="80">
        <f>IF('EVENT ASSIGNMENT'!F45="","",'EVENT ASSIGNMENT'!F45)</f>
        <v/>
      </c>
      <c r="C56" s="80">
        <f>IF('EVENT ASSIGNMENT'!C45="","",'EVENT ASSIGNMENT'!C45)</f>
        <v/>
      </c>
      <c r="D56" s="80">
        <f>IF('EVENT ASSIGNMENT'!D45="","",'EVENT ASSIGNMENT'!D45)</f>
        <v/>
      </c>
      <c r="E56" s="80">
        <f>IF('EVENT ASSIGNMENT'!E45="","",'EVENT ASSIGNMENT'!E45)</f>
        <v/>
      </c>
      <c r="F56" s="227">
        <f>IF('EVENT ASSIGNMENT'!G45="","",'EVENT ASSIGNMENT'!G45)</f>
        <v/>
      </c>
      <c r="G56" s="226">
        <f>IF(E56="",0,SUMIFS('MSR DATA'!$I$2:$I$1001,'MSR DATA'!$D$2:$D$1001,E56))</f>
        <v/>
      </c>
      <c r="H56" s="226">
        <f>IF(E56="",0,SUMIFS('MSR DATA'!$I$2:$I$1001,'MSR DATA'!$D$2:$D$1001,E56,'MSR DATA'!$G$2:$G$1001,"ALCOHOL"))</f>
        <v/>
      </c>
      <c r="I56" s="226">
        <f>G56-H56</f>
        <v/>
      </c>
      <c r="J56" s="226">
        <f>G56*IF(F56="",0,F56)</f>
        <v/>
      </c>
      <c r="K56" s="226">
        <f>I56*IF(F56="",0,F56)*$B$4+H56*IF(F56="",0,F56)*$B$5</f>
        <v/>
      </c>
      <c r="L56" s="80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30">
      <c r="A57" s="225">
        <f>IF('EVENT ASSIGNMENT'!A46="","",'EVENT ASSIGNMENT'!A46)</f>
        <v/>
      </c>
      <c r="B57" s="80">
        <f>IF('EVENT ASSIGNMENT'!F46="","",'EVENT ASSIGNMENT'!F46)</f>
        <v/>
      </c>
      <c r="C57" s="80">
        <f>IF('EVENT ASSIGNMENT'!C46="","",'EVENT ASSIGNMENT'!C46)</f>
        <v/>
      </c>
      <c r="D57" s="80">
        <f>IF('EVENT ASSIGNMENT'!D46="","",'EVENT ASSIGNMENT'!D46)</f>
        <v/>
      </c>
      <c r="E57" s="80">
        <f>IF('EVENT ASSIGNMENT'!E46="","",'EVENT ASSIGNMENT'!E46)</f>
        <v/>
      </c>
      <c r="F57" s="227">
        <f>IF('EVENT ASSIGNMENT'!G46="","",'EVENT ASSIGNMENT'!G46)</f>
        <v/>
      </c>
      <c r="G57" s="226">
        <f>IF(E57="",0,SUMIFS('MSR DATA'!$I$2:$I$1001,'MSR DATA'!$D$2:$D$1001,E57))</f>
        <v/>
      </c>
      <c r="H57" s="226">
        <f>IF(E57="",0,SUMIFS('MSR DATA'!$I$2:$I$1001,'MSR DATA'!$D$2:$D$1001,E57,'MSR DATA'!$G$2:$G$1001,"ALCOHOL"))</f>
        <v/>
      </c>
      <c r="I57" s="226">
        <f>G57-H57</f>
        <v/>
      </c>
      <c r="J57" s="226">
        <f>G57*IF(F57="",0,F57)</f>
        <v/>
      </c>
      <c r="K57" s="226">
        <f>I57*IF(F57="",0,F57)*$B$4+H57*IF(F57="",0,F57)*$B$5</f>
        <v/>
      </c>
      <c r="L57" s="80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30">
      <c r="A58" s="225">
        <f>IF('EVENT ASSIGNMENT'!A47="","",'EVENT ASSIGNMENT'!A47)</f>
        <v/>
      </c>
      <c r="B58" s="80">
        <f>IF('EVENT ASSIGNMENT'!F47="","",'EVENT ASSIGNMENT'!F47)</f>
        <v/>
      </c>
      <c r="C58" s="80">
        <f>IF('EVENT ASSIGNMENT'!C47="","",'EVENT ASSIGNMENT'!C47)</f>
        <v/>
      </c>
      <c r="D58" s="80">
        <f>IF('EVENT ASSIGNMENT'!D47="","",'EVENT ASSIGNMENT'!D47)</f>
        <v/>
      </c>
      <c r="E58" s="80">
        <f>IF('EVENT ASSIGNMENT'!E47="","",'EVENT ASSIGNMENT'!E47)</f>
        <v/>
      </c>
      <c r="F58" s="227">
        <f>IF('EVENT ASSIGNMENT'!G47="","",'EVENT ASSIGNMENT'!G47)</f>
        <v/>
      </c>
      <c r="G58" s="226">
        <f>IF(E58="",0,SUMIFS('MSR DATA'!$I$2:$I$1001,'MSR DATA'!$D$2:$D$1001,E58))</f>
        <v/>
      </c>
      <c r="H58" s="226">
        <f>IF(E58="",0,SUMIFS('MSR DATA'!$I$2:$I$1001,'MSR DATA'!$D$2:$D$1001,E58,'MSR DATA'!$G$2:$G$1001,"ALCOHOL"))</f>
        <v/>
      </c>
      <c r="I58" s="226">
        <f>G58-H58</f>
        <v/>
      </c>
      <c r="J58" s="226">
        <f>G58*IF(F58="",0,F58)</f>
        <v/>
      </c>
      <c r="K58" s="226">
        <f>I58*IF(F58="",0,F58)*$B$4+H58*IF(F58="",0,F58)*$B$5</f>
        <v/>
      </c>
      <c r="L58" s="80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30">
      <c r="A59" s="225">
        <f>IF('EVENT ASSIGNMENT'!A48="","",'EVENT ASSIGNMENT'!A48)</f>
        <v/>
      </c>
      <c r="B59" s="80">
        <f>IF('EVENT ASSIGNMENT'!F48="","",'EVENT ASSIGNMENT'!F48)</f>
        <v/>
      </c>
      <c r="C59" s="80">
        <f>IF('EVENT ASSIGNMENT'!C48="","",'EVENT ASSIGNMENT'!C48)</f>
        <v/>
      </c>
      <c r="D59" s="80">
        <f>IF('EVENT ASSIGNMENT'!D48="","",'EVENT ASSIGNMENT'!D48)</f>
        <v/>
      </c>
      <c r="E59" s="80">
        <f>IF('EVENT ASSIGNMENT'!E48="","",'EVENT ASSIGNMENT'!E48)</f>
        <v/>
      </c>
      <c r="F59" s="227">
        <f>IF('EVENT ASSIGNMENT'!G48="","",'EVENT ASSIGNMENT'!G48)</f>
        <v/>
      </c>
      <c r="G59" s="226">
        <f>IF(E59="",0,SUMIFS('MSR DATA'!$I$2:$I$1001,'MSR DATA'!$D$2:$D$1001,E59))</f>
        <v/>
      </c>
      <c r="H59" s="226">
        <f>IF(E59="",0,SUMIFS('MSR DATA'!$I$2:$I$1001,'MSR DATA'!$D$2:$D$1001,E59,'MSR DATA'!$G$2:$G$1001,"ALCOHOL"))</f>
        <v/>
      </c>
      <c r="I59" s="226">
        <f>G59-H59</f>
        <v/>
      </c>
      <c r="J59" s="226">
        <f>G59*IF(F59="",0,F59)</f>
        <v/>
      </c>
      <c r="K59" s="226">
        <f>I59*IF(F59="",0,F59)*$B$4+H59*IF(F59="",0,F59)*$B$5</f>
        <v/>
      </c>
      <c r="L59" s="80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30">
      <c r="A60" s="225">
        <f>IF('EVENT ASSIGNMENT'!A49="","",'EVENT ASSIGNMENT'!A49)</f>
        <v/>
      </c>
      <c r="B60" s="80">
        <f>IF('EVENT ASSIGNMENT'!F49="","",'EVENT ASSIGNMENT'!F49)</f>
        <v/>
      </c>
      <c r="C60" s="80">
        <f>IF('EVENT ASSIGNMENT'!C49="","",'EVENT ASSIGNMENT'!C49)</f>
        <v/>
      </c>
      <c r="D60" s="80">
        <f>IF('EVENT ASSIGNMENT'!D49="","",'EVENT ASSIGNMENT'!D49)</f>
        <v/>
      </c>
      <c r="E60" s="80">
        <f>IF('EVENT ASSIGNMENT'!E49="","",'EVENT ASSIGNMENT'!E49)</f>
        <v/>
      </c>
      <c r="F60" s="227">
        <f>IF('EVENT ASSIGNMENT'!G49="","",'EVENT ASSIGNMENT'!G49)</f>
        <v/>
      </c>
      <c r="G60" s="226">
        <f>IF(E60="",0,SUMIFS('MSR DATA'!$I$2:$I$1001,'MSR DATA'!$D$2:$D$1001,E60))</f>
        <v/>
      </c>
      <c r="H60" s="226">
        <f>IF(E60="",0,SUMIFS('MSR DATA'!$I$2:$I$1001,'MSR DATA'!$D$2:$D$1001,E60,'MSR DATA'!$G$2:$G$1001,"ALCOHOL"))</f>
        <v/>
      </c>
      <c r="I60" s="226">
        <f>G60-H60</f>
        <v/>
      </c>
      <c r="J60" s="226">
        <f>G60*IF(F60="",0,F60)</f>
        <v/>
      </c>
      <c r="K60" s="226">
        <f>I60*IF(F60="",0,F60)*$B$4+H60*IF(F60="",0,F60)*$B$5</f>
        <v/>
      </c>
      <c r="L60" s="80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30">
      <c r="A61" s="225">
        <f>IF('EVENT ASSIGNMENT'!A50="","",'EVENT ASSIGNMENT'!A50)</f>
        <v/>
      </c>
      <c r="B61" s="80">
        <f>IF('EVENT ASSIGNMENT'!F50="","",'EVENT ASSIGNMENT'!F50)</f>
        <v/>
      </c>
      <c r="C61" s="80">
        <f>IF('EVENT ASSIGNMENT'!C50="","",'EVENT ASSIGNMENT'!C50)</f>
        <v/>
      </c>
      <c r="D61" s="80">
        <f>IF('EVENT ASSIGNMENT'!D50="","",'EVENT ASSIGNMENT'!D50)</f>
        <v/>
      </c>
      <c r="E61" s="80">
        <f>IF('EVENT ASSIGNMENT'!E50="","",'EVENT ASSIGNMENT'!E50)</f>
        <v/>
      </c>
      <c r="F61" s="227">
        <f>IF('EVENT ASSIGNMENT'!G50="","",'EVENT ASSIGNMENT'!G50)</f>
        <v/>
      </c>
      <c r="G61" s="226">
        <f>IF(E61="",0,SUMIFS('MSR DATA'!$I$2:$I$1001,'MSR DATA'!$D$2:$D$1001,E61))</f>
        <v/>
      </c>
      <c r="H61" s="226">
        <f>IF(E61="",0,SUMIFS('MSR DATA'!$I$2:$I$1001,'MSR DATA'!$D$2:$D$1001,E61,'MSR DATA'!$G$2:$G$1001,"ALCOHOL"))</f>
        <v/>
      </c>
      <c r="I61" s="226">
        <f>G61-H61</f>
        <v/>
      </c>
      <c r="J61" s="226">
        <f>G61*IF(F61="",0,F61)</f>
        <v/>
      </c>
      <c r="K61" s="226">
        <f>I61*IF(F61="",0,F61)*$B$4+H61*IF(F61="",0,F61)*$B$5</f>
        <v/>
      </c>
      <c r="L61" s="80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30">
      <c r="A62" s="225">
        <f>IF('EVENT ASSIGNMENT'!A51="","",'EVENT ASSIGNMENT'!A51)</f>
        <v/>
      </c>
      <c r="B62" s="80">
        <f>IF('EVENT ASSIGNMENT'!F51="","",'EVENT ASSIGNMENT'!F51)</f>
        <v/>
      </c>
      <c r="C62" s="80">
        <f>IF('EVENT ASSIGNMENT'!C51="","",'EVENT ASSIGNMENT'!C51)</f>
        <v/>
      </c>
      <c r="D62" s="80">
        <f>IF('EVENT ASSIGNMENT'!D51="","",'EVENT ASSIGNMENT'!D51)</f>
        <v/>
      </c>
      <c r="E62" s="80">
        <f>IF('EVENT ASSIGNMENT'!E51="","",'EVENT ASSIGNMENT'!E51)</f>
        <v/>
      </c>
      <c r="F62" s="227">
        <f>IF('EVENT ASSIGNMENT'!G51="","",'EVENT ASSIGNMENT'!G51)</f>
        <v/>
      </c>
      <c r="G62" s="226">
        <f>IF(E62="",0,SUMIFS('MSR DATA'!$I$2:$I$1001,'MSR DATA'!$D$2:$D$1001,E62))</f>
        <v/>
      </c>
      <c r="H62" s="226">
        <f>IF(E62="",0,SUMIFS('MSR DATA'!$I$2:$I$1001,'MSR DATA'!$D$2:$D$1001,E62,'MSR DATA'!$G$2:$G$1001,"ALCOHOL"))</f>
        <v/>
      </c>
      <c r="I62" s="226">
        <f>G62-H62</f>
        <v/>
      </c>
      <c r="J62" s="226">
        <f>G62*IF(F62="",0,F62)</f>
        <v/>
      </c>
      <c r="K62" s="226">
        <f>I62*IF(F62="",0,F62)*$B$4+H62*IF(F62="",0,F62)*$B$5</f>
        <v/>
      </c>
      <c r="L62" s="80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30">
      <c r="A63" s="225">
        <f>IF('EVENT ASSIGNMENT'!A52="","",'EVENT ASSIGNMENT'!A52)</f>
        <v/>
      </c>
      <c r="B63" s="80">
        <f>IF('EVENT ASSIGNMENT'!F52="","",'EVENT ASSIGNMENT'!F52)</f>
        <v/>
      </c>
      <c r="C63" s="80">
        <f>IF('EVENT ASSIGNMENT'!C52="","",'EVENT ASSIGNMENT'!C52)</f>
        <v/>
      </c>
      <c r="D63" s="80">
        <f>IF('EVENT ASSIGNMENT'!D52="","",'EVENT ASSIGNMENT'!D52)</f>
        <v/>
      </c>
      <c r="E63" s="80">
        <f>IF('EVENT ASSIGNMENT'!E52="","",'EVENT ASSIGNMENT'!E52)</f>
        <v/>
      </c>
      <c r="F63" s="227">
        <f>IF('EVENT ASSIGNMENT'!G52="","",'EVENT ASSIGNMENT'!G52)</f>
        <v/>
      </c>
      <c r="G63" s="226">
        <f>IF(E63="",0,SUMIFS('MSR DATA'!$I$2:$I$1001,'MSR DATA'!$D$2:$D$1001,E63))</f>
        <v/>
      </c>
      <c r="H63" s="226">
        <f>IF(E63="",0,SUMIFS('MSR DATA'!$I$2:$I$1001,'MSR DATA'!$D$2:$D$1001,E63,'MSR DATA'!$G$2:$G$1001,"ALCOHOL"))</f>
        <v/>
      </c>
      <c r="I63" s="226">
        <f>G63-H63</f>
        <v/>
      </c>
      <c r="J63" s="226">
        <f>G63*IF(F63="",0,F63)</f>
        <v/>
      </c>
      <c r="K63" s="226">
        <f>I63*IF(F63="",0,F63)*$B$4+H63*IF(F63="",0,F63)*$B$5</f>
        <v/>
      </c>
      <c r="L63" s="80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30">
      <c r="A64" s="225">
        <f>IF('EVENT ASSIGNMENT'!A53="","",'EVENT ASSIGNMENT'!A53)</f>
        <v/>
      </c>
      <c r="B64" s="80">
        <f>IF('EVENT ASSIGNMENT'!F53="","",'EVENT ASSIGNMENT'!F53)</f>
        <v/>
      </c>
      <c r="C64" s="80">
        <f>IF('EVENT ASSIGNMENT'!C53="","",'EVENT ASSIGNMENT'!C53)</f>
        <v/>
      </c>
      <c r="D64" s="80">
        <f>IF('EVENT ASSIGNMENT'!D53="","",'EVENT ASSIGNMENT'!D53)</f>
        <v/>
      </c>
      <c r="E64" s="80">
        <f>IF('EVENT ASSIGNMENT'!E53="","",'EVENT ASSIGNMENT'!E53)</f>
        <v/>
      </c>
      <c r="F64" s="227">
        <f>IF('EVENT ASSIGNMENT'!G53="","",'EVENT ASSIGNMENT'!G53)</f>
        <v/>
      </c>
      <c r="G64" s="226">
        <f>IF(E64="",0,SUMIFS('MSR DATA'!$I$2:$I$1001,'MSR DATA'!$D$2:$D$1001,E64))</f>
        <v/>
      </c>
      <c r="H64" s="226">
        <f>IF(E64="",0,SUMIFS('MSR DATA'!$I$2:$I$1001,'MSR DATA'!$D$2:$D$1001,E64,'MSR DATA'!$G$2:$G$1001,"ALCOHOL"))</f>
        <v/>
      </c>
      <c r="I64" s="226">
        <f>G64-H64</f>
        <v/>
      </c>
      <c r="J64" s="226">
        <f>G64*IF(F64="",0,F64)</f>
        <v/>
      </c>
      <c r="K64" s="226">
        <f>I64*IF(F64="",0,F64)*$B$4+H64*IF(F64="",0,F64)*$B$5</f>
        <v/>
      </c>
      <c r="L64" s="80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30">
      <c r="A65" s="225">
        <f>IF('EVENT ASSIGNMENT'!A54="","",'EVENT ASSIGNMENT'!A54)</f>
        <v/>
      </c>
      <c r="B65" s="80">
        <f>IF('EVENT ASSIGNMENT'!F54="","",'EVENT ASSIGNMENT'!F54)</f>
        <v/>
      </c>
      <c r="C65" s="80">
        <f>IF('EVENT ASSIGNMENT'!C54="","",'EVENT ASSIGNMENT'!C54)</f>
        <v/>
      </c>
      <c r="D65" s="80">
        <f>IF('EVENT ASSIGNMENT'!D54="","",'EVENT ASSIGNMENT'!D54)</f>
        <v/>
      </c>
      <c r="E65" s="80">
        <f>IF('EVENT ASSIGNMENT'!E54="","",'EVENT ASSIGNMENT'!E54)</f>
        <v/>
      </c>
      <c r="F65" s="227">
        <f>IF('EVENT ASSIGNMENT'!G54="","",'EVENT ASSIGNMENT'!G54)</f>
        <v/>
      </c>
      <c r="G65" s="226">
        <f>IF(E65="",0,SUMIFS('MSR DATA'!$I$2:$I$1001,'MSR DATA'!$D$2:$D$1001,E65))</f>
        <v/>
      </c>
      <c r="H65" s="226">
        <f>IF(E65="",0,SUMIFS('MSR DATA'!$I$2:$I$1001,'MSR DATA'!$D$2:$D$1001,E65,'MSR DATA'!$G$2:$G$1001,"ALCOHOL"))</f>
        <v/>
      </c>
      <c r="I65" s="226">
        <f>G65-H65</f>
        <v/>
      </c>
      <c r="J65" s="226">
        <f>G65*IF(F65="",0,F65)</f>
        <v/>
      </c>
      <c r="K65" s="226">
        <f>I65*IF(F65="",0,F65)*$B$4+H65*IF(F65="",0,F65)*$B$5</f>
        <v/>
      </c>
      <c r="L65" s="80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30">
      <c r="A66" s="225">
        <f>IF('EVENT ASSIGNMENT'!A55="","",'EVENT ASSIGNMENT'!A55)</f>
        <v/>
      </c>
      <c r="B66" s="80">
        <f>IF('EVENT ASSIGNMENT'!F55="","",'EVENT ASSIGNMENT'!F55)</f>
        <v/>
      </c>
      <c r="C66" s="80">
        <f>IF('EVENT ASSIGNMENT'!C55="","",'EVENT ASSIGNMENT'!C55)</f>
        <v/>
      </c>
      <c r="D66" s="80">
        <f>IF('EVENT ASSIGNMENT'!D55="","",'EVENT ASSIGNMENT'!D55)</f>
        <v/>
      </c>
      <c r="E66" s="80">
        <f>IF('EVENT ASSIGNMENT'!E55="","",'EVENT ASSIGNMENT'!E55)</f>
        <v/>
      </c>
      <c r="F66" s="227">
        <f>IF('EVENT ASSIGNMENT'!G55="","",'EVENT ASSIGNMENT'!G55)</f>
        <v/>
      </c>
      <c r="G66" s="226">
        <f>IF(E66="",0,SUMIFS('MSR DATA'!$I$2:$I$1001,'MSR DATA'!$D$2:$D$1001,E66))</f>
        <v/>
      </c>
      <c r="H66" s="226">
        <f>IF(E66="",0,SUMIFS('MSR DATA'!$I$2:$I$1001,'MSR DATA'!$D$2:$D$1001,E66,'MSR DATA'!$G$2:$G$1001,"ALCOHOL"))</f>
        <v/>
      </c>
      <c r="I66" s="226">
        <f>G66-H66</f>
        <v/>
      </c>
      <c r="J66" s="226">
        <f>G66*IF(F66="",0,F66)</f>
        <v/>
      </c>
      <c r="K66" s="226">
        <f>I66*IF(F66="",0,F66)*$B$4+H66*IF(F66="",0,F66)*$B$5</f>
        <v/>
      </c>
      <c r="L66" s="80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30">
      <c r="A67" s="225">
        <f>IF('EVENT ASSIGNMENT'!A56="","",'EVENT ASSIGNMENT'!A56)</f>
        <v/>
      </c>
      <c r="B67" s="80">
        <f>IF('EVENT ASSIGNMENT'!F56="","",'EVENT ASSIGNMENT'!F56)</f>
        <v/>
      </c>
      <c r="C67" s="80">
        <f>IF('EVENT ASSIGNMENT'!C56="","",'EVENT ASSIGNMENT'!C56)</f>
        <v/>
      </c>
      <c r="D67" s="80">
        <f>IF('EVENT ASSIGNMENT'!D56="","",'EVENT ASSIGNMENT'!D56)</f>
        <v/>
      </c>
      <c r="E67" s="80">
        <f>IF('EVENT ASSIGNMENT'!E56="","",'EVENT ASSIGNMENT'!E56)</f>
        <v/>
      </c>
      <c r="F67" s="227">
        <f>IF('EVENT ASSIGNMENT'!G56="","",'EVENT ASSIGNMENT'!G56)</f>
        <v/>
      </c>
      <c r="G67" s="226">
        <f>IF(E67="",0,SUMIFS('MSR DATA'!$I$2:$I$1001,'MSR DATA'!$D$2:$D$1001,E67))</f>
        <v/>
      </c>
      <c r="H67" s="226">
        <f>IF(E67="",0,SUMIFS('MSR DATA'!$I$2:$I$1001,'MSR DATA'!$D$2:$D$1001,E67,'MSR DATA'!$G$2:$G$1001,"ALCOHOL"))</f>
        <v/>
      </c>
      <c r="I67" s="226">
        <f>G67-H67</f>
        <v/>
      </c>
      <c r="J67" s="226">
        <f>G67*IF(F67="",0,F67)</f>
        <v/>
      </c>
      <c r="K67" s="226">
        <f>I67*IF(F67="",0,F67)*$B$4+H67*IF(F67="",0,F67)*$B$5</f>
        <v/>
      </c>
      <c r="L67" s="80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30">
      <c r="A68" s="225">
        <f>IF('EVENT ASSIGNMENT'!A57="","",'EVENT ASSIGNMENT'!A57)</f>
        <v/>
      </c>
      <c r="B68" s="80">
        <f>IF('EVENT ASSIGNMENT'!F57="","",'EVENT ASSIGNMENT'!F57)</f>
        <v/>
      </c>
      <c r="C68" s="80">
        <f>IF('EVENT ASSIGNMENT'!C57="","",'EVENT ASSIGNMENT'!C57)</f>
        <v/>
      </c>
      <c r="D68" s="80">
        <f>IF('EVENT ASSIGNMENT'!D57="","",'EVENT ASSIGNMENT'!D57)</f>
        <v/>
      </c>
      <c r="E68" s="80">
        <f>IF('EVENT ASSIGNMENT'!E57="","",'EVENT ASSIGNMENT'!E57)</f>
        <v/>
      </c>
      <c r="F68" s="227">
        <f>IF('EVENT ASSIGNMENT'!G57="","",'EVENT ASSIGNMENT'!G57)</f>
        <v/>
      </c>
      <c r="G68" s="226">
        <f>IF(E68="",0,SUMIFS('MSR DATA'!$I$2:$I$1001,'MSR DATA'!$D$2:$D$1001,E68))</f>
        <v/>
      </c>
      <c r="H68" s="226">
        <f>IF(E68="",0,SUMIFS('MSR DATA'!$I$2:$I$1001,'MSR DATA'!$D$2:$D$1001,E68,'MSR DATA'!$G$2:$G$1001,"ALCOHOL"))</f>
        <v/>
      </c>
      <c r="I68" s="226">
        <f>G68-H68</f>
        <v/>
      </c>
      <c r="J68" s="226">
        <f>G68*IF(F68="",0,F68)</f>
        <v/>
      </c>
      <c r="K68" s="226">
        <f>I68*IF(F68="",0,F68)*$B$4+H68*IF(F68="",0,F68)*$B$5</f>
        <v/>
      </c>
      <c r="L68" s="80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30">
      <c r="A69" s="225">
        <f>IF('EVENT ASSIGNMENT'!A58="","",'EVENT ASSIGNMENT'!A58)</f>
        <v/>
      </c>
      <c r="B69" s="80">
        <f>IF('EVENT ASSIGNMENT'!F58="","",'EVENT ASSIGNMENT'!F58)</f>
        <v/>
      </c>
      <c r="C69" s="80">
        <f>IF('EVENT ASSIGNMENT'!C58="","",'EVENT ASSIGNMENT'!C58)</f>
        <v/>
      </c>
      <c r="D69" s="80">
        <f>IF('EVENT ASSIGNMENT'!D58="","",'EVENT ASSIGNMENT'!D58)</f>
        <v/>
      </c>
      <c r="E69" s="80">
        <f>IF('EVENT ASSIGNMENT'!E58="","",'EVENT ASSIGNMENT'!E58)</f>
        <v/>
      </c>
      <c r="F69" s="227">
        <f>IF('EVENT ASSIGNMENT'!G58="","",'EVENT ASSIGNMENT'!G58)</f>
        <v/>
      </c>
      <c r="G69" s="226">
        <f>IF(E69="",0,SUMIFS('MSR DATA'!$I$2:$I$1001,'MSR DATA'!$D$2:$D$1001,E69))</f>
        <v/>
      </c>
      <c r="H69" s="226">
        <f>IF(E69="",0,SUMIFS('MSR DATA'!$I$2:$I$1001,'MSR DATA'!$D$2:$D$1001,E69,'MSR DATA'!$G$2:$G$1001,"ALCOHOL"))</f>
        <v/>
      </c>
      <c r="I69" s="226">
        <f>G69-H69</f>
        <v/>
      </c>
      <c r="J69" s="226">
        <f>G69*IF(F69="",0,F69)</f>
        <v/>
      </c>
      <c r="K69" s="226">
        <f>I69*IF(F69="",0,F69)*$B$4+H69*IF(F69="",0,F69)*$B$5</f>
        <v/>
      </c>
      <c r="L69" s="80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30">
      <c r="A70" s="225">
        <f>IF('EVENT ASSIGNMENT'!A59="","",'EVENT ASSIGNMENT'!A59)</f>
        <v/>
      </c>
      <c r="B70" s="80">
        <f>IF('EVENT ASSIGNMENT'!F59="","",'EVENT ASSIGNMENT'!F59)</f>
        <v/>
      </c>
      <c r="C70" s="80">
        <f>IF('EVENT ASSIGNMENT'!C59="","",'EVENT ASSIGNMENT'!C59)</f>
        <v/>
      </c>
      <c r="D70" s="80">
        <f>IF('EVENT ASSIGNMENT'!D59="","",'EVENT ASSIGNMENT'!D59)</f>
        <v/>
      </c>
      <c r="E70" s="80">
        <f>IF('EVENT ASSIGNMENT'!E59="","",'EVENT ASSIGNMENT'!E59)</f>
        <v/>
      </c>
      <c r="F70" s="227">
        <f>IF('EVENT ASSIGNMENT'!G59="","",'EVENT ASSIGNMENT'!G59)</f>
        <v/>
      </c>
      <c r="G70" s="226">
        <f>IF(E70="",0,SUMIFS('MSR DATA'!$I$2:$I$1001,'MSR DATA'!$D$2:$D$1001,E70))</f>
        <v/>
      </c>
      <c r="H70" s="226">
        <f>IF(E70="",0,SUMIFS('MSR DATA'!$I$2:$I$1001,'MSR DATA'!$D$2:$D$1001,E70,'MSR DATA'!$G$2:$G$1001,"ALCOHOL"))</f>
        <v/>
      </c>
      <c r="I70" s="226">
        <f>G70-H70</f>
        <v/>
      </c>
      <c r="J70" s="226">
        <f>G70*IF(F70="",0,F70)</f>
        <v/>
      </c>
      <c r="K70" s="226">
        <f>I70*IF(F70="",0,F70)*$B$4+H70*IF(F70="",0,F70)*$B$5</f>
        <v/>
      </c>
      <c r="L70" s="80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30">
      <c r="A71" s="225">
        <f>IF('EVENT ASSIGNMENT'!A60="","",'EVENT ASSIGNMENT'!A60)</f>
        <v/>
      </c>
      <c r="B71" s="80">
        <f>IF('EVENT ASSIGNMENT'!F60="","",'EVENT ASSIGNMENT'!F60)</f>
        <v/>
      </c>
      <c r="C71" s="80">
        <f>IF('EVENT ASSIGNMENT'!C60="","",'EVENT ASSIGNMENT'!C60)</f>
        <v/>
      </c>
      <c r="D71" s="80">
        <f>IF('EVENT ASSIGNMENT'!D60="","",'EVENT ASSIGNMENT'!D60)</f>
        <v/>
      </c>
      <c r="E71" s="80">
        <f>IF('EVENT ASSIGNMENT'!E60="","",'EVENT ASSIGNMENT'!E60)</f>
        <v/>
      </c>
      <c r="F71" s="227">
        <f>IF('EVENT ASSIGNMENT'!G60="","",'EVENT ASSIGNMENT'!G60)</f>
        <v/>
      </c>
      <c r="G71" s="226">
        <f>IF(E71="",0,SUMIFS('MSR DATA'!$I$2:$I$1001,'MSR DATA'!$D$2:$D$1001,E71))</f>
        <v/>
      </c>
      <c r="H71" s="226">
        <f>IF(E71="",0,SUMIFS('MSR DATA'!$I$2:$I$1001,'MSR DATA'!$D$2:$D$1001,E71,'MSR DATA'!$G$2:$G$1001,"ALCOHOL"))</f>
        <v/>
      </c>
      <c r="I71" s="226">
        <f>G71-H71</f>
        <v/>
      </c>
      <c r="J71" s="226">
        <f>G71*IF(F71="",0,F71)</f>
        <v/>
      </c>
      <c r="K71" s="226">
        <f>I71*IF(F71="",0,F71)*$B$4+H71*IF(F71="",0,F71)*$B$5</f>
        <v/>
      </c>
      <c r="L71" s="80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30">
      <c r="A72" s="225">
        <f>IF('EVENT ASSIGNMENT'!A61="","",'EVENT ASSIGNMENT'!A61)</f>
        <v/>
      </c>
      <c r="B72" s="80">
        <f>IF('EVENT ASSIGNMENT'!F61="","",'EVENT ASSIGNMENT'!F61)</f>
        <v/>
      </c>
      <c r="C72" s="80">
        <f>IF('EVENT ASSIGNMENT'!C61="","",'EVENT ASSIGNMENT'!C61)</f>
        <v/>
      </c>
      <c r="D72" s="80">
        <f>IF('EVENT ASSIGNMENT'!D61="","",'EVENT ASSIGNMENT'!D61)</f>
        <v/>
      </c>
      <c r="E72" s="80">
        <f>IF('EVENT ASSIGNMENT'!E61="","",'EVENT ASSIGNMENT'!E61)</f>
        <v/>
      </c>
      <c r="F72" s="227">
        <f>IF('EVENT ASSIGNMENT'!G61="","",'EVENT ASSIGNMENT'!G61)</f>
        <v/>
      </c>
      <c r="G72" s="226">
        <f>IF(E72="",0,SUMIFS('MSR DATA'!$I$2:$I$1001,'MSR DATA'!$D$2:$D$1001,E72))</f>
        <v/>
      </c>
      <c r="H72" s="226">
        <f>IF(E72="",0,SUMIFS('MSR DATA'!$I$2:$I$1001,'MSR DATA'!$D$2:$D$1001,E72,'MSR DATA'!$G$2:$G$1001,"ALCOHOL"))</f>
        <v/>
      </c>
      <c r="I72" s="226">
        <f>G72-H72</f>
        <v/>
      </c>
      <c r="J72" s="226">
        <f>G72*IF(F72="",0,F72)</f>
        <v/>
      </c>
      <c r="K72" s="226">
        <f>I72*IF(F72="",0,F72)*$B$4+H72*IF(F72="",0,F72)*$B$5</f>
        <v/>
      </c>
      <c r="L72" s="80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30">
      <c r="A73" s="225">
        <f>IF('EVENT ASSIGNMENT'!A62="","",'EVENT ASSIGNMENT'!A62)</f>
        <v/>
      </c>
      <c r="B73" s="80">
        <f>IF('EVENT ASSIGNMENT'!F62="","",'EVENT ASSIGNMENT'!F62)</f>
        <v/>
      </c>
      <c r="C73" s="80">
        <f>IF('EVENT ASSIGNMENT'!C62="","",'EVENT ASSIGNMENT'!C62)</f>
        <v/>
      </c>
      <c r="D73" s="80">
        <f>IF('EVENT ASSIGNMENT'!D62="","",'EVENT ASSIGNMENT'!D62)</f>
        <v/>
      </c>
      <c r="E73" s="80">
        <f>IF('EVENT ASSIGNMENT'!E62="","",'EVENT ASSIGNMENT'!E62)</f>
        <v/>
      </c>
      <c r="F73" s="227">
        <f>IF('EVENT ASSIGNMENT'!G62="","",'EVENT ASSIGNMENT'!G62)</f>
        <v/>
      </c>
      <c r="G73" s="226">
        <f>IF(E73="",0,SUMIFS('MSR DATA'!$I$2:$I$1001,'MSR DATA'!$D$2:$D$1001,E73))</f>
        <v/>
      </c>
      <c r="H73" s="226">
        <f>IF(E73="",0,SUMIFS('MSR DATA'!$I$2:$I$1001,'MSR DATA'!$D$2:$D$1001,E73,'MSR DATA'!$G$2:$G$1001,"ALCOHOL"))</f>
        <v/>
      </c>
      <c r="I73" s="226">
        <f>G73-H73</f>
        <v/>
      </c>
      <c r="J73" s="226">
        <f>G73*IF(F73="",0,F73)</f>
        <v/>
      </c>
      <c r="K73" s="226">
        <f>I73*IF(F73="",0,F73)*$B$4+H73*IF(F73="",0,F73)*$B$5</f>
        <v/>
      </c>
      <c r="L73" s="80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30">
      <c r="A74" s="225">
        <f>IF('EVENT ASSIGNMENT'!A63="","",'EVENT ASSIGNMENT'!A63)</f>
        <v/>
      </c>
      <c r="B74" s="80">
        <f>IF('EVENT ASSIGNMENT'!F63="","",'EVENT ASSIGNMENT'!F63)</f>
        <v/>
      </c>
      <c r="C74" s="80">
        <f>IF('EVENT ASSIGNMENT'!C63="","",'EVENT ASSIGNMENT'!C63)</f>
        <v/>
      </c>
      <c r="D74" s="80">
        <f>IF('EVENT ASSIGNMENT'!D63="","",'EVENT ASSIGNMENT'!D63)</f>
        <v/>
      </c>
      <c r="E74" s="80">
        <f>IF('EVENT ASSIGNMENT'!E63="","",'EVENT ASSIGNMENT'!E63)</f>
        <v/>
      </c>
      <c r="F74" s="227">
        <f>IF('EVENT ASSIGNMENT'!G63="","",'EVENT ASSIGNMENT'!G63)</f>
        <v/>
      </c>
      <c r="G74" s="226">
        <f>IF(E74="",0,SUMIFS('MSR DATA'!$I$2:$I$1001,'MSR DATA'!$D$2:$D$1001,E74))</f>
        <v/>
      </c>
      <c r="H74" s="226">
        <f>IF(E74="",0,SUMIFS('MSR DATA'!$I$2:$I$1001,'MSR DATA'!$D$2:$D$1001,E74,'MSR DATA'!$G$2:$G$1001,"ALCOHOL"))</f>
        <v/>
      </c>
      <c r="I74" s="226">
        <f>G74-H74</f>
        <v/>
      </c>
      <c r="J74" s="226">
        <f>G74*IF(F74="",0,F74)</f>
        <v/>
      </c>
      <c r="K74" s="226">
        <f>I74*IF(F74="",0,F74)*$B$4+H74*IF(F74="",0,F74)*$B$5</f>
        <v/>
      </c>
      <c r="L74" s="80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30">
      <c r="A75" s="225">
        <f>IF('EVENT ASSIGNMENT'!A64="","",'EVENT ASSIGNMENT'!A64)</f>
        <v/>
      </c>
      <c r="B75" s="80">
        <f>IF('EVENT ASSIGNMENT'!F64="","",'EVENT ASSIGNMENT'!F64)</f>
        <v/>
      </c>
      <c r="C75" s="80">
        <f>IF('EVENT ASSIGNMENT'!C64="","",'EVENT ASSIGNMENT'!C64)</f>
        <v/>
      </c>
      <c r="D75" s="80">
        <f>IF('EVENT ASSIGNMENT'!D64="","",'EVENT ASSIGNMENT'!D64)</f>
        <v/>
      </c>
      <c r="E75" s="80">
        <f>IF('EVENT ASSIGNMENT'!E64="","",'EVENT ASSIGNMENT'!E64)</f>
        <v/>
      </c>
      <c r="F75" s="227">
        <f>IF('EVENT ASSIGNMENT'!G64="","",'EVENT ASSIGNMENT'!G64)</f>
        <v/>
      </c>
      <c r="G75" s="226">
        <f>IF(E75="",0,SUMIFS('MSR DATA'!$I$2:$I$1001,'MSR DATA'!$D$2:$D$1001,E75))</f>
        <v/>
      </c>
      <c r="H75" s="226">
        <f>IF(E75="",0,SUMIFS('MSR DATA'!$I$2:$I$1001,'MSR DATA'!$D$2:$D$1001,E75,'MSR DATA'!$G$2:$G$1001,"ALCOHOL"))</f>
        <v/>
      </c>
      <c r="I75" s="226">
        <f>G75-H75</f>
        <v/>
      </c>
      <c r="J75" s="226">
        <f>G75*IF(F75="",0,F75)</f>
        <v/>
      </c>
      <c r="K75" s="226">
        <f>I75*IF(F75="",0,F75)*$B$4+H75*IF(F75="",0,F75)*$B$5</f>
        <v/>
      </c>
      <c r="L75" s="80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30">
      <c r="A76" s="225">
        <f>IF('EVENT ASSIGNMENT'!A65="","",'EVENT ASSIGNMENT'!A65)</f>
        <v/>
      </c>
      <c r="B76" s="80">
        <f>IF('EVENT ASSIGNMENT'!F65="","",'EVENT ASSIGNMENT'!F65)</f>
        <v/>
      </c>
      <c r="C76" s="80">
        <f>IF('EVENT ASSIGNMENT'!C65="","",'EVENT ASSIGNMENT'!C65)</f>
        <v/>
      </c>
      <c r="D76" s="80">
        <f>IF('EVENT ASSIGNMENT'!D65="","",'EVENT ASSIGNMENT'!D65)</f>
        <v/>
      </c>
      <c r="E76" s="80">
        <f>IF('EVENT ASSIGNMENT'!E65="","",'EVENT ASSIGNMENT'!E65)</f>
        <v/>
      </c>
      <c r="F76" s="227">
        <f>IF('EVENT ASSIGNMENT'!G65="","",'EVENT ASSIGNMENT'!G65)</f>
        <v/>
      </c>
      <c r="G76" s="226">
        <f>IF(E76="",0,SUMIFS('MSR DATA'!$I$2:$I$1001,'MSR DATA'!$D$2:$D$1001,E76))</f>
        <v/>
      </c>
      <c r="H76" s="226">
        <f>IF(E76="",0,SUMIFS('MSR DATA'!$I$2:$I$1001,'MSR DATA'!$D$2:$D$1001,E76,'MSR DATA'!$G$2:$G$1001,"ALCOHOL"))</f>
        <v/>
      </c>
      <c r="I76" s="226">
        <f>G76-H76</f>
        <v/>
      </c>
      <c r="J76" s="226">
        <f>G76*IF(F76="",0,F76)</f>
        <v/>
      </c>
      <c r="K76" s="226">
        <f>I76*IF(F76="",0,F76)*$B$4+H76*IF(F76="",0,F76)*$B$5</f>
        <v/>
      </c>
      <c r="L76" s="80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30">
      <c r="A77" s="225">
        <f>IF('EVENT ASSIGNMENT'!A66="","",'EVENT ASSIGNMENT'!A66)</f>
        <v/>
      </c>
      <c r="B77" s="80">
        <f>IF('EVENT ASSIGNMENT'!F66="","",'EVENT ASSIGNMENT'!F66)</f>
        <v/>
      </c>
      <c r="C77" s="80">
        <f>IF('EVENT ASSIGNMENT'!C66="","",'EVENT ASSIGNMENT'!C66)</f>
        <v/>
      </c>
      <c r="D77" s="80">
        <f>IF('EVENT ASSIGNMENT'!D66="","",'EVENT ASSIGNMENT'!D66)</f>
        <v/>
      </c>
      <c r="E77" s="80">
        <f>IF('EVENT ASSIGNMENT'!E66="","",'EVENT ASSIGNMENT'!E66)</f>
        <v/>
      </c>
      <c r="F77" s="227">
        <f>IF('EVENT ASSIGNMENT'!G66="","",'EVENT ASSIGNMENT'!G66)</f>
        <v/>
      </c>
      <c r="G77" s="226">
        <f>IF(E77="",0,SUMIFS('MSR DATA'!$I$2:$I$1001,'MSR DATA'!$D$2:$D$1001,E77))</f>
        <v/>
      </c>
      <c r="H77" s="226">
        <f>IF(E77="",0,SUMIFS('MSR DATA'!$I$2:$I$1001,'MSR DATA'!$D$2:$D$1001,E77,'MSR DATA'!$G$2:$G$1001,"ALCOHOL"))</f>
        <v/>
      </c>
      <c r="I77" s="226">
        <f>G77-H77</f>
        <v/>
      </c>
      <c r="J77" s="226">
        <f>G77*IF(F77="",0,F77)</f>
        <v/>
      </c>
      <c r="K77" s="226">
        <f>I77*IF(F77="",0,F77)*$B$4+H77*IF(F77="",0,F77)*$B$5</f>
        <v/>
      </c>
      <c r="L77" s="80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30">
      <c r="A78" s="225">
        <f>IF('EVENT ASSIGNMENT'!A67="","",'EVENT ASSIGNMENT'!A67)</f>
        <v/>
      </c>
      <c r="B78" s="80">
        <f>IF('EVENT ASSIGNMENT'!F67="","",'EVENT ASSIGNMENT'!F67)</f>
        <v/>
      </c>
      <c r="C78" s="80">
        <f>IF('EVENT ASSIGNMENT'!C67="","",'EVENT ASSIGNMENT'!C67)</f>
        <v/>
      </c>
      <c r="D78" s="80">
        <f>IF('EVENT ASSIGNMENT'!D67="","",'EVENT ASSIGNMENT'!D67)</f>
        <v/>
      </c>
      <c r="E78" s="80">
        <f>IF('EVENT ASSIGNMENT'!E67="","",'EVENT ASSIGNMENT'!E67)</f>
        <v/>
      </c>
      <c r="F78" s="227">
        <f>IF('EVENT ASSIGNMENT'!G67="","",'EVENT ASSIGNMENT'!G67)</f>
        <v/>
      </c>
      <c r="G78" s="226">
        <f>IF(E78="",0,SUMIFS('MSR DATA'!$I$2:$I$1001,'MSR DATA'!$D$2:$D$1001,E78))</f>
        <v/>
      </c>
      <c r="H78" s="226">
        <f>IF(E78="",0,SUMIFS('MSR DATA'!$I$2:$I$1001,'MSR DATA'!$D$2:$D$1001,E78,'MSR DATA'!$G$2:$G$1001,"ALCOHOL"))</f>
        <v/>
      </c>
      <c r="I78" s="226">
        <f>G78-H78</f>
        <v/>
      </c>
      <c r="J78" s="226">
        <f>G78*IF(F78="",0,F78)</f>
        <v/>
      </c>
      <c r="K78" s="226">
        <f>I78*IF(F78="",0,F78)*$B$4+H78*IF(F78="",0,F78)*$B$5</f>
        <v/>
      </c>
      <c r="L78" s="80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30">
      <c r="A79" s="225">
        <f>IF('EVENT ASSIGNMENT'!A68="","",'EVENT ASSIGNMENT'!A68)</f>
        <v/>
      </c>
      <c r="B79" s="80">
        <f>IF('EVENT ASSIGNMENT'!F68="","",'EVENT ASSIGNMENT'!F68)</f>
        <v/>
      </c>
      <c r="C79" s="80">
        <f>IF('EVENT ASSIGNMENT'!C68="","",'EVENT ASSIGNMENT'!C68)</f>
        <v/>
      </c>
      <c r="D79" s="80">
        <f>IF('EVENT ASSIGNMENT'!D68="","",'EVENT ASSIGNMENT'!D68)</f>
        <v/>
      </c>
      <c r="E79" s="80">
        <f>IF('EVENT ASSIGNMENT'!E68="","",'EVENT ASSIGNMENT'!E68)</f>
        <v/>
      </c>
      <c r="F79" s="227">
        <f>IF('EVENT ASSIGNMENT'!G68="","",'EVENT ASSIGNMENT'!G68)</f>
        <v/>
      </c>
      <c r="G79" s="226">
        <f>IF(E79="",0,SUMIFS('MSR DATA'!$I$2:$I$1001,'MSR DATA'!$D$2:$D$1001,E79))</f>
        <v/>
      </c>
      <c r="H79" s="226">
        <f>IF(E79="",0,SUMIFS('MSR DATA'!$I$2:$I$1001,'MSR DATA'!$D$2:$D$1001,E79,'MSR DATA'!$G$2:$G$1001,"ALCOHOL"))</f>
        <v/>
      </c>
      <c r="I79" s="226">
        <f>G79-H79</f>
        <v/>
      </c>
      <c r="J79" s="226">
        <f>G79*IF(F79="",0,F79)</f>
        <v/>
      </c>
      <c r="K79" s="226">
        <f>I79*IF(F79="",0,F79)*$B$4+H79*IF(F79="",0,F79)*$B$5</f>
        <v/>
      </c>
      <c r="L79" s="80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30">
      <c r="A80" s="225">
        <f>IF('EVENT ASSIGNMENT'!A69="","",'EVENT ASSIGNMENT'!A69)</f>
        <v/>
      </c>
      <c r="B80" s="80">
        <f>IF('EVENT ASSIGNMENT'!F69="","",'EVENT ASSIGNMENT'!F69)</f>
        <v/>
      </c>
      <c r="C80" s="80">
        <f>IF('EVENT ASSIGNMENT'!C69="","",'EVENT ASSIGNMENT'!C69)</f>
        <v/>
      </c>
      <c r="D80" s="80">
        <f>IF('EVENT ASSIGNMENT'!D69="","",'EVENT ASSIGNMENT'!D69)</f>
        <v/>
      </c>
      <c r="E80" s="80">
        <f>IF('EVENT ASSIGNMENT'!E69="","",'EVENT ASSIGNMENT'!E69)</f>
        <v/>
      </c>
      <c r="F80" s="227">
        <f>IF('EVENT ASSIGNMENT'!G69="","",'EVENT ASSIGNMENT'!G69)</f>
        <v/>
      </c>
      <c r="G80" s="226">
        <f>IF(E80="",0,SUMIFS('MSR DATA'!$I$2:$I$1001,'MSR DATA'!$D$2:$D$1001,E80))</f>
        <v/>
      </c>
      <c r="H80" s="226">
        <f>IF(E80="",0,SUMIFS('MSR DATA'!$I$2:$I$1001,'MSR DATA'!$D$2:$D$1001,E80,'MSR DATA'!$G$2:$G$1001,"ALCOHOL"))</f>
        <v/>
      </c>
      <c r="I80" s="226">
        <f>G80-H80</f>
        <v/>
      </c>
      <c r="J80" s="226">
        <f>G80*IF(F80="",0,F80)</f>
        <v/>
      </c>
      <c r="K80" s="226">
        <f>I80*IF(F80="",0,F80)*$B$4+H80*IF(F80="",0,F80)*$B$5</f>
        <v/>
      </c>
      <c r="L80" s="80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30">
      <c r="A81" s="225">
        <f>IF('EVENT ASSIGNMENT'!A70="","",'EVENT ASSIGNMENT'!A70)</f>
        <v/>
      </c>
      <c r="B81" s="80">
        <f>IF('EVENT ASSIGNMENT'!F70="","",'EVENT ASSIGNMENT'!F70)</f>
        <v/>
      </c>
      <c r="C81" s="80">
        <f>IF('EVENT ASSIGNMENT'!C70="","",'EVENT ASSIGNMENT'!C70)</f>
        <v/>
      </c>
      <c r="D81" s="80">
        <f>IF('EVENT ASSIGNMENT'!D70="","",'EVENT ASSIGNMENT'!D70)</f>
        <v/>
      </c>
      <c r="E81" s="80">
        <f>IF('EVENT ASSIGNMENT'!E70="","",'EVENT ASSIGNMENT'!E70)</f>
        <v/>
      </c>
      <c r="F81" s="227">
        <f>IF('EVENT ASSIGNMENT'!G70="","",'EVENT ASSIGNMENT'!G70)</f>
        <v/>
      </c>
      <c r="G81" s="226">
        <f>IF(E81="",0,SUMIFS('MSR DATA'!$I$2:$I$1001,'MSR DATA'!$D$2:$D$1001,E81))</f>
        <v/>
      </c>
      <c r="H81" s="226">
        <f>IF(E81="",0,SUMIFS('MSR DATA'!$I$2:$I$1001,'MSR DATA'!$D$2:$D$1001,E81,'MSR DATA'!$G$2:$G$1001,"ALCOHOL"))</f>
        <v/>
      </c>
      <c r="I81" s="226">
        <f>G81-H81</f>
        <v/>
      </c>
      <c r="J81" s="226">
        <f>G81*IF(F81="",0,F81)</f>
        <v/>
      </c>
      <c r="K81" s="226">
        <f>I81*IF(F81="",0,F81)*$B$4+H81*IF(F81="",0,F81)*$B$5</f>
        <v/>
      </c>
      <c r="L81" s="80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30">
      <c r="A82" s="225">
        <f>IF('EVENT ASSIGNMENT'!A71="","",'EVENT ASSIGNMENT'!A71)</f>
        <v/>
      </c>
      <c r="B82" s="80">
        <f>IF('EVENT ASSIGNMENT'!F71="","",'EVENT ASSIGNMENT'!F71)</f>
        <v/>
      </c>
      <c r="C82" s="80">
        <f>IF('EVENT ASSIGNMENT'!C71="","",'EVENT ASSIGNMENT'!C71)</f>
        <v/>
      </c>
      <c r="D82" s="80">
        <f>IF('EVENT ASSIGNMENT'!D71="","",'EVENT ASSIGNMENT'!D71)</f>
        <v/>
      </c>
      <c r="E82" s="80">
        <f>IF('EVENT ASSIGNMENT'!E71="","",'EVENT ASSIGNMENT'!E71)</f>
        <v/>
      </c>
      <c r="F82" s="227">
        <f>IF('EVENT ASSIGNMENT'!G71="","",'EVENT ASSIGNMENT'!G71)</f>
        <v/>
      </c>
      <c r="G82" s="226">
        <f>IF(E82="",0,SUMIFS('MSR DATA'!$I$2:$I$1001,'MSR DATA'!$D$2:$D$1001,E82))</f>
        <v/>
      </c>
      <c r="H82" s="226">
        <f>IF(E82="",0,SUMIFS('MSR DATA'!$I$2:$I$1001,'MSR DATA'!$D$2:$D$1001,E82,'MSR DATA'!$G$2:$G$1001,"ALCOHOL"))</f>
        <v/>
      </c>
      <c r="I82" s="226">
        <f>G82-H82</f>
        <v/>
      </c>
      <c r="J82" s="226">
        <f>G82*IF(F82="",0,F82)</f>
        <v/>
      </c>
      <c r="K82" s="226">
        <f>I82*IF(F82="",0,F82)*$B$4+H82*IF(F82="",0,F82)*$B$5</f>
        <v/>
      </c>
      <c r="L82" s="80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30">
      <c r="A83" s="225">
        <f>IF('EVENT ASSIGNMENT'!A72="","",'EVENT ASSIGNMENT'!A72)</f>
        <v/>
      </c>
      <c r="B83" s="80">
        <f>IF('EVENT ASSIGNMENT'!F72="","",'EVENT ASSIGNMENT'!F72)</f>
        <v/>
      </c>
      <c r="C83" s="80">
        <f>IF('EVENT ASSIGNMENT'!C72="","",'EVENT ASSIGNMENT'!C72)</f>
        <v/>
      </c>
      <c r="D83" s="80">
        <f>IF('EVENT ASSIGNMENT'!D72="","",'EVENT ASSIGNMENT'!D72)</f>
        <v/>
      </c>
      <c r="E83" s="80">
        <f>IF('EVENT ASSIGNMENT'!E72="","",'EVENT ASSIGNMENT'!E72)</f>
        <v/>
      </c>
      <c r="F83" s="227">
        <f>IF('EVENT ASSIGNMENT'!G72="","",'EVENT ASSIGNMENT'!G72)</f>
        <v/>
      </c>
      <c r="G83" s="226">
        <f>IF(E83="",0,SUMIFS('MSR DATA'!$I$2:$I$1001,'MSR DATA'!$D$2:$D$1001,E83))</f>
        <v/>
      </c>
      <c r="H83" s="226">
        <f>IF(E83="",0,SUMIFS('MSR DATA'!$I$2:$I$1001,'MSR DATA'!$D$2:$D$1001,E83,'MSR DATA'!$G$2:$G$1001,"ALCOHOL"))</f>
        <v/>
      </c>
      <c r="I83" s="226">
        <f>G83-H83</f>
        <v/>
      </c>
      <c r="J83" s="226">
        <f>G83*IF(F83="",0,F83)</f>
        <v/>
      </c>
      <c r="K83" s="226">
        <f>I83*IF(F83="",0,F83)*$B$4+H83*IF(F83="",0,F83)*$B$5</f>
        <v/>
      </c>
      <c r="L83" s="80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30">
      <c r="A84" s="225">
        <f>IF('EVENT ASSIGNMENT'!A73="","",'EVENT ASSIGNMENT'!A73)</f>
        <v/>
      </c>
      <c r="B84" s="80">
        <f>IF('EVENT ASSIGNMENT'!F73="","",'EVENT ASSIGNMENT'!F73)</f>
        <v/>
      </c>
      <c r="C84" s="80">
        <f>IF('EVENT ASSIGNMENT'!C73="","",'EVENT ASSIGNMENT'!C73)</f>
        <v/>
      </c>
      <c r="D84" s="80">
        <f>IF('EVENT ASSIGNMENT'!D73="","",'EVENT ASSIGNMENT'!D73)</f>
        <v/>
      </c>
      <c r="E84" s="80">
        <f>IF('EVENT ASSIGNMENT'!E73="","",'EVENT ASSIGNMENT'!E73)</f>
        <v/>
      </c>
      <c r="F84" s="227">
        <f>IF('EVENT ASSIGNMENT'!G73="","",'EVENT ASSIGNMENT'!G73)</f>
        <v/>
      </c>
      <c r="G84" s="226">
        <f>IF(E84="",0,SUMIFS('MSR DATA'!$I$2:$I$1001,'MSR DATA'!$D$2:$D$1001,E84))</f>
        <v/>
      </c>
      <c r="H84" s="226">
        <f>IF(E84="",0,SUMIFS('MSR DATA'!$I$2:$I$1001,'MSR DATA'!$D$2:$D$1001,E84,'MSR DATA'!$G$2:$G$1001,"ALCOHOL"))</f>
        <v/>
      </c>
      <c r="I84" s="226">
        <f>G84-H84</f>
        <v/>
      </c>
      <c r="J84" s="226">
        <f>G84*IF(F84="",0,F84)</f>
        <v/>
      </c>
      <c r="K84" s="226">
        <f>I84*IF(F84="",0,F84)*$B$4+H84*IF(F84="",0,F84)*$B$5</f>
        <v/>
      </c>
      <c r="L84" s="80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30">
      <c r="A85" s="225">
        <f>IF('EVENT ASSIGNMENT'!A74="","",'EVENT ASSIGNMENT'!A74)</f>
        <v/>
      </c>
      <c r="B85" s="80">
        <f>IF('EVENT ASSIGNMENT'!F74="","",'EVENT ASSIGNMENT'!F74)</f>
        <v/>
      </c>
      <c r="C85" s="80">
        <f>IF('EVENT ASSIGNMENT'!C74="","",'EVENT ASSIGNMENT'!C74)</f>
        <v/>
      </c>
      <c r="D85" s="80">
        <f>IF('EVENT ASSIGNMENT'!D74="","",'EVENT ASSIGNMENT'!D74)</f>
        <v/>
      </c>
      <c r="E85" s="80">
        <f>IF('EVENT ASSIGNMENT'!E74="","",'EVENT ASSIGNMENT'!E74)</f>
        <v/>
      </c>
      <c r="F85" s="227">
        <f>IF('EVENT ASSIGNMENT'!G74="","",'EVENT ASSIGNMENT'!G74)</f>
        <v/>
      </c>
      <c r="G85" s="226">
        <f>IF(E85="",0,SUMIFS('MSR DATA'!$I$2:$I$1001,'MSR DATA'!$D$2:$D$1001,E85))</f>
        <v/>
      </c>
      <c r="H85" s="226">
        <f>IF(E85="",0,SUMIFS('MSR DATA'!$I$2:$I$1001,'MSR DATA'!$D$2:$D$1001,E85,'MSR DATA'!$G$2:$G$1001,"ALCOHOL"))</f>
        <v/>
      </c>
      <c r="I85" s="226">
        <f>G85-H85</f>
        <v/>
      </c>
      <c r="J85" s="226">
        <f>G85*IF(F85="",0,F85)</f>
        <v/>
      </c>
      <c r="K85" s="226">
        <f>I85*IF(F85="",0,F85)*$B$4+H85*IF(F85="",0,F85)*$B$5</f>
        <v/>
      </c>
      <c r="L85" s="80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30">
      <c r="A86" s="225">
        <f>IF('EVENT ASSIGNMENT'!A75="","",'EVENT ASSIGNMENT'!A75)</f>
        <v/>
      </c>
      <c r="B86" s="80">
        <f>IF('EVENT ASSIGNMENT'!F75="","",'EVENT ASSIGNMENT'!F75)</f>
        <v/>
      </c>
      <c r="C86" s="80">
        <f>IF('EVENT ASSIGNMENT'!C75="","",'EVENT ASSIGNMENT'!C75)</f>
        <v/>
      </c>
      <c r="D86" s="80">
        <f>IF('EVENT ASSIGNMENT'!D75="","",'EVENT ASSIGNMENT'!D75)</f>
        <v/>
      </c>
      <c r="E86" s="80">
        <f>IF('EVENT ASSIGNMENT'!E75="","",'EVENT ASSIGNMENT'!E75)</f>
        <v/>
      </c>
      <c r="F86" s="227">
        <f>IF('EVENT ASSIGNMENT'!G75="","",'EVENT ASSIGNMENT'!G75)</f>
        <v/>
      </c>
      <c r="G86" s="226">
        <f>IF(E86="",0,SUMIFS('MSR DATA'!$I$2:$I$1001,'MSR DATA'!$D$2:$D$1001,E86))</f>
        <v/>
      </c>
      <c r="H86" s="226">
        <f>IF(E86="",0,SUMIFS('MSR DATA'!$I$2:$I$1001,'MSR DATA'!$D$2:$D$1001,E86,'MSR DATA'!$G$2:$G$1001,"ALCOHOL"))</f>
        <v/>
      </c>
      <c r="I86" s="226">
        <f>G86-H86</f>
        <v/>
      </c>
      <c r="J86" s="226">
        <f>G86*IF(F86="",0,F86)</f>
        <v/>
      </c>
      <c r="K86" s="226">
        <f>I86*IF(F86="",0,F86)*$B$4+H86*IF(F86="",0,F86)*$B$5</f>
        <v/>
      </c>
      <c r="L86" s="80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30">
      <c r="A87" s="225">
        <f>IF('EVENT ASSIGNMENT'!A76="","",'EVENT ASSIGNMENT'!A76)</f>
        <v/>
      </c>
      <c r="B87" s="80">
        <f>IF('EVENT ASSIGNMENT'!F76="","",'EVENT ASSIGNMENT'!F76)</f>
        <v/>
      </c>
      <c r="C87" s="80">
        <f>IF('EVENT ASSIGNMENT'!C76="","",'EVENT ASSIGNMENT'!C76)</f>
        <v/>
      </c>
      <c r="D87" s="80">
        <f>IF('EVENT ASSIGNMENT'!D76="","",'EVENT ASSIGNMENT'!D76)</f>
        <v/>
      </c>
      <c r="E87" s="80">
        <f>IF('EVENT ASSIGNMENT'!E76="","",'EVENT ASSIGNMENT'!E76)</f>
        <v/>
      </c>
      <c r="F87" s="227">
        <f>IF('EVENT ASSIGNMENT'!G76="","",'EVENT ASSIGNMENT'!G76)</f>
        <v/>
      </c>
      <c r="G87" s="226">
        <f>IF(E87="",0,SUMIFS('MSR DATA'!$I$2:$I$1001,'MSR DATA'!$D$2:$D$1001,E87))</f>
        <v/>
      </c>
      <c r="H87" s="226">
        <f>IF(E87="",0,SUMIFS('MSR DATA'!$I$2:$I$1001,'MSR DATA'!$D$2:$D$1001,E87,'MSR DATA'!$G$2:$G$1001,"ALCOHOL"))</f>
        <v/>
      </c>
      <c r="I87" s="226">
        <f>G87-H87</f>
        <v/>
      </c>
      <c r="J87" s="226">
        <f>G87*IF(F87="",0,F87)</f>
        <v/>
      </c>
      <c r="K87" s="226">
        <f>I87*IF(F87="",0,F87)*$B$4+H87*IF(F87="",0,F87)*$B$5</f>
        <v/>
      </c>
      <c r="L87" s="80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30">
      <c r="A88" s="225">
        <f>IF('EVENT ASSIGNMENT'!A77="","",'EVENT ASSIGNMENT'!A77)</f>
        <v/>
      </c>
      <c r="B88" s="80">
        <f>IF('EVENT ASSIGNMENT'!F77="","",'EVENT ASSIGNMENT'!F77)</f>
        <v/>
      </c>
      <c r="C88" s="80">
        <f>IF('EVENT ASSIGNMENT'!C77="","",'EVENT ASSIGNMENT'!C77)</f>
        <v/>
      </c>
      <c r="D88" s="80">
        <f>IF('EVENT ASSIGNMENT'!D77="","",'EVENT ASSIGNMENT'!D77)</f>
        <v/>
      </c>
      <c r="E88" s="80">
        <f>IF('EVENT ASSIGNMENT'!E77="","",'EVENT ASSIGNMENT'!E77)</f>
        <v/>
      </c>
      <c r="F88" s="227">
        <f>IF('EVENT ASSIGNMENT'!G77="","",'EVENT ASSIGNMENT'!G77)</f>
        <v/>
      </c>
      <c r="G88" s="226">
        <f>IF(E88="",0,SUMIFS('MSR DATA'!$I$2:$I$1001,'MSR DATA'!$D$2:$D$1001,E88))</f>
        <v/>
      </c>
      <c r="H88" s="226">
        <f>IF(E88="",0,SUMIFS('MSR DATA'!$I$2:$I$1001,'MSR DATA'!$D$2:$D$1001,E88,'MSR DATA'!$G$2:$G$1001,"ALCOHOL"))</f>
        <v/>
      </c>
      <c r="I88" s="226">
        <f>G88-H88</f>
        <v/>
      </c>
      <c r="J88" s="226">
        <f>G88*IF(F88="",0,F88)</f>
        <v/>
      </c>
      <c r="K88" s="226">
        <f>I88*IF(F88="",0,F88)*$B$4+H88*IF(F88="",0,F88)*$B$5</f>
        <v/>
      </c>
      <c r="L88" s="80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30">
      <c r="A89" s="225">
        <f>IF('EVENT ASSIGNMENT'!A78="","",'EVENT ASSIGNMENT'!A78)</f>
        <v/>
      </c>
      <c r="B89" s="80">
        <f>IF('EVENT ASSIGNMENT'!F78="","",'EVENT ASSIGNMENT'!F78)</f>
        <v/>
      </c>
      <c r="C89" s="80">
        <f>IF('EVENT ASSIGNMENT'!C78="","",'EVENT ASSIGNMENT'!C78)</f>
        <v/>
      </c>
      <c r="D89" s="80">
        <f>IF('EVENT ASSIGNMENT'!D78="","",'EVENT ASSIGNMENT'!D78)</f>
        <v/>
      </c>
      <c r="E89" s="80">
        <f>IF('EVENT ASSIGNMENT'!E78="","",'EVENT ASSIGNMENT'!E78)</f>
        <v/>
      </c>
      <c r="F89" s="227">
        <f>IF('EVENT ASSIGNMENT'!G78="","",'EVENT ASSIGNMENT'!G78)</f>
        <v/>
      </c>
      <c r="G89" s="226">
        <f>IF(E89="",0,SUMIFS('MSR DATA'!$I$2:$I$1001,'MSR DATA'!$D$2:$D$1001,E89))</f>
        <v/>
      </c>
      <c r="H89" s="226">
        <f>IF(E89="",0,SUMIFS('MSR DATA'!$I$2:$I$1001,'MSR DATA'!$D$2:$D$1001,E89,'MSR DATA'!$G$2:$G$1001,"ALCOHOL"))</f>
        <v/>
      </c>
      <c r="I89" s="226">
        <f>G89-H89</f>
        <v/>
      </c>
      <c r="J89" s="226">
        <f>G89*IF(F89="",0,F89)</f>
        <v/>
      </c>
      <c r="K89" s="226">
        <f>I89*IF(F89="",0,F89)*$B$4+H89*IF(F89="",0,F89)*$B$5</f>
        <v/>
      </c>
      <c r="L89" s="80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30">
      <c r="A90" s="225">
        <f>IF('EVENT ASSIGNMENT'!A79="","",'EVENT ASSIGNMENT'!A79)</f>
        <v/>
      </c>
      <c r="B90" s="80">
        <f>IF('EVENT ASSIGNMENT'!F79="","",'EVENT ASSIGNMENT'!F79)</f>
        <v/>
      </c>
      <c r="C90" s="80">
        <f>IF('EVENT ASSIGNMENT'!C79="","",'EVENT ASSIGNMENT'!C79)</f>
        <v/>
      </c>
      <c r="D90" s="80">
        <f>IF('EVENT ASSIGNMENT'!D79="","",'EVENT ASSIGNMENT'!D79)</f>
        <v/>
      </c>
      <c r="E90" s="80">
        <f>IF('EVENT ASSIGNMENT'!E79="","",'EVENT ASSIGNMENT'!E79)</f>
        <v/>
      </c>
      <c r="F90" s="227">
        <f>IF('EVENT ASSIGNMENT'!G79="","",'EVENT ASSIGNMENT'!G79)</f>
        <v/>
      </c>
      <c r="G90" s="226">
        <f>IF(E90="",0,SUMIFS('MSR DATA'!$I$2:$I$1001,'MSR DATA'!$D$2:$D$1001,E90))</f>
        <v/>
      </c>
      <c r="H90" s="226">
        <f>IF(E90="",0,SUMIFS('MSR DATA'!$I$2:$I$1001,'MSR DATA'!$D$2:$D$1001,E90,'MSR DATA'!$G$2:$G$1001,"ALCOHOL"))</f>
        <v/>
      </c>
      <c r="I90" s="226">
        <f>G90-H90</f>
        <v/>
      </c>
      <c r="J90" s="226">
        <f>G90*IF(F90="",0,F90)</f>
        <v/>
      </c>
      <c r="K90" s="226">
        <f>I90*IF(F90="",0,F90)*$B$4+H90*IF(F90="",0,F90)*$B$5</f>
        <v/>
      </c>
      <c r="L90" s="80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30">
      <c r="A91" s="225">
        <f>IF('EVENT ASSIGNMENT'!A80="","",'EVENT ASSIGNMENT'!A80)</f>
        <v/>
      </c>
      <c r="B91" s="80">
        <f>IF('EVENT ASSIGNMENT'!F80="","",'EVENT ASSIGNMENT'!F80)</f>
        <v/>
      </c>
      <c r="C91" s="80">
        <f>IF('EVENT ASSIGNMENT'!C80="","",'EVENT ASSIGNMENT'!C80)</f>
        <v/>
      </c>
      <c r="D91" s="80">
        <f>IF('EVENT ASSIGNMENT'!D80="","",'EVENT ASSIGNMENT'!D80)</f>
        <v/>
      </c>
      <c r="E91" s="80">
        <f>IF('EVENT ASSIGNMENT'!E80="","",'EVENT ASSIGNMENT'!E80)</f>
        <v/>
      </c>
      <c r="F91" s="227">
        <f>IF('EVENT ASSIGNMENT'!G80="","",'EVENT ASSIGNMENT'!G80)</f>
        <v/>
      </c>
      <c r="G91" s="226">
        <f>IF(E91="",0,SUMIFS('MSR DATA'!$I$2:$I$1001,'MSR DATA'!$D$2:$D$1001,E91))</f>
        <v/>
      </c>
      <c r="H91" s="226">
        <f>IF(E91="",0,SUMIFS('MSR DATA'!$I$2:$I$1001,'MSR DATA'!$D$2:$D$1001,E91,'MSR DATA'!$G$2:$G$1001,"ALCOHOL"))</f>
        <v/>
      </c>
      <c r="I91" s="226">
        <f>G91-H91</f>
        <v/>
      </c>
      <c r="J91" s="226">
        <f>G91*IF(F91="",0,F91)</f>
        <v/>
      </c>
      <c r="K91" s="226">
        <f>I91*IF(F91="",0,F91)*$B$4+H91*IF(F91="",0,F91)*$B$5</f>
        <v/>
      </c>
      <c r="L91" s="80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30">
      <c r="A92" s="225">
        <f>IF('EVENT ASSIGNMENT'!A81="","",'EVENT ASSIGNMENT'!A81)</f>
        <v/>
      </c>
      <c r="B92" s="80">
        <f>IF('EVENT ASSIGNMENT'!F81="","",'EVENT ASSIGNMENT'!F81)</f>
        <v/>
      </c>
      <c r="C92" s="80">
        <f>IF('EVENT ASSIGNMENT'!C81="","",'EVENT ASSIGNMENT'!C81)</f>
        <v/>
      </c>
      <c r="D92" s="80">
        <f>IF('EVENT ASSIGNMENT'!D81="","",'EVENT ASSIGNMENT'!D81)</f>
        <v/>
      </c>
      <c r="E92" s="80">
        <f>IF('EVENT ASSIGNMENT'!E81="","",'EVENT ASSIGNMENT'!E81)</f>
        <v/>
      </c>
      <c r="F92" s="227">
        <f>IF('EVENT ASSIGNMENT'!G81="","",'EVENT ASSIGNMENT'!G81)</f>
        <v/>
      </c>
      <c r="G92" s="226">
        <f>IF(E92="",0,SUMIFS('MSR DATA'!$I$2:$I$1001,'MSR DATA'!$D$2:$D$1001,E92))</f>
        <v/>
      </c>
      <c r="H92" s="226">
        <f>IF(E92="",0,SUMIFS('MSR DATA'!$I$2:$I$1001,'MSR DATA'!$D$2:$D$1001,E92,'MSR DATA'!$G$2:$G$1001,"ALCOHOL"))</f>
        <v/>
      </c>
      <c r="I92" s="226">
        <f>G92-H92</f>
        <v/>
      </c>
      <c r="J92" s="226">
        <f>G92*IF(F92="",0,F92)</f>
        <v/>
      </c>
      <c r="K92" s="226">
        <f>I92*IF(F92="",0,F92)*$B$4+H92*IF(F92="",0,F92)*$B$5</f>
        <v/>
      </c>
      <c r="L92" s="80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30">
      <c r="A93" s="225">
        <f>IF('EVENT ASSIGNMENT'!A82="","",'EVENT ASSIGNMENT'!A82)</f>
        <v/>
      </c>
      <c r="B93" s="80">
        <f>IF('EVENT ASSIGNMENT'!F82="","",'EVENT ASSIGNMENT'!F82)</f>
        <v/>
      </c>
      <c r="C93" s="80">
        <f>IF('EVENT ASSIGNMENT'!C82="","",'EVENT ASSIGNMENT'!C82)</f>
        <v/>
      </c>
      <c r="D93" s="80">
        <f>IF('EVENT ASSIGNMENT'!D82="","",'EVENT ASSIGNMENT'!D82)</f>
        <v/>
      </c>
      <c r="E93" s="80">
        <f>IF('EVENT ASSIGNMENT'!E82="","",'EVENT ASSIGNMENT'!E82)</f>
        <v/>
      </c>
      <c r="F93" s="227">
        <f>IF('EVENT ASSIGNMENT'!G82="","",'EVENT ASSIGNMENT'!G82)</f>
        <v/>
      </c>
      <c r="G93" s="226">
        <f>IF(E93="",0,SUMIFS('MSR DATA'!$I$2:$I$1001,'MSR DATA'!$D$2:$D$1001,E93))</f>
        <v/>
      </c>
      <c r="H93" s="226">
        <f>IF(E93="",0,SUMIFS('MSR DATA'!$I$2:$I$1001,'MSR DATA'!$D$2:$D$1001,E93,'MSR DATA'!$G$2:$G$1001,"ALCOHOL"))</f>
        <v/>
      </c>
      <c r="I93" s="226">
        <f>G93-H93</f>
        <v/>
      </c>
      <c r="J93" s="226">
        <f>G93*IF(F93="",0,F93)</f>
        <v/>
      </c>
      <c r="K93" s="226">
        <f>I93*IF(F93="",0,F93)*$B$4+H93*IF(F93="",0,F93)*$B$5</f>
        <v/>
      </c>
      <c r="L93" s="80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30">
      <c r="A94" s="225">
        <f>IF('EVENT ASSIGNMENT'!A83="","",'EVENT ASSIGNMENT'!A83)</f>
        <v/>
      </c>
      <c r="B94" s="80">
        <f>IF('EVENT ASSIGNMENT'!F83="","",'EVENT ASSIGNMENT'!F83)</f>
        <v/>
      </c>
      <c r="C94" s="80">
        <f>IF('EVENT ASSIGNMENT'!C83="","",'EVENT ASSIGNMENT'!C83)</f>
        <v/>
      </c>
      <c r="D94" s="80">
        <f>IF('EVENT ASSIGNMENT'!D83="","",'EVENT ASSIGNMENT'!D83)</f>
        <v/>
      </c>
      <c r="E94" s="80">
        <f>IF('EVENT ASSIGNMENT'!E83="","",'EVENT ASSIGNMENT'!E83)</f>
        <v/>
      </c>
      <c r="F94" s="227">
        <f>IF('EVENT ASSIGNMENT'!G83="","",'EVENT ASSIGNMENT'!G83)</f>
        <v/>
      </c>
      <c r="G94" s="226">
        <f>IF(E94="",0,SUMIFS('MSR DATA'!$I$2:$I$1001,'MSR DATA'!$D$2:$D$1001,E94))</f>
        <v/>
      </c>
      <c r="H94" s="226">
        <f>IF(E94="",0,SUMIFS('MSR DATA'!$I$2:$I$1001,'MSR DATA'!$D$2:$D$1001,E94,'MSR DATA'!$G$2:$G$1001,"ALCOHOL"))</f>
        <v/>
      </c>
      <c r="I94" s="226">
        <f>G94-H94</f>
        <v/>
      </c>
      <c r="J94" s="226">
        <f>G94*IF(F94="",0,F94)</f>
        <v/>
      </c>
      <c r="K94" s="226">
        <f>I94*IF(F94="",0,F94)*$B$4+H94*IF(F94="",0,F94)*$B$5</f>
        <v/>
      </c>
      <c r="L94" s="80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30">
      <c r="A95" s="225">
        <f>IF('EVENT ASSIGNMENT'!A84="","",'EVENT ASSIGNMENT'!A84)</f>
        <v/>
      </c>
      <c r="B95" s="80">
        <f>IF('EVENT ASSIGNMENT'!F84="","",'EVENT ASSIGNMENT'!F84)</f>
        <v/>
      </c>
      <c r="C95" s="80">
        <f>IF('EVENT ASSIGNMENT'!C84="","",'EVENT ASSIGNMENT'!C84)</f>
        <v/>
      </c>
      <c r="D95" s="80">
        <f>IF('EVENT ASSIGNMENT'!D84="","",'EVENT ASSIGNMENT'!D84)</f>
        <v/>
      </c>
      <c r="E95" s="80">
        <f>IF('EVENT ASSIGNMENT'!E84="","",'EVENT ASSIGNMENT'!E84)</f>
        <v/>
      </c>
      <c r="F95" s="227">
        <f>IF('EVENT ASSIGNMENT'!G84="","",'EVENT ASSIGNMENT'!G84)</f>
        <v/>
      </c>
      <c r="G95" s="226">
        <f>IF(E95="",0,SUMIFS('MSR DATA'!$I$2:$I$1001,'MSR DATA'!$D$2:$D$1001,E95))</f>
        <v/>
      </c>
      <c r="H95" s="226">
        <f>IF(E95="",0,SUMIFS('MSR DATA'!$I$2:$I$1001,'MSR DATA'!$D$2:$D$1001,E95,'MSR DATA'!$G$2:$G$1001,"ALCOHOL"))</f>
        <v/>
      </c>
      <c r="I95" s="226">
        <f>G95-H95</f>
        <v/>
      </c>
      <c r="J95" s="226">
        <f>G95*IF(F95="",0,F95)</f>
        <v/>
      </c>
      <c r="K95" s="226">
        <f>I95*IF(F95="",0,F95)*$B$4+H95*IF(F95="",0,F95)*$B$5</f>
        <v/>
      </c>
      <c r="L95" s="80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30">
      <c r="A96" s="225">
        <f>IF('EVENT ASSIGNMENT'!A85="","",'EVENT ASSIGNMENT'!A85)</f>
        <v/>
      </c>
      <c r="B96" s="80">
        <f>IF('EVENT ASSIGNMENT'!F85="","",'EVENT ASSIGNMENT'!F85)</f>
        <v/>
      </c>
      <c r="C96" s="80">
        <f>IF('EVENT ASSIGNMENT'!C85="","",'EVENT ASSIGNMENT'!C85)</f>
        <v/>
      </c>
      <c r="D96" s="80">
        <f>IF('EVENT ASSIGNMENT'!D85="","",'EVENT ASSIGNMENT'!D85)</f>
        <v/>
      </c>
      <c r="E96" s="80">
        <f>IF('EVENT ASSIGNMENT'!E85="","",'EVENT ASSIGNMENT'!E85)</f>
        <v/>
      </c>
      <c r="F96" s="227">
        <f>IF('EVENT ASSIGNMENT'!G85="","",'EVENT ASSIGNMENT'!G85)</f>
        <v/>
      </c>
      <c r="G96" s="226">
        <f>IF(E96="",0,SUMIFS('MSR DATA'!$I$2:$I$1001,'MSR DATA'!$D$2:$D$1001,E96))</f>
        <v/>
      </c>
      <c r="H96" s="226">
        <f>IF(E96="",0,SUMIFS('MSR DATA'!$I$2:$I$1001,'MSR DATA'!$D$2:$D$1001,E96,'MSR DATA'!$G$2:$G$1001,"ALCOHOL"))</f>
        <v/>
      </c>
      <c r="I96" s="226">
        <f>G96-H96</f>
        <v/>
      </c>
      <c r="J96" s="226">
        <f>G96*IF(F96="",0,F96)</f>
        <v/>
      </c>
      <c r="K96" s="226">
        <f>I96*IF(F96="",0,F96)*$B$4+H96*IF(F96="",0,F96)*$B$5</f>
        <v/>
      </c>
      <c r="L96" s="80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30">
      <c r="A97" s="225">
        <f>IF('EVENT ASSIGNMENT'!A86="","",'EVENT ASSIGNMENT'!A86)</f>
        <v/>
      </c>
      <c r="B97" s="80">
        <f>IF('EVENT ASSIGNMENT'!F86="","",'EVENT ASSIGNMENT'!F86)</f>
        <v/>
      </c>
      <c r="C97" s="80">
        <f>IF('EVENT ASSIGNMENT'!C86="","",'EVENT ASSIGNMENT'!C86)</f>
        <v/>
      </c>
      <c r="D97" s="80">
        <f>IF('EVENT ASSIGNMENT'!D86="","",'EVENT ASSIGNMENT'!D86)</f>
        <v/>
      </c>
      <c r="E97" s="80">
        <f>IF('EVENT ASSIGNMENT'!E86="","",'EVENT ASSIGNMENT'!E86)</f>
        <v/>
      </c>
      <c r="F97" s="227">
        <f>IF('EVENT ASSIGNMENT'!G86="","",'EVENT ASSIGNMENT'!G86)</f>
        <v/>
      </c>
      <c r="G97" s="226">
        <f>IF(E97="",0,SUMIFS('MSR DATA'!$I$2:$I$1001,'MSR DATA'!$D$2:$D$1001,E97))</f>
        <v/>
      </c>
      <c r="H97" s="226">
        <f>IF(E97="",0,SUMIFS('MSR DATA'!$I$2:$I$1001,'MSR DATA'!$D$2:$D$1001,E97,'MSR DATA'!$G$2:$G$1001,"ALCOHOL"))</f>
        <v/>
      </c>
      <c r="I97" s="226">
        <f>G97-H97</f>
        <v/>
      </c>
      <c r="J97" s="226">
        <f>G97*IF(F97="",0,F97)</f>
        <v/>
      </c>
      <c r="K97" s="226">
        <f>I97*IF(F97="",0,F97)*$B$4+H97*IF(F97="",0,F97)*$B$5</f>
        <v/>
      </c>
      <c r="L97" s="80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30">
      <c r="A98" s="225">
        <f>IF('EVENT ASSIGNMENT'!A87="","",'EVENT ASSIGNMENT'!A87)</f>
        <v/>
      </c>
      <c r="B98" s="80">
        <f>IF('EVENT ASSIGNMENT'!F87="","",'EVENT ASSIGNMENT'!F87)</f>
        <v/>
      </c>
      <c r="C98" s="80">
        <f>IF('EVENT ASSIGNMENT'!C87="","",'EVENT ASSIGNMENT'!C87)</f>
        <v/>
      </c>
      <c r="D98" s="80">
        <f>IF('EVENT ASSIGNMENT'!D87="","",'EVENT ASSIGNMENT'!D87)</f>
        <v/>
      </c>
      <c r="E98" s="80">
        <f>IF('EVENT ASSIGNMENT'!E87="","",'EVENT ASSIGNMENT'!E87)</f>
        <v/>
      </c>
      <c r="F98" s="227">
        <f>IF('EVENT ASSIGNMENT'!G87="","",'EVENT ASSIGNMENT'!G87)</f>
        <v/>
      </c>
      <c r="G98" s="226">
        <f>IF(E98="",0,SUMIFS('MSR DATA'!$I$2:$I$1001,'MSR DATA'!$D$2:$D$1001,E98))</f>
        <v/>
      </c>
      <c r="H98" s="226">
        <f>IF(E98="",0,SUMIFS('MSR DATA'!$I$2:$I$1001,'MSR DATA'!$D$2:$D$1001,E98,'MSR DATA'!$G$2:$G$1001,"ALCOHOL"))</f>
        <v/>
      </c>
      <c r="I98" s="226">
        <f>G98-H98</f>
        <v/>
      </c>
      <c r="J98" s="226">
        <f>G98*IF(F98="",0,F98)</f>
        <v/>
      </c>
      <c r="K98" s="226">
        <f>I98*IF(F98="",0,F98)*$B$4+H98*IF(F98="",0,F98)*$B$5</f>
        <v/>
      </c>
      <c r="L98" s="80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30">
      <c r="A99" s="225">
        <f>IF('EVENT ASSIGNMENT'!A88="","",'EVENT ASSIGNMENT'!A88)</f>
        <v/>
      </c>
      <c r="B99" s="80">
        <f>IF('EVENT ASSIGNMENT'!F88="","",'EVENT ASSIGNMENT'!F88)</f>
        <v/>
      </c>
      <c r="C99" s="80">
        <f>IF('EVENT ASSIGNMENT'!C88="","",'EVENT ASSIGNMENT'!C88)</f>
        <v/>
      </c>
      <c r="D99" s="80">
        <f>IF('EVENT ASSIGNMENT'!D88="","",'EVENT ASSIGNMENT'!D88)</f>
        <v/>
      </c>
      <c r="E99" s="80">
        <f>IF('EVENT ASSIGNMENT'!E88="","",'EVENT ASSIGNMENT'!E88)</f>
        <v/>
      </c>
      <c r="F99" s="227">
        <f>IF('EVENT ASSIGNMENT'!G88="","",'EVENT ASSIGNMENT'!G88)</f>
        <v/>
      </c>
      <c r="G99" s="226">
        <f>IF(E99="",0,SUMIFS('MSR DATA'!$I$2:$I$1001,'MSR DATA'!$D$2:$D$1001,E99))</f>
        <v/>
      </c>
      <c r="H99" s="226">
        <f>IF(E99="",0,SUMIFS('MSR DATA'!$I$2:$I$1001,'MSR DATA'!$D$2:$D$1001,E99,'MSR DATA'!$G$2:$G$1001,"ALCOHOL"))</f>
        <v/>
      </c>
      <c r="I99" s="226">
        <f>G99-H99</f>
        <v/>
      </c>
      <c r="J99" s="226">
        <f>G99*IF(F99="",0,F99)</f>
        <v/>
      </c>
      <c r="K99" s="226">
        <f>I99*IF(F99="",0,F99)*$B$4+H99*IF(F99="",0,F99)*$B$5</f>
        <v/>
      </c>
      <c r="L99" s="80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30">
      <c r="A100" s="225">
        <f>IF('EVENT ASSIGNMENT'!A89="","",'EVENT ASSIGNMENT'!A89)</f>
        <v/>
      </c>
      <c r="B100" s="80">
        <f>IF('EVENT ASSIGNMENT'!F89="","",'EVENT ASSIGNMENT'!F89)</f>
        <v/>
      </c>
      <c r="C100" s="80">
        <f>IF('EVENT ASSIGNMENT'!C89="","",'EVENT ASSIGNMENT'!C89)</f>
        <v/>
      </c>
      <c r="D100" s="80">
        <f>IF('EVENT ASSIGNMENT'!D89="","",'EVENT ASSIGNMENT'!D89)</f>
        <v/>
      </c>
      <c r="E100" s="80">
        <f>IF('EVENT ASSIGNMENT'!E89="","",'EVENT ASSIGNMENT'!E89)</f>
        <v/>
      </c>
      <c r="F100" s="227">
        <f>IF('EVENT ASSIGNMENT'!G89="","",'EVENT ASSIGNMENT'!G89)</f>
        <v/>
      </c>
      <c r="G100" s="226">
        <f>IF(E100="",0,SUMIFS('MSR DATA'!$I$2:$I$1001,'MSR DATA'!$D$2:$D$1001,E100))</f>
        <v/>
      </c>
      <c r="H100" s="226">
        <f>IF(E100="",0,SUMIFS('MSR DATA'!$I$2:$I$1001,'MSR DATA'!$D$2:$D$1001,E100,'MSR DATA'!$G$2:$G$1001,"ALCOHOL"))</f>
        <v/>
      </c>
      <c r="I100" s="226">
        <f>G100-H100</f>
        <v/>
      </c>
      <c r="J100" s="226">
        <f>G100*IF(F100="",0,F100)</f>
        <v/>
      </c>
      <c r="K100" s="226">
        <f>I100*IF(F100="",0,F100)*$B$4+H100*IF(F100="",0,F100)*$B$5</f>
        <v/>
      </c>
      <c r="L100" s="80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30">
      <c r="A101" s="225">
        <f>IF('EVENT ASSIGNMENT'!A90="","",'EVENT ASSIGNMENT'!A90)</f>
        <v/>
      </c>
      <c r="B101" s="80">
        <f>IF('EVENT ASSIGNMENT'!F90="","",'EVENT ASSIGNMENT'!F90)</f>
        <v/>
      </c>
      <c r="C101" s="80">
        <f>IF('EVENT ASSIGNMENT'!C90="","",'EVENT ASSIGNMENT'!C90)</f>
        <v/>
      </c>
      <c r="D101" s="80">
        <f>IF('EVENT ASSIGNMENT'!D90="","",'EVENT ASSIGNMENT'!D90)</f>
        <v/>
      </c>
      <c r="E101" s="80">
        <f>IF('EVENT ASSIGNMENT'!E90="","",'EVENT ASSIGNMENT'!E90)</f>
        <v/>
      </c>
      <c r="F101" s="227">
        <f>IF('EVENT ASSIGNMENT'!G90="","",'EVENT ASSIGNMENT'!G90)</f>
        <v/>
      </c>
      <c r="G101" s="226">
        <f>IF(E101="",0,SUMIFS('MSR DATA'!$I$2:$I$1001,'MSR DATA'!$D$2:$D$1001,E101))</f>
        <v/>
      </c>
      <c r="H101" s="226">
        <f>IF(E101="",0,SUMIFS('MSR DATA'!$I$2:$I$1001,'MSR DATA'!$D$2:$D$1001,E101,'MSR DATA'!$G$2:$G$1001,"ALCOHOL"))</f>
        <v/>
      </c>
      <c r="I101" s="226">
        <f>G101-H101</f>
        <v/>
      </c>
      <c r="J101" s="226">
        <f>G101*IF(F101="",0,F101)</f>
        <v/>
      </c>
      <c r="K101" s="226">
        <f>I101*IF(F101="",0,F101)*$B$4+H101*IF(F101="",0,F101)*$B$5</f>
        <v/>
      </c>
      <c r="L101" s="80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30">
      <c r="A102" s="225">
        <f>IF('EVENT ASSIGNMENT'!A91="","",'EVENT ASSIGNMENT'!A91)</f>
        <v/>
      </c>
      <c r="B102" s="80">
        <f>IF('EVENT ASSIGNMENT'!F91="","",'EVENT ASSIGNMENT'!F91)</f>
        <v/>
      </c>
      <c r="C102" s="80">
        <f>IF('EVENT ASSIGNMENT'!C91="","",'EVENT ASSIGNMENT'!C91)</f>
        <v/>
      </c>
      <c r="D102" s="80">
        <f>IF('EVENT ASSIGNMENT'!D91="","",'EVENT ASSIGNMENT'!D91)</f>
        <v/>
      </c>
      <c r="E102" s="80">
        <f>IF('EVENT ASSIGNMENT'!E91="","",'EVENT ASSIGNMENT'!E91)</f>
        <v/>
      </c>
      <c r="F102" s="227">
        <f>IF('EVENT ASSIGNMENT'!G91="","",'EVENT ASSIGNMENT'!G91)</f>
        <v/>
      </c>
      <c r="G102" s="226">
        <f>IF(E102="",0,SUMIFS('MSR DATA'!$I$2:$I$1001,'MSR DATA'!$D$2:$D$1001,E102))</f>
        <v/>
      </c>
      <c r="H102" s="226">
        <f>IF(E102="",0,SUMIFS('MSR DATA'!$I$2:$I$1001,'MSR DATA'!$D$2:$D$1001,E102,'MSR DATA'!$G$2:$G$1001,"ALCOHOL"))</f>
        <v/>
      </c>
      <c r="I102" s="226">
        <f>G102-H102</f>
        <v/>
      </c>
      <c r="J102" s="226">
        <f>G102*IF(F102="",0,F102)</f>
        <v/>
      </c>
      <c r="K102" s="226">
        <f>I102*IF(F102="",0,F102)*$B$4+H102*IF(F102="",0,F102)*$B$5</f>
        <v/>
      </c>
      <c r="L102" s="80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30">
      <c r="A103" s="225">
        <f>IF('EVENT ASSIGNMENT'!A92="","",'EVENT ASSIGNMENT'!A92)</f>
        <v/>
      </c>
      <c r="B103" s="80">
        <f>IF('EVENT ASSIGNMENT'!F92="","",'EVENT ASSIGNMENT'!F92)</f>
        <v/>
      </c>
      <c r="C103" s="80">
        <f>IF('EVENT ASSIGNMENT'!C92="","",'EVENT ASSIGNMENT'!C92)</f>
        <v/>
      </c>
      <c r="D103" s="80">
        <f>IF('EVENT ASSIGNMENT'!D92="","",'EVENT ASSIGNMENT'!D92)</f>
        <v/>
      </c>
      <c r="E103" s="80">
        <f>IF('EVENT ASSIGNMENT'!E92="","",'EVENT ASSIGNMENT'!E92)</f>
        <v/>
      </c>
      <c r="F103" s="227">
        <f>IF('EVENT ASSIGNMENT'!G92="","",'EVENT ASSIGNMENT'!G92)</f>
        <v/>
      </c>
      <c r="G103" s="226">
        <f>IF(E103="",0,SUMIFS('MSR DATA'!$I$2:$I$1001,'MSR DATA'!$D$2:$D$1001,E103))</f>
        <v/>
      </c>
      <c r="H103" s="226">
        <f>IF(E103="",0,SUMIFS('MSR DATA'!$I$2:$I$1001,'MSR DATA'!$D$2:$D$1001,E103,'MSR DATA'!$G$2:$G$1001,"ALCOHOL"))</f>
        <v/>
      </c>
      <c r="I103" s="226">
        <f>G103-H103</f>
        <v/>
      </c>
      <c r="J103" s="226">
        <f>G103*IF(F103="",0,F103)</f>
        <v/>
      </c>
      <c r="K103" s="226">
        <f>I103*IF(F103="",0,F103)*$B$4+H103*IF(F103="",0,F103)*$B$5</f>
        <v/>
      </c>
      <c r="L103" s="80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30">
      <c r="A104" s="225">
        <f>IF('EVENT ASSIGNMENT'!A93="","",'EVENT ASSIGNMENT'!A93)</f>
        <v/>
      </c>
      <c r="B104" s="80">
        <f>IF('EVENT ASSIGNMENT'!F93="","",'EVENT ASSIGNMENT'!F93)</f>
        <v/>
      </c>
      <c r="C104" s="80">
        <f>IF('EVENT ASSIGNMENT'!C93="","",'EVENT ASSIGNMENT'!C93)</f>
        <v/>
      </c>
      <c r="D104" s="80">
        <f>IF('EVENT ASSIGNMENT'!D93="","",'EVENT ASSIGNMENT'!D93)</f>
        <v/>
      </c>
      <c r="E104" s="80">
        <f>IF('EVENT ASSIGNMENT'!E93="","",'EVENT ASSIGNMENT'!E93)</f>
        <v/>
      </c>
      <c r="F104" s="227">
        <f>IF('EVENT ASSIGNMENT'!G93="","",'EVENT ASSIGNMENT'!G93)</f>
        <v/>
      </c>
      <c r="G104" s="226">
        <f>IF(E104="",0,SUMIFS('MSR DATA'!$I$2:$I$1001,'MSR DATA'!$D$2:$D$1001,E104))</f>
        <v/>
      </c>
      <c r="H104" s="226">
        <f>IF(E104="",0,SUMIFS('MSR DATA'!$I$2:$I$1001,'MSR DATA'!$D$2:$D$1001,E104,'MSR DATA'!$G$2:$G$1001,"ALCOHOL"))</f>
        <v/>
      </c>
      <c r="I104" s="226">
        <f>G104-H104</f>
        <v/>
      </c>
      <c r="J104" s="226">
        <f>G104*IF(F104="",0,F104)</f>
        <v/>
      </c>
      <c r="K104" s="226">
        <f>I104*IF(F104="",0,F104)*$B$4+H104*IF(F104="",0,F104)*$B$5</f>
        <v/>
      </c>
      <c r="L104" s="80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30">
      <c r="A105" s="225">
        <f>IF('EVENT ASSIGNMENT'!A94="","",'EVENT ASSIGNMENT'!A94)</f>
        <v/>
      </c>
      <c r="B105" s="80">
        <f>IF('EVENT ASSIGNMENT'!F94="","",'EVENT ASSIGNMENT'!F94)</f>
        <v/>
      </c>
      <c r="C105" s="80">
        <f>IF('EVENT ASSIGNMENT'!C94="","",'EVENT ASSIGNMENT'!C94)</f>
        <v/>
      </c>
      <c r="D105" s="80">
        <f>IF('EVENT ASSIGNMENT'!D94="","",'EVENT ASSIGNMENT'!D94)</f>
        <v/>
      </c>
      <c r="E105" s="80">
        <f>IF('EVENT ASSIGNMENT'!E94="","",'EVENT ASSIGNMENT'!E94)</f>
        <v/>
      </c>
      <c r="F105" s="227">
        <f>IF('EVENT ASSIGNMENT'!G94="","",'EVENT ASSIGNMENT'!G94)</f>
        <v/>
      </c>
      <c r="G105" s="226">
        <f>IF(E105="",0,SUMIFS('MSR DATA'!$I$2:$I$1001,'MSR DATA'!$D$2:$D$1001,E105))</f>
        <v/>
      </c>
      <c r="H105" s="226">
        <f>IF(E105="",0,SUMIFS('MSR DATA'!$I$2:$I$1001,'MSR DATA'!$D$2:$D$1001,E105,'MSR DATA'!$G$2:$G$1001,"ALCOHOL"))</f>
        <v/>
      </c>
      <c r="I105" s="226">
        <f>G105-H105</f>
        <v/>
      </c>
      <c r="J105" s="226">
        <f>G105*IF(F105="",0,F105)</f>
        <v/>
      </c>
      <c r="K105" s="226">
        <f>I105*IF(F105="",0,F105)*$B$4+H105*IF(F105="",0,F105)*$B$5</f>
        <v/>
      </c>
      <c r="L105" s="80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30">
      <c r="A106" s="225">
        <f>IF('EVENT ASSIGNMENT'!A95="","",'EVENT ASSIGNMENT'!A95)</f>
        <v/>
      </c>
      <c r="B106" s="80">
        <f>IF('EVENT ASSIGNMENT'!F95="","",'EVENT ASSIGNMENT'!F95)</f>
        <v/>
      </c>
      <c r="C106" s="80">
        <f>IF('EVENT ASSIGNMENT'!C95="","",'EVENT ASSIGNMENT'!C95)</f>
        <v/>
      </c>
      <c r="D106" s="80">
        <f>IF('EVENT ASSIGNMENT'!D95="","",'EVENT ASSIGNMENT'!D95)</f>
        <v/>
      </c>
      <c r="E106" s="80">
        <f>IF('EVENT ASSIGNMENT'!E95="","",'EVENT ASSIGNMENT'!E95)</f>
        <v/>
      </c>
      <c r="F106" s="227">
        <f>IF('EVENT ASSIGNMENT'!G95="","",'EVENT ASSIGNMENT'!G95)</f>
        <v/>
      </c>
      <c r="G106" s="226">
        <f>IF(E106="",0,SUMIFS('MSR DATA'!$I$2:$I$1001,'MSR DATA'!$D$2:$D$1001,E106))</f>
        <v/>
      </c>
      <c r="H106" s="226">
        <f>IF(E106="",0,SUMIFS('MSR DATA'!$I$2:$I$1001,'MSR DATA'!$D$2:$D$1001,E106,'MSR DATA'!$G$2:$G$1001,"ALCOHOL"))</f>
        <v/>
      </c>
      <c r="I106" s="226">
        <f>G106-H106</f>
        <v/>
      </c>
      <c r="J106" s="226">
        <f>G106*IF(F106="",0,F106)</f>
        <v/>
      </c>
      <c r="K106" s="226">
        <f>I106*IF(F106="",0,F106)*$B$4+H106*IF(F106="",0,F106)*$B$5</f>
        <v/>
      </c>
      <c r="L106" s="80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30">
      <c r="A107" s="225">
        <f>IF('EVENT ASSIGNMENT'!A96="","",'EVENT ASSIGNMENT'!A96)</f>
        <v/>
      </c>
      <c r="B107" s="80">
        <f>IF('EVENT ASSIGNMENT'!F96="","",'EVENT ASSIGNMENT'!F96)</f>
        <v/>
      </c>
      <c r="C107" s="80">
        <f>IF('EVENT ASSIGNMENT'!C96="","",'EVENT ASSIGNMENT'!C96)</f>
        <v/>
      </c>
      <c r="D107" s="80">
        <f>IF('EVENT ASSIGNMENT'!D96="","",'EVENT ASSIGNMENT'!D96)</f>
        <v/>
      </c>
      <c r="E107" s="80">
        <f>IF('EVENT ASSIGNMENT'!E96="","",'EVENT ASSIGNMENT'!E96)</f>
        <v/>
      </c>
      <c r="F107" s="227">
        <f>IF('EVENT ASSIGNMENT'!G96="","",'EVENT ASSIGNMENT'!G96)</f>
        <v/>
      </c>
      <c r="G107" s="226">
        <f>IF(E107="",0,SUMIFS('MSR DATA'!$I$2:$I$1001,'MSR DATA'!$D$2:$D$1001,E107))</f>
        <v/>
      </c>
      <c r="H107" s="226">
        <f>IF(E107="",0,SUMIFS('MSR DATA'!$I$2:$I$1001,'MSR DATA'!$D$2:$D$1001,E107,'MSR DATA'!$G$2:$G$1001,"ALCOHOL"))</f>
        <v/>
      </c>
      <c r="I107" s="226">
        <f>G107-H107</f>
        <v/>
      </c>
      <c r="J107" s="226">
        <f>G107*IF(F107="",0,F107)</f>
        <v/>
      </c>
      <c r="K107" s="226">
        <f>I107*IF(F107="",0,F107)*$B$4+H107*IF(F107="",0,F107)*$B$5</f>
        <v/>
      </c>
      <c r="L107" s="80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30">
      <c r="A108" s="225">
        <f>IF('EVENT ASSIGNMENT'!A97="","",'EVENT ASSIGNMENT'!A97)</f>
        <v/>
      </c>
      <c r="B108" s="80">
        <f>IF('EVENT ASSIGNMENT'!F97="","",'EVENT ASSIGNMENT'!F97)</f>
        <v/>
      </c>
      <c r="C108" s="80">
        <f>IF('EVENT ASSIGNMENT'!C97="","",'EVENT ASSIGNMENT'!C97)</f>
        <v/>
      </c>
      <c r="D108" s="80">
        <f>IF('EVENT ASSIGNMENT'!D97="","",'EVENT ASSIGNMENT'!D97)</f>
        <v/>
      </c>
      <c r="E108" s="80">
        <f>IF('EVENT ASSIGNMENT'!E97="","",'EVENT ASSIGNMENT'!E97)</f>
        <v/>
      </c>
      <c r="F108" s="227">
        <f>IF('EVENT ASSIGNMENT'!G97="","",'EVENT ASSIGNMENT'!G97)</f>
        <v/>
      </c>
      <c r="G108" s="226">
        <f>IF(E108="",0,SUMIFS('MSR DATA'!$I$2:$I$1001,'MSR DATA'!$D$2:$D$1001,E108))</f>
        <v/>
      </c>
      <c r="H108" s="226">
        <f>IF(E108="",0,SUMIFS('MSR DATA'!$I$2:$I$1001,'MSR DATA'!$D$2:$D$1001,E108,'MSR DATA'!$G$2:$G$1001,"ALCOHOL"))</f>
        <v/>
      </c>
      <c r="I108" s="226">
        <f>G108-H108</f>
        <v/>
      </c>
      <c r="J108" s="226">
        <f>G108*IF(F108="",0,F108)</f>
        <v/>
      </c>
      <c r="K108" s="226">
        <f>I108*IF(F108="",0,F108)*$B$4+H108*IF(F108="",0,F108)*$B$5</f>
        <v/>
      </c>
      <c r="L108" s="80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30">
      <c r="A109" s="225">
        <f>IF('EVENT ASSIGNMENT'!A98="","",'EVENT ASSIGNMENT'!A98)</f>
        <v/>
      </c>
      <c r="B109" s="80">
        <f>IF('EVENT ASSIGNMENT'!F98="","",'EVENT ASSIGNMENT'!F98)</f>
        <v/>
      </c>
      <c r="C109" s="80">
        <f>IF('EVENT ASSIGNMENT'!C98="","",'EVENT ASSIGNMENT'!C98)</f>
        <v/>
      </c>
      <c r="D109" s="80">
        <f>IF('EVENT ASSIGNMENT'!D98="","",'EVENT ASSIGNMENT'!D98)</f>
        <v/>
      </c>
      <c r="E109" s="80">
        <f>IF('EVENT ASSIGNMENT'!E98="","",'EVENT ASSIGNMENT'!E98)</f>
        <v/>
      </c>
      <c r="F109" s="227">
        <f>IF('EVENT ASSIGNMENT'!G98="","",'EVENT ASSIGNMENT'!G98)</f>
        <v/>
      </c>
      <c r="G109" s="226">
        <f>IF(E109="",0,SUMIFS('MSR DATA'!$I$2:$I$1001,'MSR DATA'!$D$2:$D$1001,E109))</f>
        <v/>
      </c>
      <c r="H109" s="226">
        <f>IF(E109="",0,SUMIFS('MSR DATA'!$I$2:$I$1001,'MSR DATA'!$D$2:$D$1001,E109,'MSR DATA'!$G$2:$G$1001,"ALCOHOL"))</f>
        <v/>
      </c>
      <c r="I109" s="226">
        <f>G109-H109</f>
        <v/>
      </c>
      <c r="J109" s="226">
        <f>G109*IF(F109="",0,F109)</f>
        <v/>
      </c>
      <c r="K109" s="226">
        <f>I109*IF(F109="",0,F109)*$B$4+H109*IF(F109="",0,F109)*$B$5</f>
        <v/>
      </c>
      <c r="L109" s="80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30">
      <c r="A110" s="225">
        <f>IF('EVENT ASSIGNMENT'!A99="","",'EVENT ASSIGNMENT'!A99)</f>
        <v/>
      </c>
      <c r="B110" s="80">
        <f>IF('EVENT ASSIGNMENT'!F99="","",'EVENT ASSIGNMENT'!F99)</f>
        <v/>
      </c>
      <c r="C110" s="80">
        <f>IF('EVENT ASSIGNMENT'!C99="","",'EVENT ASSIGNMENT'!C99)</f>
        <v/>
      </c>
      <c r="D110" s="80">
        <f>IF('EVENT ASSIGNMENT'!D99="","",'EVENT ASSIGNMENT'!D99)</f>
        <v/>
      </c>
      <c r="E110" s="80">
        <f>IF('EVENT ASSIGNMENT'!E99="","",'EVENT ASSIGNMENT'!E99)</f>
        <v/>
      </c>
      <c r="F110" s="227">
        <f>IF('EVENT ASSIGNMENT'!G99="","",'EVENT ASSIGNMENT'!G99)</f>
        <v/>
      </c>
      <c r="G110" s="226">
        <f>IF(E110="",0,SUMIFS('MSR DATA'!$I$2:$I$1001,'MSR DATA'!$D$2:$D$1001,E110))</f>
        <v/>
      </c>
      <c r="H110" s="226">
        <f>IF(E110="",0,SUMIFS('MSR DATA'!$I$2:$I$1001,'MSR DATA'!$D$2:$D$1001,E110,'MSR DATA'!$G$2:$G$1001,"ALCOHOL"))</f>
        <v/>
      </c>
      <c r="I110" s="226">
        <f>G110-H110</f>
        <v/>
      </c>
      <c r="J110" s="226">
        <f>G110*IF(F110="",0,F110)</f>
        <v/>
      </c>
      <c r="K110" s="226">
        <f>I110*IF(F110="",0,F110)*$B$4+H110*IF(F110="",0,F110)*$B$5</f>
        <v/>
      </c>
      <c r="L110" s="80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30">
      <c r="A111" s="225">
        <f>IF('EVENT ASSIGNMENT'!A100="","",'EVENT ASSIGNMENT'!A100)</f>
        <v/>
      </c>
      <c r="B111" s="80">
        <f>IF('EVENT ASSIGNMENT'!F100="","",'EVENT ASSIGNMENT'!F100)</f>
        <v/>
      </c>
      <c r="C111" s="80">
        <f>IF('EVENT ASSIGNMENT'!C100="","",'EVENT ASSIGNMENT'!C100)</f>
        <v/>
      </c>
      <c r="D111" s="80">
        <f>IF('EVENT ASSIGNMENT'!D100="","",'EVENT ASSIGNMENT'!D100)</f>
        <v/>
      </c>
      <c r="E111" s="80">
        <f>IF('EVENT ASSIGNMENT'!E100="","",'EVENT ASSIGNMENT'!E100)</f>
        <v/>
      </c>
      <c r="F111" s="227">
        <f>IF('EVENT ASSIGNMENT'!G100="","",'EVENT ASSIGNMENT'!G100)</f>
        <v/>
      </c>
      <c r="G111" s="226">
        <f>IF(E111="",0,SUMIFS('MSR DATA'!$I$2:$I$1001,'MSR DATA'!$D$2:$D$1001,E111))</f>
        <v/>
      </c>
      <c r="H111" s="226">
        <f>IF(E111="",0,SUMIFS('MSR DATA'!$I$2:$I$1001,'MSR DATA'!$D$2:$D$1001,E111,'MSR DATA'!$G$2:$G$1001,"ALCOHOL"))</f>
        <v/>
      </c>
      <c r="I111" s="226">
        <f>G111-H111</f>
        <v/>
      </c>
      <c r="J111" s="226">
        <f>G111*IF(F111="",0,F111)</f>
        <v/>
      </c>
      <c r="K111" s="226">
        <f>I111*IF(F111="",0,F111)*$B$4+H111*IF(F111="",0,F111)*$B$5</f>
        <v/>
      </c>
      <c r="L111" s="80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30">
      <c r="A112" s="225">
        <f>IF('EVENT ASSIGNMENT'!A101="","",'EVENT ASSIGNMENT'!A101)</f>
        <v/>
      </c>
      <c r="B112" s="80">
        <f>IF('EVENT ASSIGNMENT'!F101="","",'EVENT ASSIGNMENT'!F101)</f>
        <v/>
      </c>
      <c r="C112" s="80">
        <f>IF('EVENT ASSIGNMENT'!C101="","",'EVENT ASSIGNMENT'!C101)</f>
        <v/>
      </c>
      <c r="D112" s="80">
        <f>IF('EVENT ASSIGNMENT'!D101="","",'EVENT ASSIGNMENT'!D101)</f>
        <v/>
      </c>
      <c r="E112" s="80">
        <f>IF('EVENT ASSIGNMENT'!E101="","",'EVENT ASSIGNMENT'!E101)</f>
        <v/>
      </c>
      <c r="F112" s="227">
        <f>IF('EVENT ASSIGNMENT'!G101="","",'EVENT ASSIGNMENT'!G101)</f>
        <v/>
      </c>
      <c r="G112" s="226">
        <f>IF(E112="",0,SUMIFS('MSR DATA'!$I$2:$I$1001,'MSR DATA'!$D$2:$D$1001,E112))</f>
        <v/>
      </c>
      <c r="H112" s="226">
        <f>IF(E112="",0,SUMIFS('MSR DATA'!$I$2:$I$1001,'MSR DATA'!$D$2:$D$1001,E112,'MSR DATA'!$G$2:$G$1001,"ALCOHOL"))</f>
        <v/>
      </c>
      <c r="I112" s="226">
        <f>G112-H112</f>
        <v/>
      </c>
      <c r="J112" s="226">
        <f>G112*IF(F112="",0,F112)</f>
        <v/>
      </c>
      <c r="K112" s="226">
        <f>I112*IF(F112="",0,F112)*$B$4+H112*IF(F112="",0,F112)*$B$5</f>
        <v/>
      </c>
      <c r="L112" s="80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30">
      <c r="A113" s="88" t="n"/>
      <c r="B113" s="88" t="inlineStr">
        <is>
          <t>TOTAL</t>
        </is>
      </c>
      <c r="C113" s="88" t="n"/>
      <c r="D113" s="88" t="n"/>
      <c r="E113" s="88" t="n"/>
      <c r="F113" s="88" t="n"/>
      <c r="G113" s="232">
        <f>SUM(G13:G112)</f>
        <v/>
      </c>
      <c r="H113" s="232">
        <f>SUM(H13:H112)</f>
        <v/>
      </c>
      <c r="I113" s="232">
        <f>SUM(I13:I112)</f>
        <v/>
      </c>
      <c r="J113" s="232">
        <f>SUM(J13:J112)</f>
        <v/>
      </c>
      <c r="K113" s="232">
        <f>SUM(K13:K112)</f>
        <v/>
      </c>
      <c r="L113" s="88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30" min="1" max="1"/>
    <col width="24" customWidth="1" style="130" min="2" max="2"/>
    <col width="14" customWidth="1" style="130" min="3" max="3"/>
    <col width="32" customWidth="1" style="130" min="4" max="4"/>
    <col width="38" customWidth="1" style="130" min="5" max="5"/>
    <col width="20" customWidth="1" style="130" min="6" max="6"/>
    <col width="14" customWidth="1" style="130" min="7" max="7"/>
    <col width="20" customWidth="1" style="130" min="8" max="8"/>
    <col width="42" customWidth="1" style="130" min="9" max="9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Location ID</t>
        </is>
      </c>
      <c r="D1" s="66" t="inlineStr">
        <is>
          <t>Location Description</t>
        </is>
      </c>
      <c r="E1" s="66" t="inlineStr">
        <is>
          <t>MSR Location</t>
        </is>
      </c>
      <c r="F1" s="66" t="inlineStr">
        <is>
          <t>NPO</t>
        </is>
      </c>
      <c r="G1" s="66" t="inlineStr">
        <is>
          <t>Allocation %</t>
        </is>
      </c>
      <c r="H1" s="66" t="inlineStr">
        <is>
          <t>Assignment Status</t>
        </is>
      </c>
      <c r="I1" s="66" t="inlineStr">
        <is>
          <t>Notes</t>
        </is>
      </c>
      <c r="J1" s="214" t="inlineStr">
        <is>
          <t>Payee Seq</t>
        </is>
      </c>
      <c r="K1" s="214" t="inlineStr">
        <is>
          <t>Payout Lookup Key</t>
        </is>
      </c>
    </row>
    <row r="2" ht="25.5" customHeight="1" s="130">
      <c r="A2" s="233" t="n">
        <v>46270</v>
      </c>
      <c r="B2" s="91" t="inlineStr">
        <is>
          <t>Football</t>
        </is>
      </c>
      <c r="C2" s="91" t="inlineStr">
        <is>
          <t>FB 106</t>
        </is>
      </c>
      <c r="D2" s="91" t="inlineStr">
        <is>
          <t>RED RALLY NORTH EAST</t>
        </is>
      </c>
      <c r="E2" s="91" t="inlineStr">
        <is>
          <t>FB 106 - RED RALLY NORTH EAST</t>
        </is>
      </c>
      <c r="F2" s="91" t="inlineStr">
        <is>
          <t>ARVC</t>
        </is>
      </c>
      <c r="G2" s="234" t="n">
        <v>1</v>
      </c>
      <c r="H2" s="91" t="inlineStr">
        <is>
          <t>PROOF / INITIAL LOAD</t>
        </is>
      </c>
      <c r="I2" s="91" t="n"/>
      <c r="J2">
        <f>IF(OR(A2="",F2=""),"",COUNTIFS($A$2:A2,A2,$F$2:F2,F2))</f>
        <v/>
      </c>
      <c r="K2">
        <f>IF(OR(A2="",F2="",J2=""),"",TEXT(A2,"yyyymmdd")&amp;"|"&amp;F2&amp;"|"&amp;J2)</f>
        <v/>
      </c>
    </row>
    <row r="3" ht="25.5" customHeight="1" s="130">
      <c r="A3" s="233" t="n">
        <v>46270</v>
      </c>
      <c r="B3" s="91" t="inlineStr">
        <is>
          <t>Football</t>
        </is>
      </c>
      <c r="C3" s="91" t="inlineStr">
        <is>
          <t>FB 113</t>
        </is>
      </c>
      <c r="D3" s="91" t="inlineStr">
        <is>
          <t>MBP  MINI MELTS (NW)</t>
        </is>
      </c>
      <c r="E3" s="91" t="inlineStr">
        <is>
          <t>FB 113 - MBP - MINI MELTS (NW)</t>
        </is>
      </c>
      <c r="F3" s="91" t="inlineStr">
        <is>
          <t>ARVC</t>
        </is>
      </c>
      <c r="G3" s="234" t="n">
        <v>1</v>
      </c>
      <c r="H3" s="91" t="inlineStr">
        <is>
          <t>PROOF / INITIAL LOAD</t>
        </is>
      </c>
      <c r="I3" s="91" t="n"/>
      <c r="J3">
        <f>IF(OR(A3="",F3=""),"",COUNTIFS($A$2:A3,A3,$F$2:F3,F3))</f>
        <v/>
      </c>
      <c r="K3">
        <f>IF(OR(A3="",F3="",J3=""),"",TEXT(A3,"yyyymmdd")&amp;"|"&amp;F3&amp;"|"&amp;J3)</f>
        <v/>
      </c>
    </row>
    <row r="4" ht="25.5" customHeight="1" s="130">
      <c r="A4" s="233" t="n">
        <v>46270</v>
      </c>
      <c r="B4" s="91" t="inlineStr">
        <is>
          <t>Football</t>
        </is>
      </c>
      <c r="C4" s="91" t="inlineStr">
        <is>
          <t>FB 113B</t>
        </is>
      </c>
      <c r="D4" s="91" t="inlineStr">
        <is>
          <t>MBP  MINI MELTS (NE)</t>
        </is>
      </c>
      <c r="E4" s="91" t="inlineStr">
        <is>
          <t>FB 113B - MBP - MINI MELTS (NE)</t>
        </is>
      </c>
      <c r="F4" s="91" t="inlineStr">
        <is>
          <t>ARVC</t>
        </is>
      </c>
      <c r="G4" s="234" t="n">
        <v>1</v>
      </c>
      <c r="H4" s="91" t="inlineStr">
        <is>
          <t>PROOF / INITIAL LOAD</t>
        </is>
      </c>
      <c r="I4" s="91" t="n"/>
      <c r="J4">
        <f>IF(OR(A4="",F4=""),"",COUNTIFS($A$2:A4,A4,$F$2:F4,F4))</f>
        <v/>
      </c>
      <c r="K4">
        <f>IF(OR(A4="",F4="",J4=""),"",TEXT(A4,"yyyymmdd")&amp;"|"&amp;F4&amp;"|"&amp;J4)</f>
        <v/>
      </c>
    </row>
    <row r="5" ht="25.5" customHeight="1" s="130">
      <c r="A5" s="233" t="n">
        <v>46270</v>
      </c>
      <c r="B5" s="91" t="inlineStr">
        <is>
          <t>Football</t>
        </is>
      </c>
      <c r="C5" s="91" t="inlineStr">
        <is>
          <t>FB 100B</t>
        </is>
      </c>
      <c r="D5" s="91" t="inlineStr">
        <is>
          <t>MBP TRAILER N CONCOURSE</t>
        </is>
      </c>
      <c r="E5" s="91" t="inlineStr">
        <is>
          <t>FB 100B - MBP TRAILER N CONCOURSE</t>
        </is>
      </c>
      <c r="F5" s="91" t="inlineStr">
        <is>
          <t>ARVC</t>
        </is>
      </c>
      <c r="G5" s="234" t="n">
        <v>1</v>
      </c>
      <c r="H5" s="91" t="inlineStr">
        <is>
          <t>PROOF / INITIAL LOAD</t>
        </is>
      </c>
      <c r="I5" s="91" t="n"/>
      <c r="J5">
        <f>IF(OR(A5="",F5=""),"",COUNTIFS($A$2:A5,A5,$F$2:F5,F5))</f>
        <v/>
      </c>
      <c r="K5">
        <f>IF(OR(A5="",F5="",J5=""),"",TEXT(A5,"yyyymmdd")&amp;"|"&amp;F5&amp;"|"&amp;J5)</f>
        <v/>
      </c>
    </row>
    <row r="6" ht="25.5" customHeight="1" s="130">
      <c r="A6" s="233" t="n">
        <v>46270</v>
      </c>
      <c r="B6" s="91" t="inlineStr">
        <is>
          <t>Football</t>
        </is>
      </c>
      <c r="C6" s="91" t="inlineStr">
        <is>
          <t>FB 107</t>
        </is>
      </c>
      <c r="D6" s="91" t="inlineStr">
        <is>
          <t>NE SPECIALTY DAWG O.G.</t>
        </is>
      </c>
      <c r="E6" s="91" t="inlineStr">
        <is>
          <t>FB 107 - NE SPECIALTY - DAWG HOUSE</t>
        </is>
      </c>
      <c r="F6" s="91" t="inlineStr">
        <is>
          <t>ARVC</t>
        </is>
      </c>
      <c r="G6" s="234" t="n">
        <v>1</v>
      </c>
      <c r="H6" s="91" t="inlineStr">
        <is>
          <t>PROOF / INITIAL LOAD</t>
        </is>
      </c>
      <c r="I6" s="91" t="n"/>
      <c r="J6">
        <f>IF(OR(A6="",F6=""),"",COUNTIFS($A$2:A6,A6,$F$2:F6,F6))</f>
        <v/>
      </c>
      <c r="K6">
        <f>IF(OR(A6="",F6="",J6=""),"",TEXT(A6,"yyyymmdd")&amp;"|"&amp;F6&amp;"|"&amp;J6)</f>
        <v/>
      </c>
    </row>
    <row r="7" ht="25.5" customHeight="1" s="130">
      <c r="A7" s="233" t="n">
        <v>46270</v>
      </c>
      <c r="B7" s="91" t="inlineStr">
        <is>
          <t>Football</t>
        </is>
      </c>
      <c r="C7" s="91" t="inlineStr">
        <is>
          <t>PIT 104</t>
        </is>
      </c>
      <c r="D7" s="91" t="inlineStr">
        <is>
          <t>BURQUE BREWS (W)</t>
        </is>
      </c>
      <c r="E7" s="91" t="inlineStr">
        <is>
          <t>PIT 104 - BURQUE BREWS (W)</t>
        </is>
      </c>
      <c r="F7" s="91" t="inlineStr">
        <is>
          <t>AIRFORCE</t>
        </is>
      </c>
      <c r="G7" s="234" t="n">
        <v>1</v>
      </c>
      <c r="H7" s="91" t="inlineStr">
        <is>
          <t>PROOF / INITIAL LOAD</t>
        </is>
      </c>
      <c r="I7" s="91" t="n"/>
      <c r="J7">
        <f>IF(OR(A7="",F7=""),"",COUNTIFS($A$2:A7,A7,$F$2:F7,F7))</f>
        <v/>
      </c>
      <c r="K7">
        <f>IF(OR(A7="",F7="",J7=""),"",TEXT(A7,"yyyymmdd")&amp;"|"&amp;F7&amp;"|"&amp;J7)</f>
        <v/>
      </c>
    </row>
    <row r="8" ht="25.5" customHeight="1" s="130">
      <c r="A8" s="233" t="n">
        <v>46270</v>
      </c>
      <c r="B8" s="91" t="inlineStr">
        <is>
          <t>Football</t>
        </is>
      </c>
      <c r="C8" s="91" t="inlineStr">
        <is>
          <t>PIT 108</t>
        </is>
      </c>
      <c r="D8" s="91" t="inlineStr">
        <is>
          <t>HOOP &amp; GO (J)</t>
        </is>
      </c>
      <c r="E8" s="91" t="inlineStr">
        <is>
          <t>PIT 108 - HOOP &amp; GO (J)</t>
        </is>
      </c>
      <c r="F8" s="91" t="inlineStr">
        <is>
          <t>UNITED FIT</t>
        </is>
      </c>
      <c r="G8" s="234" t="n">
        <v>1</v>
      </c>
      <c r="H8" s="91" t="inlineStr">
        <is>
          <t>PROOF / INITIAL LOAD</t>
        </is>
      </c>
      <c r="I8" s="91" t="n"/>
      <c r="J8">
        <f>IF(OR(A8="",F8=""),"",COUNTIFS($A$2:A8,A8,$F$2:F8,F8))</f>
        <v/>
      </c>
      <c r="K8">
        <f>IF(OR(A8="",F8="",J8=""),"",TEXT(A8,"yyyymmdd")&amp;"|"&amp;F8&amp;"|"&amp;J8)</f>
        <v/>
      </c>
    </row>
    <row r="9" ht="25.5" customHeight="1" s="130">
      <c r="A9" s="233" t="n">
        <v>46270</v>
      </c>
      <c r="B9" s="91" t="inlineStr">
        <is>
          <t>Football</t>
        </is>
      </c>
      <c r="C9" s="91" t="inlineStr">
        <is>
          <t>PIT 106</t>
        </is>
      </c>
      <c r="D9" s="91" t="inlineStr">
        <is>
          <t>LOUIE'S DAWG HOUSE (C)</t>
        </is>
      </c>
      <c r="E9" s="91" t="inlineStr">
        <is>
          <t>PIT 106 - LOUIE'S DAWG HOUSE (C)</t>
        </is>
      </c>
      <c r="F9" s="91" t="inlineStr">
        <is>
          <t>DCVA</t>
        </is>
      </c>
      <c r="G9" s="234" t="n">
        <v>1</v>
      </c>
      <c r="H9" s="91" t="inlineStr">
        <is>
          <t>PROOF / INITIAL LOAD</t>
        </is>
      </c>
      <c r="I9" s="91" t="n"/>
      <c r="J9">
        <f>IF(OR(A9="",F9=""),"",COUNTIFS($A$2:A9,A9,$F$2:F9,F9))</f>
        <v/>
      </c>
      <c r="K9">
        <f>IF(OR(A9="",F9="",J9=""),"",TEXT(A9,"yyyymmdd")&amp;"|"&amp;F9&amp;"|"&amp;J9)</f>
        <v/>
      </c>
    </row>
    <row r="10" ht="25.5" customHeight="1" s="130">
      <c r="A10" s="233" t="n">
        <v>46270</v>
      </c>
      <c r="B10" s="91" t="inlineStr">
        <is>
          <t>Football</t>
        </is>
      </c>
      <c r="C10" s="91" t="inlineStr">
        <is>
          <t>PIT 109</t>
        </is>
      </c>
      <c r="D10" s="91" t="inlineStr">
        <is>
          <t>ALLEYOOP (L)</t>
        </is>
      </c>
      <c r="E10" s="91" t="inlineStr">
        <is>
          <t>PIT 109 - ALLEYOOP (L)</t>
        </is>
      </c>
      <c r="F10" s="91" t="inlineStr">
        <is>
          <t>DCVA</t>
        </is>
      </c>
      <c r="G10" s="234" t="n">
        <v>1</v>
      </c>
      <c r="H10" s="91" t="inlineStr">
        <is>
          <t>PROOF / INITIAL LOAD</t>
        </is>
      </c>
      <c r="I10" s="91" t="n"/>
      <c r="J10">
        <f>IF(OR(A10="",F10=""),"",COUNTIFS($A$2:A10,A10,$F$2:F10,F10))</f>
        <v/>
      </c>
      <c r="K10">
        <f>IF(OR(A10="",F10="",J10=""),"",TEXT(A10,"yyyymmdd")&amp;"|"&amp;F10&amp;"|"&amp;J10)</f>
        <v/>
      </c>
    </row>
    <row r="11" ht="25.5" customHeight="1" s="130">
      <c r="A11" s="233" t="n">
        <v>46270</v>
      </c>
      <c r="B11" s="91" t="inlineStr">
        <is>
          <t>Football</t>
        </is>
      </c>
      <c r="C11" s="91" t="inlineStr">
        <is>
          <t>PIT 101</t>
        </is>
      </c>
      <c r="D11" s="91" t="inlineStr">
        <is>
          <t>A - POP &amp; POUR</t>
        </is>
      </c>
      <c r="E11" s="91" t="inlineStr">
        <is>
          <t>PIT 101 - A - POP &amp; POUR</t>
        </is>
      </c>
      <c r="F11" s="91" t="inlineStr">
        <is>
          <t>DEL N CHEER</t>
        </is>
      </c>
      <c r="G11" s="234" t="n">
        <v>1</v>
      </c>
      <c r="H11" s="91" t="inlineStr">
        <is>
          <t>PROOF / INITIAL LOAD</t>
        </is>
      </c>
      <c r="I11" s="91" t="n"/>
      <c r="J11">
        <f>IF(OR(A11="",F11=""),"",COUNTIFS($A$2:A11,A11,$F$2:F11,F11))</f>
        <v/>
      </c>
      <c r="K11">
        <f>IF(OR(A11="",F11="",J11=""),"",TEXT(A11,"yyyymmdd")&amp;"|"&amp;F11&amp;"|"&amp;J11)</f>
        <v/>
      </c>
    </row>
    <row r="12" ht="25.5" customHeight="1" s="130">
      <c r="A12" s="233" t="n">
        <v>46270</v>
      </c>
      <c r="B12" s="91" t="inlineStr">
        <is>
          <t>Football</t>
        </is>
      </c>
      <c r="C12" s="91" t="inlineStr">
        <is>
          <t>PIT 101</t>
        </is>
      </c>
      <c r="D12" s="91" t="inlineStr">
        <is>
          <t>A - POP &amp; POUR</t>
        </is>
      </c>
      <c r="E12" s="91" t="inlineStr">
        <is>
          <t>PIT 101 - B - NACHOMAMA</t>
        </is>
      </c>
      <c r="F12" s="91" t="inlineStr">
        <is>
          <t>DEL N CHEER</t>
        </is>
      </c>
      <c r="G12" s="234" t="n">
        <v>1</v>
      </c>
      <c r="H12" s="91" t="inlineStr">
        <is>
          <t>PROOF / INITIAL LOAD</t>
        </is>
      </c>
      <c r="I12" s="91" t="n"/>
      <c r="J12">
        <f>IF(OR(A12="",F12=""),"",COUNTIFS($A$2:A12,A12,$F$2:F12,F12))</f>
        <v/>
      </c>
      <c r="K12">
        <f>IF(OR(A12="",F12="",J12=""),"",TEXT(A12,"yyyymmdd")&amp;"|"&amp;F12&amp;"|"&amp;J12)</f>
        <v/>
      </c>
    </row>
    <row r="13" ht="25.5" customHeight="1" s="130">
      <c r="A13" s="233" t="n">
        <v>46270</v>
      </c>
      <c r="B13" s="91" t="inlineStr">
        <is>
          <t>Football</t>
        </is>
      </c>
      <c r="C13" s="91" t="inlineStr">
        <is>
          <t>PIT 110</t>
        </is>
      </c>
      <c r="D13" s="91" t="inlineStr">
        <is>
          <t>PAPITAS (M)</t>
        </is>
      </c>
      <c r="E13" s="91" t="inlineStr">
        <is>
          <t>PIT 110 - PAPITAS (M)</t>
        </is>
      </c>
      <c r="F13" s="91" t="inlineStr">
        <is>
          <t>RIO GRANDE RGHS</t>
        </is>
      </c>
      <c r="G13" s="234" t="n">
        <v>1</v>
      </c>
      <c r="H13" s="91" t="inlineStr">
        <is>
          <t>PROOF / INITIAL LOAD</t>
        </is>
      </c>
      <c r="I13" s="91" t="n"/>
      <c r="J13">
        <f>IF(OR(A13="",F13=""),"",COUNTIFS($A$2:A13,A13,$F$2:F13,F13))</f>
        <v/>
      </c>
      <c r="K13">
        <f>IF(OR(A13="",F13="",J13=""),"",TEXT(A13,"yyyymmdd")&amp;"|"&amp;F13&amp;"|"&amp;J13)</f>
        <v/>
      </c>
    </row>
    <row r="14" ht="25.5" customHeight="1" s="130">
      <c r="A14" s="233" t="n">
        <v>46270</v>
      </c>
      <c r="B14" s="91" t="inlineStr">
        <is>
          <t>Football</t>
        </is>
      </c>
      <c r="C14" s="91" t="inlineStr">
        <is>
          <t>FB 100</t>
        </is>
      </c>
      <c r="D14" s="91" t="inlineStr">
        <is>
          <t>TRAILER N CONCOURSE</t>
        </is>
      </c>
      <c r="E14" s="91" t="inlineStr">
        <is>
          <t>FB 100 - TRAILER N CONCOURSE</t>
        </is>
      </c>
      <c r="F14" s="91" t="inlineStr">
        <is>
          <t>VICTORY OUTREACH</t>
        </is>
      </c>
      <c r="G14" s="234" t="n">
        <v>1</v>
      </c>
      <c r="H14" s="91" t="inlineStr">
        <is>
          <t>PROOF / INITIAL LOAD</t>
        </is>
      </c>
      <c r="I14" s="91" t="n"/>
      <c r="J14">
        <f>IF(OR(A14="",F14=""),"",COUNTIFS($A$2:A14,A14,$F$2:F14,F14))</f>
        <v/>
      </c>
      <c r="K14">
        <f>IF(OR(A14="",F14="",J14=""),"",TEXT(A14,"yyyymmdd")&amp;"|"&amp;F14&amp;"|"&amp;J14)</f>
        <v/>
      </c>
    </row>
    <row r="15">
      <c r="A15" s="233" t="n"/>
      <c r="B15" s="91" t="n"/>
      <c r="C15" s="91" t="n"/>
      <c r="D15" s="91" t="n"/>
      <c r="E15" s="91" t="n"/>
      <c r="F15" s="91" t="n"/>
      <c r="G15" s="234" t="n"/>
      <c r="H15" s="91" t="n"/>
      <c r="I15" s="91" t="n"/>
      <c r="J15">
        <f>IF(OR(A15="",F15=""),"",COUNTIFS($A$2:A15,A15,$F$2:F15,F15))</f>
        <v/>
      </c>
      <c r="K15">
        <f>IF(OR(A15="",F15="",J15=""),"",TEXT(A15,"yyyymmdd")&amp;"|"&amp;F15&amp;"|"&amp;J15)</f>
        <v/>
      </c>
    </row>
    <row r="16">
      <c r="A16" s="233" t="n"/>
      <c r="B16" s="91" t="n"/>
      <c r="C16" s="91" t="n"/>
      <c r="D16" s="91" t="n"/>
      <c r="E16" s="91" t="n"/>
      <c r="F16" s="91" t="n"/>
      <c r="G16" s="234" t="n"/>
      <c r="H16" s="91" t="n"/>
      <c r="I16" s="91" t="n"/>
      <c r="J16">
        <f>IF(OR(A16="",F16=""),"",COUNTIFS($A$2:A16,A16,$F$2:F16,F16))</f>
        <v/>
      </c>
      <c r="K16">
        <f>IF(OR(A16="",F16="",J16=""),"",TEXT(A16,"yyyymmdd")&amp;"|"&amp;F16&amp;"|"&amp;J16)</f>
        <v/>
      </c>
    </row>
    <row r="17">
      <c r="A17" s="233" t="n"/>
      <c r="B17" s="91" t="n"/>
      <c r="C17" s="91" t="n"/>
      <c r="D17" s="91" t="n"/>
      <c r="E17" s="91" t="n"/>
      <c r="F17" s="91" t="n"/>
      <c r="G17" s="234" t="n"/>
      <c r="H17" s="91" t="n"/>
      <c r="I17" s="91" t="n"/>
      <c r="J17">
        <f>IF(OR(A17="",F17=""),"",COUNTIFS($A$2:A17,A17,$F$2:F17,F17))</f>
        <v/>
      </c>
      <c r="K17">
        <f>IF(OR(A17="",F17="",J17=""),"",TEXT(A17,"yyyymmdd")&amp;"|"&amp;F17&amp;"|"&amp;J17)</f>
        <v/>
      </c>
    </row>
    <row r="18">
      <c r="A18" s="233" t="n"/>
      <c r="B18" s="91" t="n"/>
      <c r="C18" s="91" t="n"/>
      <c r="D18" s="91" t="n"/>
      <c r="E18" s="91" t="n"/>
      <c r="F18" s="91" t="n"/>
      <c r="G18" s="234" t="n"/>
      <c r="H18" s="91" t="n"/>
      <c r="I18" s="91" t="n"/>
      <c r="J18">
        <f>IF(OR(A18="",F18=""),"",COUNTIFS($A$2:A18,A18,$F$2:F18,F18))</f>
        <v/>
      </c>
      <c r="K18">
        <f>IF(OR(A18="",F18="",J18=""),"",TEXT(A18,"yyyymmdd")&amp;"|"&amp;F18&amp;"|"&amp;J18)</f>
        <v/>
      </c>
    </row>
    <row r="19">
      <c r="A19" s="233" t="n"/>
      <c r="B19" s="91" t="n"/>
      <c r="C19" s="91" t="n"/>
      <c r="D19" s="91" t="n"/>
      <c r="E19" s="91" t="n"/>
      <c r="F19" s="91" t="n"/>
      <c r="G19" s="234" t="n"/>
      <c r="H19" s="91" t="n"/>
      <c r="I19" s="91" t="n"/>
      <c r="J19">
        <f>IF(OR(A19="",F19=""),"",COUNTIFS($A$2:A19,A19,$F$2:F19,F19))</f>
        <v/>
      </c>
      <c r="K19">
        <f>IF(OR(A19="",F19="",J19=""),"",TEXT(A19,"yyyymmdd")&amp;"|"&amp;F19&amp;"|"&amp;J19)</f>
        <v/>
      </c>
    </row>
    <row r="20">
      <c r="A20" s="233" t="n"/>
      <c r="B20" s="91" t="n"/>
      <c r="C20" s="91" t="n"/>
      <c r="D20" s="91" t="n"/>
      <c r="E20" s="91" t="n"/>
      <c r="F20" s="91" t="n"/>
      <c r="G20" s="234" t="n"/>
      <c r="H20" s="91" t="n"/>
      <c r="I20" s="91" t="n"/>
      <c r="J20">
        <f>IF(OR(A20="",F20=""),"",COUNTIFS($A$2:A20,A20,$F$2:F20,F20))</f>
        <v/>
      </c>
      <c r="K20">
        <f>IF(OR(A20="",F20="",J20=""),"",TEXT(A20,"yyyymmdd")&amp;"|"&amp;F20&amp;"|"&amp;J20)</f>
        <v/>
      </c>
    </row>
    <row r="21">
      <c r="A21" s="233" t="n"/>
      <c r="B21" s="91" t="n"/>
      <c r="C21" s="91" t="n"/>
      <c r="D21" s="91" t="n"/>
      <c r="E21" s="91" t="n"/>
      <c r="F21" s="91" t="n"/>
      <c r="G21" s="234" t="n"/>
      <c r="H21" s="91" t="n"/>
      <c r="I21" s="91" t="n"/>
      <c r="J21">
        <f>IF(OR(A21="",F21=""),"",COUNTIFS($A$2:A21,A21,$F$2:F21,F21))</f>
        <v/>
      </c>
      <c r="K21">
        <f>IF(OR(A21="",F21="",J21=""),"",TEXT(A21,"yyyymmdd")&amp;"|"&amp;F21&amp;"|"&amp;J21)</f>
        <v/>
      </c>
    </row>
    <row r="22">
      <c r="A22" s="233" t="n"/>
      <c r="B22" s="91" t="n"/>
      <c r="C22" s="91" t="n"/>
      <c r="D22" s="91" t="n"/>
      <c r="E22" s="91" t="n"/>
      <c r="F22" s="91" t="n"/>
      <c r="G22" s="234" t="n"/>
      <c r="H22" s="91" t="n"/>
      <c r="I22" s="91" t="n"/>
      <c r="J22">
        <f>IF(OR(A22="",F22=""),"",COUNTIFS($A$2:A22,A22,$F$2:F22,F22))</f>
        <v/>
      </c>
      <c r="K22">
        <f>IF(OR(A22="",F22="",J22=""),"",TEXT(A22,"yyyymmdd")&amp;"|"&amp;F22&amp;"|"&amp;J22)</f>
        <v/>
      </c>
    </row>
    <row r="23">
      <c r="A23" s="233" t="n"/>
      <c r="B23" s="91" t="n"/>
      <c r="C23" s="91" t="n"/>
      <c r="D23" s="91" t="n"/>
      <c r="E23" s="91" t="n"/>
      <c r="F23" s="91" t="n"/>
      <c r="G23" s="234" t="n"/>
      <c r="H23" s="91" t="n"/>
      <c r="I23" s="91" t="n"/>
      <c r="J23">
        <f>IF(OR(A23="",F23=""),"",COUNTIFS($A$2:A23,A23,$F$2:F23,F23))</f>
        <v/>
      </c>
      <c r="K23">
        <f>IF(OR(A23="",F23="",J23=""),"",TEXT(A23,"yyyymmdd")&amp;"|"&amp;F23&amp;"|"&amp;J23)</f>
        <v/>
      </c>
    </row>
    <row r="24">
      <c r="A24" s="233" t="n"/>
      <c r="B24" s="91" t="n"/>
      <c r="C24" s="91" t="n"/>
      <c r="D24" s="91" t="n"/>
      <c r="E24" s="91" t="n"/>
      <c r="F24" s="91" t="n"/>
      <c r="G24" s="234" t="n"/>
      <c r="H24" s="91" t="n"/>
      <c r="I24" s="91" t="n"/>
      <c r="J24">
        <f>IF(OR(A24="",F24=""),"",COUNTIFS($A$2:A24,A24,$F$2:F24,F24))</f>
        <v/>
      </c>
      <c r="K24">
        <f>IF(OR(A24="",F24="",J24=""),"",TEXT(A24,"yyyymmdd")&amp;"|"&amp;F24&amp;"|"&amp;J24)</f>
        <v/>
      </c>
    </row>
    <row r="25">
      <c r="A25" s="233" t="n"/>
      <c r="B25" s="91" t="n"/>
      <c r="C25" s="91" t="n"/>
      <c r="D25" s="91" t="n"/>
      <c r="E25" s="91" t="n"/>
      <c r="F25" s="91" t="n"/>
      <c r="G25" s="234" t="n"/>
      <c r="H25" s="91" t="n"/>
      <c r="I25" s="91" t="n"/>
      <c r="J25">
        <f>IF(OR(A25="",F25=""),"",COUNTIFS($A$2:A25,A25,$F$2:F25,F25))</f>
        <v/>
      </c>
      <c r="K25">
        <f>IF(OR(A25="",F25="",J25=""),"",TEXT(A25,"yyyymmdd")&amp;"|"&amp;F25&amp;"|"&amp;J25)</f>
        <v/>
      </c>
    </row>
    <row r="26">
      <c r="A26" s="233" t="n"/>
      <c r="B26" s="91" t="n"/>
      <c r="C26" s="91" t="n"/>
      <c r="D26" s="91" t="n"/>
      <c r="E26" s="91" t="n"/>
      <c r="F26" s="91" t="n"/>
      <c r="G26" s="234" t="n"/>
      <c r="H26" s="91" t="n"/>
      <c r="I26" s="91" t="n"/>
      <c r="J26">
        <f>IF(OR(A26="",F26=""),"",COUNTIFS($A$2:A26,A26,$F$2:F26,F26))</f>
        <v/>
      </c>
      <c r="K26">
        <f>IF(OR(A26="",F26="",J26=""),"",TEXT(A26,"yyyymmdd")&amp;"|"&amp;F26&amp;"|"&amp;J26)</f>
        <v/>
      </c>
    </row>
    <row r="27">
      <c r="A27" s="233" t="n"/>
      <c r="B27" s="91" t="n"/>
      <c r="C27" s="91" t="n"/>
      <c r="D27" s="91" t="n"/>
      <c r="E27" s="91" t="n"/>
      <c r="F27" s="91" t="n"/>
      <c r="G27" s="234" t="n"/>
      <c r="H27" s="91" t="n"/>
      <c r="I27" s="91" t="n"/>
      <c r="J27">
        <f>IF(OR(A27="",F27=""),"",COUNTIFS($A$2:A27,A27,$F$2:F27,F27))</f>
        <v/>
      </c>
      <c r="K27">
        <f>IF(OR(A27="",F27="",J27=""),"",TEXT(A27,"yyyymmdd")&amp;"|"&amp;F27&amp;"|"&amp;J27)</f>
        <v/>
      </c>
    </row>
    <row r="28">
      <c r="A28" s="233" t="n"/>
      <c r="B28" s="91" t="n"/>
      <c r="C28" s="91" t="n"/>
      <c r="D28" s="91" t="n"/>
      <c r="E28" s="91" t="n"/>
      <c r="F28" s="91" t="n"/>
      <c r="G28" s="234" t="n"/>
      <c r="H28" s="91" t="n"/>
      <c r="I28" s="91" t="n"/>
      <c r="J28">
        <f>IF(OR(A28="",F28=""),"",COUNTIFS($A$2:A28,A28,$F$2:F28,F28))</f>
        <v/>
      </c>
      <c r="K28">
        <f>IF(OR(A28="",F28="",J28=""),"",TEXT(A28,"yyyymmdd")&amp;"|"&amp;F28&amp;"|"&amp;J28)</f>
        <v/>
      </c>
    </row>
    <row r="29">
      <c r="A29" s="233" t="n"/>
      <c r="B29" s="91" t="n"/>
      <c r="C29" s="91" t="n"/>
      <c r="D29" s="91" t="n"/>
      <c r="E29" s="91" t="n"/>
      <c r="F29" s="91" t="n"/>
      <c r="G29" s="234" t="n"/>
      <c r="H29" s="91" t="n"/>
      <c r="I29" s="91" t="n"/>
      <c r="J29">
        <f>IF(OR(A29="",F29=""),"",COUNTIFS($A$2:A29,A29,$F$2:F29,F29))</f>
        <v/>
      </c>
      <c r="K29">
        <f>IF(OR(A29="",F29="",J29=""),"",TEXT(A29,"yyyymmdd")&amp;"|"&amp;F29&amp;"|"&amp;J29)</f>
        <v/>
      </c>
    </row>
    <row r="30">
      <c r="A30" s="233" t="n"/>
      <c r="B30" s="91" t="n"/>
      <c r="C30" s="91" t="n"/>
      <c r="D30" s="91" t="n"/>
      <c r="E30" s="91" t="n"/>
      <c r="F30" s="91" t="n"/>
      <c r="G30" s="234" t="n"/>
      <c r="H30" s="91" t="n"/>
      <c r="I30" s="91" t="n"/>
      <c r="J30">
        <f>IF(OR(A30="",F30=""),"",COUNTIFS($A$2:A30,A30,$F$2:F30,F30))</f>
        <v/>
      </c>
      <c r="K30">
        <f>IF(OR(A30="",F30="",J30=""),"",TEXT(A30,"yyyymmdd")&amp;"|"&amp;F30&amp;"|"&amp;J30)</f>
        <v/>
      </c>
    </row>
    <row r="31">
      <c r="A31" s="233" t="n"/>
      <c r="B31" s="91" t="n"/>
      <c r="C31" s="91" t="n"/>
      <c r="D31" s="91" t="n"/>
      <c r="E31" s="91" t="n"/>
      <c r="F31" s="91" t="n"/>
      <c r="G31" s="234" t="n"/>
      <c r="H31" s="91" t="n"/>
      <c r="I31" s="91" t="n"/>
      <c r="J31">
        <f>IF(OR(A31="",F31=""),"",COUNTIFS($A$2:A31,A31,$F$2:F31,F31))</f>
        <v/>
      </c>
      <c r="K31">
        <f>IF(OR(A31="",F31="",J31=""),"",TEXT(A31,"yyyymmdd")&amp;"|"&amp;F31&amp;"|"&amp;J31)</f>
        <v/>
      </c>
    </row>
    <row r="32">
      <c r="A32" s="233" t="n"/>
      <c r="B32" s="91" t="n"/>
      <c r="C32" s="91" t="n"/>
      <c r="D32" s="91" t="n"/>
      <c r="E32" s="91" t="n"/>
      <c r="F32" s="91" t="n"/>
      <c r="G32" s="234" t="n"/>
      <c r="H32" s="91" t="n"/>
      <c r="I32" s="91" t="n"/>
      <c r="J32">
        <f>IF(OR(A32="",F32=""),"",COUNTIFS($A$2:A32,A32,$F$2:F32,F32))</f>
        <v/>
      </c>
      <c r="K32">
        <f>IF(OR(A32="",F32="",J32=""),"",TEXT(A32,"yyyymmdd")&amp;"|"&amp;F32&amp;"|"&amp;J32)</f>
        <v/>
      </c>
    </row>
    <row r="33">
      <c r="A33" s="233" t="n"/>
      <c r="B33" s="91" t="n"/>
      <c r="C33" s="91" t="n"/>
      <c r="D33" s="91" t="n"/>
      <c r="E33" s="91" t="n"/>
      <c r="F33" s="91" t="n"/>
      <c r="G33" s="234" t="n"/>
      <c r="H33" s="91" t="n"/>
      <c r="I33" s="91" t="n"/>
      <c r="J33">
        <f>IF(OR(A33="",F33=""),"",COUNTIFS($A$2:A33,A33,$F$2:F33,F33))</f>
        <v/>
      </c>
      <c r="K33">
        <f>IF(OR(A33="",F33="",J33=""),"",TEXT(A33,"yyyymmdd")&amp;"|"&amp;F33&amp;"|"&amp;J33)</f>
        <v/>
      </c>
    </row>
    <row r="34">
      <c r="A34" s="233" t="n"/>
      <c r="B34" s="91" t="n"/>
      <c r="C34" s="91" t="n"/>
      <c r="D34" s="91" t="n"/>
      <c r="E34" s="91" t="n"/>
      <c r="F34" s="91" t="n"/>
      <c r="G34" s="234" t="n"/>
      <c r="H34" s="91" t="n"/>
      <c r="I34" s="91" t="n"/>
      <c r="J34">
        <f>IF(OR(A34="",F34=""),"",COUNTIFS($A$2:A34,A34,$F$2:F34,F34))</f>
        <v/>
      </c>
      <c r="K34">
        <f>IF(OR(A34="",F34="",J34=""),"",TEXT(A34,"yyyymmdd")&amp;"|"&amp;F34&amp;"|"&amp;J34)</f>
        <v/>
      </c>
    </row>
    <row r="35">
      <c r="A35" s="233" t="n"/>
      <c r="B35" s="91" t="n"/>
      <c r="C35" s="91" t="n"/>
      <c r="D35" s="91" t="n"/>
      <c r="E35" s="91" t="n"/>
      <c r="F35" s="91" t="n"/>
      <c r="G35" s="234" t="n"/>
      <c r="H35" s="91" t="n"/>
      <c r="I35" s="91" t="n"/>
      <c r="J35">
        <f>IF(OR(A35="",F35=""),"",COUNTIFS($A$2:A35,A35,$F$2:F35,F35))</f>
        <v/>
      </c>
      <c r="K35">
        <f>IF(OR(A35="",F35="",J35=""),"",TEXT(A35,"yyyymmdd")&amp;"|"&amp;F35&amp;"|"&amp;J35)</f>
        <v/>
      </c>
    </row>
    <row r="36">
      <c r="A36" s="233" t="n"/>
      <c r="B36" s="91" t="n"/>
      <c r="C36" s="91" t="n"/>
      <c r="D36" s="91" t="n"/>
      <c r="E36" s="91" t="n"/>
      <c r="F36" s="91" t="n"/>
      <c r="G36" s="234" t="n"/>
      <c r="H36" s="91" t="n"/>
      <c r="I36" s="91" t="n"/>
      <c r="J36">
        <f>IF(OR(A36="",F36=""),"",COUNTIFS($A$2:A36,A36,$F$2:F36,F36))</f>
        <v/>
      </c>
      <c r="K36">
        <f>IF(OR(A36="",F36="",J36=""),"",TEXT(A36,"yyyymmdd")&amp;"|"&amp;F36&amp;"|"&amp;J36)</f>
        <v/>
      </c>
    </row>
    <row r="37">
      <c r="A37" s="233" t="n"/>
      <c r="B37" s="91" t="n"/>
      <c r="C37" s="91" t="n"/>
      <c r="D37" s="91" t="n"/>
      <c r="E37" s="91" t="n"/>
      <c r="F37" s="91" t="n"/>
      <c r="G37" s="234" t="n"/>
      <c r="H37" s="91" t="n"/>
      <c r="I37" s="91" t="n"/>
      <c r="J37">
        <f>IF(OR(A37="",F37=""),"",COUNTIFS($A$2:A37,A37,$F$2:F37,F37))</f>
        <v/>
      </c>
      <c r="K37">
        <f>IF(OR(A37="",F37="",J37=""),"",TEXT(A37,"yyyymmdd")&amp;"|"&amp;F37&amp;"|"&amp;J37)</f>
        <v/>
      </c>
    </row>
    <row r="38">
      <c r="A38" s="233" t="n"/>
      <c r="B38" s="91" t="n"/>
      <c r="C38" s="91" t="n"/>
      <c r="D38" s="91" t="n"/>
      <c r="E38" s="91" t="n"/>
      <c r="F38" s="91" t="n"/>
      <c r="G38" s="234" t="n"/>
      <c r="H38" s="91" t="n"/>
      <c r="I38" s="91" t="n"/>
      <c r="J38">
        <f>IF(OR(A38="",F38=""),"",COUNTIFS($A$2:A38,A38,$F$2:F38,F38))</f>
        <v/>
      </c>
      <c r="K38">
        <f>IF(OR(A38="",F38="",J38=""),"",TEXT(A38,"yyyymmdd")&amp;"|"&amp;F38&amp;"|"&amp;J38)</f>
        <v/>
      </c>
    </row>
    <row r="39">
      <c r="A39" s="233" t="n"/>
      <c r="B39" s="91" t="n"/>
      <c r="C39" s="91" t="n"/>
      <c r="D39" s="91" t="n"/>
      <c r="E39" s="91" t="n"/>
      <c r="F39" s="91" t="n"/>
      <c r="G39" s="234" t="n"/>
      <c r="H39" s="91" t="n"/>
      <c r="I39" s="91" t="n"/>
      <c r="J39">
        <f>IF(OR(A39="",F39=""),"",COUNTIFS($A$2:A39,A39,$F$2:F39,F39))</f>
        <v/>
      </c>
      <c r="K39">
        <f>IF(OR(A39="",F39="",J39=""),"",TEXT(A39,"yyyymmdd")&amp;"|"&amp;F39&amp;"|"&amp;J39)</f>
        <v/>
      </c>
    </row>
    <row r="40">
      <c r="A40" s="233" t="n"/>
      <c r="B40" s="91" t="n"/>
      <c r="C40" s="91" t="n"/>
      <c r="D40" s="91" t="n"/>
      <c r="E40" s="91" t="n"/>
      <c r="F40" s="91" t="n"/>
      <c r="G40" s="234" t="n"/>
      <c r="H40" s="91" t="n"/>
      <c r="I40" s="91" t="n"/>
      <c r="J40">
        <f>IF(OR(A40="",F40=""),"",COUNTIFS($A$2:A40,A40,$F$2:F40,F40))</f>
        <v/>
      </c>
      <c r="K40">
        <f>IF(OR(A40="",F40="",J40=""),"",TEXT(A40,"yyyymmdd")&amp;"|"&amp;F40&amp;"|"&amp;J40)</f>
        <v/>
      </c>
    </row>
    <row r="41">
      <c r="A41" s="233" t="n"/>
      <c r="B41" s="91" t="n"/>
      <c r="C41" s="91" t="n"/>
      <c r="D41" s="91" t="n"/>
      <c r="E41" s="91" t="n"/>
      <c r="F41" s="91" t="n"/>
      <c r="G41" s="234" t="n"/>
      <c r="H41" s="91" t="n"/>
      <c r="I41" s="91" t="n"/>
      <c r="J41">
        <f>IF(OR(A41="",F41=""),"",COUNTIFS($A$2:A41,A41,$F$2:F41,F41))</f>
        <v/>
      </c>
      <c r="K41">
        <f>IF(OR(A41="",F41="",J41=""),"",TEXT(A41,"yyyymmdd")&amp;"|"&amp;F41&amp;"|"&amp;J41)</f>
        <v/>
      </c>
    </row>
    <row r="42">
      <c r="A42" s="233" t="n"/>
      <c r="B42" s="91" t="n"/>
      <c r="C42" s="91" t="n"/>
      <c r="D42" s="91" t="n"/>
      <c r="E42" s="91" t="n"/>
      <c r="F42" s="91" t="n"/>
      <c r="G42" s="234" t="n"/>
      <c r="H42" s="91" t="n"/>
      <c r="I42" s="91" t="n"/>
      <c r="J42">
        <f>IF(OR(A42="",F42=""),"",COUNTIFS($A$2:A42,A42,$F$2:F42,F42))</f>
        <v/>
      </c>
      <c r="K42">
        <f>IF(OR(A42="",F42="",J42=""),"",TEXT(A42,"yyyymmdd")&amp;"|"&amp;F42&amp;"|"&amp;J42)</f>
        <v/>
      </c>
    </row>
    <row r="43">
      <c r="A43" s="233" t="n"/>
      <c r="B43" s="91" t="n"/>
      <c r="C43" s="91" t="n"/>
      <c r="D43" s="91" t="n"/>
      <c r="E43" s="91" t="n"/>
      <c r="F43" s="91" t="n"/>
      <c r="G43" s="234" t="n"/>
      <c r="H43" s="91" t="n"/>
      <c r="I43" s="91" t="n"/>
      <c r="J43">
        <f>IF(OR(A43="",F43=""),"",COUNTIFS($A$2:A43,A43,$F$2:F43,F43))</f>
        <v/>
      </c>
      <c r="K43">
        <f>IF(OR(A43="",F43="",J43=""),"",TEXT(A43,"yyyymmdd")&amp;"|"&amp;F43&amp;"|"&amp;J43)</f>
        <v/>
      </c>
    </row>
    <row r="44">
      <c r="A44" s="233" t="n"/>
      <c r="B44" s="91" t="n"/>
      <c r="C44" s="91" t="n"/>
      <c r="D44" s="91" t="n"/>
      <c r="E44" s="91" t="n"/>
      <c r="F44" s="91" t="n"/>
      <c r="G44" s="234" t="n"/>
      <c r="H44" s="91" t="n"/>
      <c r="I44" s="91" t="n"/>
      <c r="J44">
        <f>IF(OR(A44="",F44=""),"",COUNTIFS($A$2:A44,A44,$F$2:F44,F44))</f>
        <v/>
      </c>
      <c r="K44">
        <f>IF(OR(A44="",F44="",J44=""),"",TEXT(A44,"yyyymmdd")&amp;"|"&amp;F44&amp;"|"&amp;J44)</f>
        <v/>
      </c>
    </row>
    <row r="45">
      <c r="A45" s="233" t="n"/>
      <c r="B45" s="91" t="n"/>
      <c r="C45" s="91" t="n"/>
      <c r="D45" s="91" t="n"/>
      <c r="E45" s="91" t="n"/>
      <c r="F45" s="91" t="n"/>
      <c r="G45" s="234" t="n"/>
      <c r="H45" s="91" t="n"/>
      <c r="I45" s="91" t="n"/>
      <c r="J45">
        <f>IF(OR(A45="",F45=""),"",COUNTIFS($A$2:A45,A45,$F$2:F45,F45))</f>
        <v/>
      </c>
      <c r="K45">
        <f>IF(OR(A45="",F45="",J45=""),"",TEXT(A45,"yyyymmdd")&amp;"|"&amp;F45&amp;"|"&amp;J45)</f>
        <v/>
      </c>
    </row>
    <row r="46">
      <c r="A46" s="233" t="n"/>
      <c r="B46" s="91" t="n"/>
      <c r="C46" s="91" t="n"/>
      <c r="D46" s="91" t="n"/>
      <c r="E46" s="91" t="n"/>
      <c r="F46" s="91" t="n"/>
      <c r="G46" s="234" t="n"/>
      <c r="H46" s="91" t="n"/>
      <c r="I46" s="91" t="n"/>
      <c r="J46">
        <f>IF(OR(A46="",F46=""),"",COUNTIFS($A$2:A46,A46,$F$2:F46,F46))</f>
        <v/>
      </c>
      <c r="K46">
        <f>IF(OR(A46="",F46="",J46=""),"",TEXT(A46,"yyyymmdd")&amp;"|"&amp;F46&amp;"|"&amp;J46)</f>
        <v/>
      </c>
    </row>
    <row r="47">
      <c r="A47" s="233" t="n"/>
      <c r="B47" s="91" t="n"/>
      <c r="C47" s="91" t="n"/>
      <c r="D47" s="91" t="n"/>
      <c r="E47" s="91" t="n"/>
      <c r="F47" s="91" t="n"/>
      <c r="G47" s="234" t="n"/>
      <c r="H47" s="91" t="n"/>
      <c r="I47" s="91" t="n"/>
      <c r="J47">
        <f>IF(OR(A47="",F47=""),"",COUNTIFS($A$2:A47,A47,$F$2:F47,F47))</f>
        <v/>
      </c>
      <c r="K47">
        <f>IF(OR(A47="",F47="",J47=""),"",TEXT(A47,"yyyymmdd")&amp;"|"&amp;F47&amp;"|"&amp;J47)</f>
        <v/>
      </c>
    </row>
    <row r="48">
      <c r="A48" s="233" t="n"/>
      <c r="B48" s="91" t="n"/>
      <c r="C48" s="91" t="n"/>
      <c r="D48" s="91" t="n"/>
      <c r="E48" s="91" t="n"/>
      <c r="F48" s="91" t="n"/>
      <c r="G48" s="234" t="n"/>
      <c r="H48" s="91" t="n"/>
      <c r="I48" s="91" t="n"/>
      <c r="J48">
        <f>IF(OR(A48="",F48=""),"",COUNTIFS($A$2:A48,A48,$F$2:F48,F48))</f>
        <v/>
      </c>
      <c r="K48">
        <f>IF(OR(A48="",F48="",J48=""),"",TEXT(A48,"yyyymmdd")&amp;"|"&amp;F48&amp;"|"&amp;J48)</f>
        <v/>
      </c>
    </row>
    <row r="49">
      <c r="A49" s="233" t="n"/>
      <c r="B49" s="91" t="n"/>
      <c r="C49" s="91" t="n"/>
      <c r="D49" s="91" t="n"/>
      <c r="E49" s="91" t="n"/>
      <c r="F49" s="91" t="n"/>
      <c r="G49" s="234" t="n"/>
      <c r="H49" s="91" t="n"/>
      <c r="I49" s="91" t="n"/>
      <c r="J49">
        <f>IF(OR(A49="",F49=""),"",COUNTIFS($A$2:A49,A49,$F$2:F49,F49))</f>
        <v/>
      </c>
      <c r="K49">
        <f>IF(OR(A49="",F49="",J49=""),"",TEXT(A49,"yyyymmdd")&amp;"|"&amp;F49&amp;"|"&amp;J49)</f>
        <v/>
      </c>
    </row>
    <row r="50">
      <c r="A50" s="233" t="n"/>
      <c r="B50" s="91" t="n"/>
      <c r="C50" s="91" t="n"/>
      <c r="D50" s="91" t="n"/>
      <c r="E50" s="91" t="n"/>
      <c r="F50" s="91" t="n"/>
      <c r="G50" s="234" t="n"/>
      <c r="H50" s="91" t="n"/>
      <c r="I50" s="91" t="n"/>
      <c r="J50">
        <f>IF(OR(A50="",F50=""),"",COUNTIFS($A$2:A50,A50,$F$2:F50,F50))</f>
        <v/>
      </c>
      <c r="K50">
        <f>IF(OR(A50="",F50="",J50=""),"",TEXT(A50,"yyyymmdd")&amp;"|"&amp;F50&amp;"|"&amp;J50)</f>
        <v/>
      </c>
    </row>
    <row r="51">
      <c r="A51" s="233" t="n"/>
      <c r="B51" s="91" t="n"/>
      <c r="C51" s="91" t="n"/>
      <c r="D51" s="91" t="n"/>
      <c r="E51" s="91" t="n"/>
      <c r="F51" s="91" t="n"/>
      <c r="G51" s="234" t="n"/>
      <c r="H51" s="91" t="n"/>
      <c r="I51" s="91" t="n"/>
      <c r="J51">
        <f>IF(OR(A51="",F51=""),"",COUNTIFS($A$2:A51,A51,$F$2:F51,F51))</f>
        <v/>
      </c>
      <c r="K51">
        <f>IF(OR(A51="",F51="",J51=""),"",TEXT(A51,"yyyymmdd")&amp;"|"&amp;F51&amp;"|"&amp;J51)</f>
        <v/>
      </c>
    </row>
    <row r="52">
      <c r="A52" s="233" t="n"/>
      <c r="B52" s="91" t="n"/>
      <c r="C52" s="91" t="n"/>
      <c r="D52" s="91" t="n"/>
      <c r="E52" s="91" t="n"/>
      <c r="F52" s="91" t="n"/>
      <c r="G52" s="234" t="n"/>
      <c r="H52" s="91" t="n"/>
      <c r="I52" s="91" t="n"/>
      <c r="J52">
        <f>IF(OR(A52="",F52=""),"",COUNTIFS($A$2:A52,A52,$F$2:F52,F52))</f>
        <v/>
      </c>
      <c r="K52">
        <f>IF(OR(A52="",F52="",J52=""),"",TEXT(A52,"yyyymmdd")&amp;"|"&amp;F52&amp;"|"&amp;J52)</f>
        <v/>
      </c>
    </row>
    <row r="53">
      <c r="A53" s="233" t="n"/>
      <c r="B53" s="91" t="n"/>
      <c r="C53" s="91" t="n"/>
      <c r="D53" s="91" t="n"/>
      <c r="E53" s="91" t="n"/>
      <c r="F53" s="91" t="n"/>
      <c r="G53" s="234" t="n"/>
      <c r="H53" s="91" t="n"/>
      <c r="I53" s="91" t="n"/>
      <c r="J53">
        <f>IF(OR(A53="",F53=""),"",COUNTIFS($A$2:A53,A53,$F$2:F53,F53))</f>
        <v/>
      </c>
      <c r="K53">
        <f>IF(OR(A53="",F53="",J53=""),"",TEXT(A53,"yyyymmdd")&amp;"|"&amp;F53&amp;"|"&amp;J53)</f>
        <v/>
      </c>
    </row>
    <row r="54">
      <c r="A54" s="233" t="n"/>
      <c r="B54" s="91" t="n"/>
      <c r="C54" s="91" t="n"/>
      <c r="D54" s="91" t="n"/>
      <c r="E54" s="91" t="n"/>
      <c r="F54" s="91" t="n"/>
      <c r="G54" s="234" t="n"/>
      <c r="H54" s="91" t="n"/>
      <c r="I54" s="91" t="n"/>
      <c r="J54">
        <f>IF(OR(A54="",F54=""),"",COUNTIFS($A$2:A54,A54,$F$2:F54,F54))</f>
        <v/>
      </c>
      <c r="K54">
        <f>IF(OR(A54="",F54="",J54=""),"",TEXT(A54,"yyyymmdd")&amp;"|"&amp;F54&amp;"|"&amp;J54)</f>
        <v/>
      </c>
    </row>
    <row r="55">
      <c r="A55" s="233" t="n"/>
      <c r="B55" s="91" t="n"/>
      <c r="C55" s="91" t="n"/>
      <c r="D55" s="91" t="n"/>
      <c r="E55" s="91" t="n"/>
      <c r="F55" s="91" t="n"/>
      <c r="G55" s="234" t="n"/>
      <c r="H55" s="91" t="n"/>
      <c r="I55" s="91" t="n"/>
      <c r="J55">
        <f>IF(OR(A55="",F55=""),"",COUNTIFS($A$2:A55,A55,$F$2:F55,F55))</f>
        <v/>
      </c>
      <c r="K55">
        <f>IF(OR(A55="",F55="",J55=""),"",TEXT(A55,"yyyymmdd")&amp;"|"&amp;F55&amp;"|"&amp;J55)</f>
        <v/>
      </c>
    </row>
    <row r="56">
      <c r="A56" s="233" t="n"/>
      <c r="B56" s="91" t="n"/>
      <c r="C56" s="91" t="n"/>
      <c r="D56" s="91" t="n"/>
      <c r="E56" s="91" t="n"/>
      <c r="F56" s="91" t="n"/>
      <c r="G56" s="234" t="n"/>
      <c r="H56" s="91" t="n"/>
      <c r="I56" s="91" t="n"/>
      <c r="J56">
        <f>IF(OR(A56="",F56=""),"",COUNTIFS($A$2:A56,A56,$F$2:F56,F56))</f>
        <v/>
      </c>
      <c r="K56">
        <f>IF(OR(A56="",F56="",J56=""),"",TEXT(A56,"yyyymmdd")&amp;"|"&amp;F56&amp;"|"&amp;J56)</f>
        <v/>
      </c>
    </row>
    <row r="57">
      <c r="A57" s="233" t="n"/>
      <c r="B57" s="91" t="n"/>
      <c r="C57" s="91" t="n"/>
      <c r="D57" s="91" t="n"/>
      <c r="E57" s="91" t="n"/>
      <c r="F57" s="91" t="n"/>
      <c r="G57" s="234" t="n"/>
      <c r="H57" s="91" t="n"/>
      <c r="I57" s="91" t="n"/>
      <c r="J57">
        <f>IF(OR(A57="",F57=""),"",COUNTIFS($A$2:A57,A57,$F$2:F57,F57))</f>
        <v/>
      </c>
      <c r="K57">
        <f>IF(OR(A57="",F57="",J57=""),"",TEXT(A57,"yyyymmdd")&amp;"|"&amp;F57&amp;"|"&amp;J57)</f>
        <v/>
      </c>
    </row>
    <row r="58">
      <c r="A58" s="233" t="n"/>
      <c r="B58" s="91" t="n"/>
      <c r="C58" s="91" t="n"/>
      <c r="D58" s="91" t="n"/>
      <c r="E58" s="91" t="n"/>
      <c r="F58" s="91" t="n"/>
      <c r="G58" s="234" t="n"/>
      <c r="H58" s="91" t="n"/>
      <c r="I58" s="91" t="n"/>
      <c r="J58">
        <f>IF(OR(A58="",F58=""),"",COUNTIFS($A$2:A58,A58,$F$2:F58,F58))</f>
        <v/>
      </c>
      <c r="K58">
        <f>IF(OR(A58="",F58="",J58=""),"",TEXT(A58,"yyyymmdd")&amp;"|"&amp;F58&amp;"|"&amp;J58)</f>
        <v/>
      </c>
    </row>
    <row r="59">
      <c r="A59" s="233" t="n"/>
      <c r="B59" s="91" t="n"/>
      <c r="C59" s="91" t="n"/>
      <c r="D59" s="91" t="n"/>
      <c r="E59" s="91" t="n"/>
      <c r="F59" s="91" t="n"/>
      <c r="G59" s="234" t="n"/>
      <c r="H59" s="91" t="n"/>
      <c r="I59" s="91" t="n"/>
      <c r="J59">
        <f>IF(OR(A59="",F59=""),"",COUNTIFS($A$2:A59,A59,$F$2:F59,F59))</f>
        <v/>
      </c>
      <c r="K59">
        <f>IF(OR(A59="",F59="",J59=""),"",TEXT(A59,"yyyymmdd")&amp;"|"&amp;F59&amp;"|"&amp;J59)</f>
        <v/>
      </c>
    </row>
    <row r="60">
      <c r="A60" s="233" t="n"/>
      <c r="B60" s="91" t="n"/>
      <c r="C60" s="91" t="n"/>
      <c r="D60" s="91" t="n"/>
      <c r="E60" s="91" t="n"/>
      <c r="F60" s="91" t="n"/>
      <c r="G60" s="234" t="n"/>
      <c r="H60" s="91" t="n"/>
      <c r="I60" s="91" t="n"/>
      <c r="J60">
        <f>IF(OR(A60="",F60=""),"",COUNTIFS($A$2:A60,A60,$F$2:F60,F60))</f>
        <v/>
      </c>
      <c r="K60">
        <f>IF(OR(A60="",F60="",J60=""),"",TEXT(A60,"yyyymmdd")&amp;"|"&amp;F60&amp;"|"&amp;J60)</f>
        <v/>
      </c>
    </row>
    <row r="61">
      <c r="A61" s="233" t="n"/>
      <c r="B61" s="91" t="n"/>
      <c r="C61" s="91" t="n"/>
      <c r="D61" s="91" t="n"/>
      <c r="E61" s="91" t="n"/>
      <c r="F61" s="91" t="n"/>
      <c r="G61" s="234" t="n"/>
      <c r="H61" s="91" t="n"/>
      <c r="I61" s="91" t="n"/>
      <c r="J61">
        <f>IF(OR(A61="",F61=""),"",COUNTIFS($A$2:A61,A61,$F$2:F61,F61))</f>
        <v/>
      </c>
      <c r="K61">
        <f>IF(OR(A61="",F61="",J61=""),"",TEXT(A61,"yyyymmdd")&amp;"|"&amp;F61&amp;"|"&amp;J61)</f>
        <v/>
      </c>
    </row>
    <row r="62">
      <c r="A62" s="233" t="n"/>
      <c r="B62" s="91" t="n"/>
      <c r="C62" s="91" t="n"/>
      <c r="D62" s="91" t="n"/>
      <c r="E62" s="91" t="n"/>
      <c r="F62" s="91" t="n"/>
      <c r="G62" s="234" t="n"/>
      <c r="H62" s="91" t="n"/>
      <c r="I62" s="91" t="n"/>
      <c r="J62">
        <f>IF(OR(A62="",F62=""),"",COUNTIFS($A$2:A62,A62,$F$2:F62,F62))</f>
        <v/>
      </c>
      <c r="K62">
        <f>IF(OR(A62="",F62="",J62=""),"",TEXT(A62,"yyyymmdd")&amp;"|"&amp;F62&amp;"|"&amp;J62)</f>
        <v/>
      </c>
    </row>
    <row r="63">
      <c r="A63" s="233" t="n"/>
      <c r="B63" s="91" t="n"/>
      <c r="C63" s="91" t="n"/>
      <c r="D63" s="91" t="n"/>
      <c r="E63" s="91" t="n"/>
      <c r="F63" s="91" t="n"/>
      <c r="G63" s="234" t="n"/>
      <c r="H63" s="91" t="n"/>
      <c r="I63" s="91" t="n"/>
      <c r="J63">
        <f>IF(OR(A63="",F63=""),"",COUNTIFS($A$2:A63,A63,$F$2:F63,F63))</f>
        <v/>
      </c>
      <c r="K63">
        <f>IF(OR(A63="",F63="",J63=""),"",TEXT(A63,"yyyymmdd")&amp;"|"&amp;F63&amp;"|"&amp;J63)</f>
        <v/>
      </c>
    </row>
    <row r="64">
      <c r="A64" s="233" t="n"/>
      <c r="B64" s="91" t="n"/>
      <c r="C64" s="91" t="n"/>
      <c r="D64" s="91" t="n"/>
      <c r="E64" s="91" t="n"/>
      <c r="F64" s="91" t="n"/>
      <c r="G64" s="234" t="n"/>
      <c r="H64" s="91" t="n"/>
      <c r="I64" s="91" t="n"/>
      <c r="J64">
        <f>IF(OR(A64="",F64=""),"",COUNTIFS($A$2:A64,A64,$F$2:F64,F64))</f>
        <v/>
      </c>
      <c r="K64">
        <f>IF(OR(A64="",F64="",J64=""),"",TEXT(A64,"yyyymmdd")&amp;"|"&amp;F64&amp;"|"&amp;J64)</f>
        <v/>
      </c>
    </row>
    <row r="65">
      <c r="A65" s="233" t="n"/>
      <c r="B65" s="91" t="n"/>
      <c r="C65" s="91" t="n"/>
      <c r="D65" s="91" t="n"/>
      <c r="E65" s="91" t="n"/>
      <c r="F65" s="91" t="n"/>
      <c r="G65" s="234" t="n"/>
      <c r="H65" s="91" t="n"/>
      <c r="I65" s="91" t="n"/>
      <c r="J65">
        <f>IF(OR(A65="",F65=""),"",COUNTIFS($A$2:A65,A65,$F$2:F65,F65))</f>
        <v/>
      </c>
      <c r="K65">
        <f>IF(OR(A65="",F65="",J65=""),"",TEXT(A65,"yyyymmdd")&amp;"|"&amp;F65&amp;"|"&amp;J65)</f>
        <v/>
      </c>
    </row>
    <row r="66">
      <c r="A66" s="233" t="n"/>
      <c r="B66" s="91" t="n"/>
      <c r="C66" s="91" t="n"/>
      <c r="D66" s="91" t="n"/>
      <c r="E66" s="91" t="n"/>
      <c r="F66" s="91" t="n"/>
      <c r="G66" s="234" t="n"/>
      <c r="H66" s="91" t="n"/>
      <c r="I66" s="91" t="n"/>
      <c r="J66">
        <f>IF(OR(A66="",F66=""),"",COUNTIFS($A$2:A66,A66,$F$2:F66,F66))</f>
        <v/>
      </c>
      <c r="K66">
        <f>IF(OR(A66="",F66="",J66=""),"",TEXT(A66,"yyyymmdd")&amp;"|"&amp;F66&amp;"|"&amp;J66)</f>
        <v/>
      </c>
    </row>
    <row r="67">
      <c r="A67" s="233" t="n"/>
      <c r="B67" s="91" t="n"/>
      <c r="C67" s="91" t="n"/>
      <c r="D67" s="91" t="n"/>
      <c r="E67" s="91" t="n"/>
      <c r="F67" s="91" t="n"/>
      <c r="G67" s="234" t="n"/>
      <c r="H67" s="91" t="n"/>
      <c r="I67" s="91" t="n"/>
      <c r="J67">
        <f>IF(OR(A67="",F67=""),"",COUNTIFS($A$2:A67,A67,$F$2:F67,F67))</f>
        <v/>
      </c>
      <c r="K67">
        <f>IF(OR(A67="",F67="",J67=""),"",TEXT(A67,"yyyymmdd")&amp;"|"&amp;F67&amp;"|"&amp;J67)</f>
        <v/>
      </c>
    </row>
    <row r="68">
      <c r="A68" s="233" t="n"/>
      <c r="B68" s="91" t="n"/>
      <c r="C68" s="91" t="n"/>
      <c r="D68" s="91" t="n"/>
      <c r="E68" s="91" t="n"/>
      <c r="F68" s="91" t="n"/>
      <c r="G68" s="234" t="n"/>
      <c r="H68" s="91" t="n"/>
      <c r="I68" s="91" t="n"/>
      <c r="J68">
        <f>IF(OR(A68="",F68=""),"",COUNTIFS($A$2:A68,A68,$F$2:F68,F68))</f>
        <v/>
      </c>
      <c r="K68">
        <f>IF(OR(A68="",F68="",J68=""),"",TEXT(A68,"yyyymmdd")&amp;"|"&amp;F68&amp;"|"&amp;J68)</f>
        <v/>
      </c>
    </row>
    <row r="69">
      <c r="A69" s="233" t="n"/>
      <c r="B69" s="91" t="n"/>
      <c r="C69" s="91" t="n"/>
      <c r="D69" s="91" t="n"/>
      <c r="E69" s="91" t="n"/>
      <c r="F69" s="91" t="n"/>
      <c r="G69" s="234" t="n"/>
      <c r="H69" s="91" t="n"/>
      <c r="I69" s="91" t="n"/>
      <c r="J69">
        <f>IF(OR(A69="",F69=""),"",COUNTIFS($A$2:A69,A69,$F$2:F69,F69))</f>
        <v/>
      </c>
      <c r="K69">
        <f>IF(OR(A69="",F69="",J69=""),"",TEXT(A69,"yyyymmdd")&amp;"|"&amp;F69&amp;"|"&amp;J69)</f>
        <v/>
      </c>
    </row>
    <row r="70">
      <c r="A70" s="233" t="n"/>
      <c r="B70" s="91" t="n"/>
      <c r="C70" s="91" t="n"/>
      <c r="D70" s="91" t="n"/>
      <c r="E70" s="91" t="n"/>
      <c r="F70" s="91" t="n"/>
      <c r="G70" s="234" t="n"/>
      <c r="H70" s="91" t="n"/>
      <c r="I70" s="91" t="n"/>
      <c r="J70">
        <f>IF(OR(A70="",F70=""),"",COUNTIFS($A$2:A70,A70,$F$2:F70,F70))</f>
        <v/>
      </c>
      <c r="K70">
        <f>IF(OR(A70="",F70="",J70=""),"",TEXT(A70,"yyyymmdd")&amp;"|"&amp;F70&amp;"|"&amp;J70)</f>
        <v/>
      </c>
    </row>
    <row r="71">
      <c r="A71" s="233" t="n"/>
      <c r="B71" s="91" t="n"/>
      <c r="C71" s="91" t="n"/>
      <c r="D71" s="91" t="n"/>
      <c r="E71" s="91" t="n"/>
      <c r="F71" s="91" t="n"/>
      <c r="G71" s="234" t="n"/>
      <c r="H71" s="91" t="n"/>
      <c r="I71" s="91" t="n"/>
      <c r="J71">
        <f>IF(OR(A71="",F71=""),"",COUNTIFS($A$2:A71,A71,$F$2:F71,F71))</f>
        <v/>
      </c>
      <c r="K71">
        <f>IF(OR(A71="",F71="",J71=""),"",TEXT(A71,"yyyymmdd")&amp;"|"&amp;F71&amp;"|"&amp;J71)</f>
        <v/>
      </c>
    </row>
    <row r="72">
      <c r="A72" s="233" t="n"/>
      <c r="B72" s="91" t="n"/>
      <c r="C72" s="91" t="n"/>
      <c r="D72" s="91" t="n"/>
      <c r="E72" s="91" t="n"/>
      <c r="F72" s="91" t="n"/>
      <c r="G72" s="234" t="n"/>
      <c r="H72" s="91" t="n"/>
      <c r="I72" s="91" t="n"/>
      <c r="J72">
        <f>IF(OR(A72="",F72=""),"",COUNTIFS($A$2:A72,A72,$F$2:F72,F72))</f>
        <v/>
      </c>
      <c r="K72">
        <f>IF(OR(A72="",F72="",J72=""),"",TEXT(A72,"yyyymmdd")&amp;"|"&amp;F72&amp;"|"&amp;J72)</f>
        <v/>
      </c>
    </row>
    <row r="73">
      <c r="A73" s="233" t="n"/>
      <c r="B73" s="91" t="n"/>
      <c r="C73" s="91" t="n"/>
      <c r="D73" s="91" t="n"/>
      <c r="E73" s="91" t="n"/>
      <c r="F73" s="91" t="n"/>
      <c r="G73" s="234" t="n"/>
      <c r="H73" s="91" t="n"/>
      <c r="I73" s="91" t="n"/>
      <c r="J73">
        <f>IF(OR(A73="",F73=""),"",COUNTIFS($A$2:A73,A73,$F$2:F73,F73))</f>
        <v/>
      </c>
      <c r="K73">
        <f>IF(OR(A73="",F73="",J73=""),"",TEXT(A73,"yyyymmdd")&amp;"|"&amp;F73&amp;"|"&amp;J73)</f>
        <v/>
      </c>
    </row>
    <row r="74">
      <c r="A74" s="233" t="n"/>
      <c r="B74" s="91" t="n"/>
      <c r="C74" s="91" t="n"/>
      <c r="D74" s="91" t="n"/>
      <c r="E74" s="91" t="n"/>
      <c r="F74" s="91" t="n"/>
      <c r="G74" s="234" t="n"/>
      <c r="H74" s="91" t="n"/>
      <c r="I74" s="91" t="n"/>
      <c r="J74">
        <f>IF(OR(A74="",F74=""),"",COUNTIFS($A$2:A74,A74,$F$2:F74,F74))</f>
        <v/>
      </c>
      <c r="K74">
        <f>IF(OR(A74="",F74="",J74=""),"",TEXT(A74,"yyyymmdd")&amp;"|"&amp;F74&amp;"|"&amp;J74)</f>
        <v/>
      </c>
    </row>
    <row r="75">
      <c r="A75" s="233" t="n"/>
      <c r="B75" s="91" t="n"/>
      <c r="C75" s="91" t="n"/>
      <c r="D75" s="91" t="n"/>
      <c r="E75" s="91" t="n"/>
      <c r="F75" s="91" t="n"/>
      <c r="G75" s="234" t="n"/>
      <c r="H75" s="91" t="n"/>
      <c r="I75" s="91" t="n"/>
      <c r="J75">
        <f>IF(OR(A75="",F75=""),"",COUNTIFS($A$2:A75,A75,$F$2:F75,F75))</f>
        <v/>
      </c>
      <c r="K75">
        <f>IF(OR(A75="",F75="",J75=""),"",TEXT(A75,"yyyymmdd")&amp;"|"&amp;F75&amp;"|"&amp;J75)</f>
        <v/>
      </c>
    </row>
    <row r="76">
      <c r="A76" s="233" t="n"/>
      <c r="B76" s="91" t="n"/>
      <c r="C76" s="91" t="n"/>
      <c r="D76" s="91" t="n"/>
      <c r="E76" s="91" t="n"/>
      <c r="F76" s="91" t="n"/>
      <c r="G76" s="234" t="n"/>
      <c r="H76" s="91" t="n"/>
      <c r="I76" s="91" t="n"/>
      <c r="J76">
        <f>IF(OR(A76="",F76=""),"",COUNTIFS($A$2:A76,A76,$F$2:F76,F76))</f>
        <v/>
      </c>
      <c r="K76">
        <f>IF(OR(A76="",F76="",J76=""),"",TEXT(A76,"yyyymmdd")&amp;"|"&amp;F76&amp;"|"&amp;J76)</f>
        <v/>
      </c>
    </row>
    <row r="77">
      <c r="A77" s="233" t="n"/>
      <c r="B77" s="91" t="n"/>
      <c r="C77" s="91" t="n"/>
      <c r="D77" s="91" t="n"/>
      <c r="E77" s="91" t="n"/>
      <c r="F77" s="91" t="n"/>
      <c r="G77" s="234" t="n"/>
      <c r="H77" s="91" t="n"/>
      <c r="I77" s="91" t="n"/>
      <c r="J77">
        <f>IF(OR(A77="",F77=""),"",COUNTIFS($A$2:A77,A77,$F$2:F77,F77))</f>
        <v/>
      </c>
      <c r="K77">
        <f>IF(OR(A77="",F77="",J77=""),"",TEXT(A77,"yyyymmdd")&amp;"|"&amp;F77&amp;"|"&amp;J77)</f>
        <v/>
      </c>
    </row>
    <row r="78">
      <c r="A78" s="233" t="n"/>
      <c r="B78" s="91" t="n"/>
      <c r="C78" s="91" t="n"/>
      <c r="D78" s="91" t="n"/>
      <c r="E78" s="91" t="n"/>
      <c r="F78" s="91" t="n"/>
      <c r="G78" s="234" t="n"/>
      <c r="H78" s="91" t="n"/>
      <c r="I78" s="91" t="n"/>
      <c r="J78">
        <f>IF(OR(A78="",F78=""),"",COUNTIFS($A$2:A78,A78,$F$2:F78,F78))</f>
        <v/>
      </c>
      <c r="K78">
        <f>IF(OR(A78="",F78="",J78=""),"",TEXT(A78,"yyyymmdd")&amp;"|"&amp;F78&amp;"|"&amp;J78)</f>
        <v/>
      </c>
    </row>
    <row r="79">
      <c r="A79" s="233" t="n"/>
      <c r="B79" s="91" t="n"/>
      <c r="C79" s="91" t="n"/>
      <c r="D79" s="91" t="n"/>
      <c r="E79" s="91" t="n"/>
      <c r="F79" s="91" t="n"/>
      <c r="G79" s="234" t="n"/>
      <c r="H79" s="91" t="n"/>
      <c r="I79" s="91" t="n"/>
      <c r="J79">
        <f>IF(OR(A79="",F79=""),"",COUNTIFS($A$2:A79,A79,$F$2:F79,F79))</f>
        <v/>
      </c>
      <c r="K79">
        <f>IF(OR(A79="",F79="",J79=""),"",TEXT(A79,"yyyymmdd")&amp;"|"&amp;F79&amp;"|"&amp;J79)</f>
        <v/>
      </c>
    </row>
    <row r="80">
      <c r="A80" s="233" t="n"/>
      <c r="B80" s="91" t="n"/>
      <c r="C80" s="91" t="n"/>
      <c r="D80" s="91" t="n"/>
      <c r="E80" s="91" t="n"/>
      <c r="F80" s="91" t="n"/>
      <c r="G80" s="234" t="n"/>
      <c r="H80" s="91" t="n"/>
      <c r="I80" s="91" t="n"/>
      <c r="J80">
        <f>IF(OR(A80="",F80=""),"",COUNTIFS($A$2:A80,A80,$F$2:F80,F80))</f>
        <v/>
      </c>
      <c r="K80">
        <f>IF(OR(A80="",F80="",J80=""),"",TEXT(A80,"yyyymmdd")&amp;"|"&amp;F80&amp;"|"&amp;J80)</f>
        <v/>
      </c>
    </row>
    <row r="81">
      <c r="A81" s="233" t="n"/>
      <c r="B81" s="91" t="n"/>
      <c r="C81" s="91" t="n"/>
      <c r="D81" s="91" t="n"/>
      <c r="E81" s="91" t="n"/>
      <c r="F81" s="91" t="n"/>
      <c r="G81" s="234" t="n"/>
      <c r="H81" s="91" t="n"/>
      <c r="I81" s="91" t="n"/>
      <c r="J81">
        <f>IF(OR(A81="",F81=""),"",COUNTIFS($A$2:A81,A81,$F$2:F81,F81))</f>
        <v/>
      </c>
      <c r="K81">
        <f>IF(OR(A81="",F81="",J81=""),"",TEXT(A81,"yyyymmdd")&amp;"|"&amp;F81&amp;"|"&amp;J81)</f>
        <v/>
      </c>
    </row>
    <row r="82">
      <c r="A82" s="233" t="n"/>
      <c r="B82" s="91" t="n"/>
      <c r="C82" s="91" t="n"/>
      <c r="D82" s="91" t="n"/>
      <c r="E82" s="91" t="n"/>
      <c r="F82" s="91" t="n"/>
      <c r="G82" s="234" t="n"/>
      <c r="H82" s="91" t="n"/>
      <c r="I82" s="91" t="n"/>
      <c r="J82">
        <f>IF(OR(A82="",F82=""),"",COUNTIFS($A$2:A82,A82,$F$2:F82,F82))</f>
        <v/>
      </c>
      <c r="K82">
        <f>IF(OR(A82="",F82="",J82=""),"",TEXT(A82,"yyyymmdd")&amp;"|"&amp;F82&amp;"|"&amp;J82)</f>
        <v/>
      </c>
    </row>
    <row r="83">
      <c r="A83" s="233" t="n"/>
      <c r="B83" s="91" t="n"/>
      <c r="C83" s="91" t="n"/>
      <c r="D83" s="91" t="n"/>
      <c r="E83" s="91" t="n"/>
      <c r="F83" s="91" t="n"/>
      <c r="G83" s="234" t="n"/>
      <c r="H83" s="91" t="n"/>
      <c r="I83" s="91" t="n"/>
      <c r="J83">
        <f>IF(OR(A83="",F83=""),"",COUNTIFS($A$2:A83,A83,$F$2:F83,F83))</f>
        <v/>
      </c>
      <c r="K83">
        <f>IF(OR(A83="",F83="",J83=""),"",TEXT(A83,"yyyymmdd")&amp;"|"&amp;F83&amp;"|"&amp;J83)</f>
        <v/>
      </c>
    </row>
    <row r="84">
      <c r="A84" s="233" t="n"/>
      <c r="B84" s="91" t="n"/>
      <c r="C84" s="91" t="n"/>
      <c r="D84" s="91" t="n"/>
      <c r="E84" s="91" t="n"/>
      <c r="F84" s="91" t="n"/>
      <c r="G84" s="234" t="n"/>
      <c r="H84" s="91" t="n"/>
      <c r="I84" s="91" t="n"/>
      <c r="J84">
        <f>IF(OR(A84="",F84=""),"",COUNTIFS($A$2:A84,A84,$F$2:F84,F84))</f>
        <v/>
      </c>
      <c r="K84">
        <f>IF(OR(A84="",F84="",J84=""),"",TEXT(A84,"yyyymmdd")&amp;"|"&amp;F84&amp;"|"&amp;J84)</f>
        <v/>
      </c>
    </row>
    <row r="85">
      <c r="A85" s="233" t="n"/>
      <c r="B85" s="91" t="n"/>
      <c r="C85" s="91" t="n"/>
      <c r="D85" s="91" t="n"/>
      <c r="E85" s="91" t="n"/>
      <c r="F85" s="91" t="n"/>
      <c r="G85" s="234" t="n"/>
      <c r="H85" s="91" t="n"/>
      <c r="I85" s="91" t="n"/>
      <c r="J85">
        <f>IF(OR(A85="",F85=""),"",COUNTIFS($A$2:A85,A85,$F$2:F85,F85))</f>
        <v/>
      </c>
      <c r="K85">
        <f>IF(OR(A85="",F85="",J85=""),"",TEXT(A85,"yyyymmdd")&amp;"|"&amp;F85&amp;"|"&amp;J85)</f>
        <v/>
      </c>
    </row>
    <row r="86">
      <c r="A86" s="233" t="n"/>
      <c r="B86" s="91" t="n"/>
      <c r="C86" s="91" t="n"/>
      <c r="D86" s="91" t="n"/>
      <c r="E86" s="91" t="n"/>
      <c r="F86" s="91" t="n"/>
      <c r="G86" s="234" t="n"/>
      <c r="H86" s="91" t="n"/>
      <c r="I86" s="91" t="n"/>
      <c r="J86">
        <f>IF(OR(A86="",F86=""),"",COUNTIFS($A$2:A86,A86,$F$2:F86,F86))</f>
        <v/>
      </c>
      <c r="K86">
        <f>IF(OR(A86="",F86="",J86=""),"",TEXT(A86,"yyyymmdd")&amp;"|"&amp;F86&amp;"|"&amp;J86)</f>
        <v/>
      </c>
    </row>
    <row r="87">
      <c r="A87" s="233" t="n"/>
      <c r="B87" s="91" t="n"/>
      <c r="C87" s="91" t="n"/>
      <c r="D87" s="91" t="n"/>
      <c r="E87" s="91" t="n"/>
      <c r="F87" s="91" t="n"/>
      <c r="G87" s="234" t="n"/>
      <c r="H87" s="91" t="n"/>
      <c r="I87" s="91" t="n"/>
      <c r="J87">
        <f>IF(OR(A87="",F87=""),"",COUNTIFS($A$2:A87,A87,$F$2:F87,F87))</f>
        <v/>
      </c>
      <c r="K87">
        <f>IF(OR(A87="",F87="",J87=""),"",TEXT(A87,"yyyymmdd")&amp;"|"&amp;F87&amp;"|"&amp;J87)</f>
        <v/>
      </c>
    </row>
    <row r="88">
      <c r="A88" s="233" t="n"/>
      <c r="B88" s="91" t="n"/>
      <c r="C88" s="91" t="n"/>
      <c r="D88" s="91" t="n"/>
      <c r="E88" s="91" t="n"/>
      <c r="F88" s="91" t="n"/>
      <c r="G88" s="234" t="n"/>
      <c r="H88" s="91" t="n"/>
      <c r="I88" s="91" t="n"/>
      <c r="J88">
        <f>IF(OR(A88="",F88=""),"",COUNTIFS($A$2:A88,A88,$F$2:F88,F88))</f>
        <v/>
      </c>
      <c r="K88">
        <f>IF(OR(A88="",F88="",J88=""),"",TEXT(A88,"yyyymmdd")&amp;"|"&amp;F88&amp;"|"&amp;J88)</f>
        <v/>
      </c>
    </row>
    <row r="89">
      <c r="A89" s="233" t="n"/>
      <c r="B89" s="91" t="n"/>
      <c r="C89" s="91" t="n"/>
      <c r="D89" s="91" t="n"/>
      <c r="E89" s="91" t="n"/>
      <c r="F89" s="91" t="n"/>
      <c r="G89" s="234" t="n"/>
      <c r="H89" s="91" t="n"/>
      <c r="I89" s="91" t="n"/>
      <c r="J89">
        <f>IF(OR(A89="",F89=""),"",COUNTIFS($A$2:A89,A89,$F$2:F89,F89))</f>
        <v/>
      </c>
      <c r="K89">
        <f>IF(OR(A89="",F89="",J89=""),"",TEXT(A89,"yyyymmdd")&amp;"|"&amp;F89&amp;"|"&amp;J89)</f>
        <v/>
      </c>
    </row>
    <row r="90">
      <c r="A90" s="233" t="n"/>
      <c r="B90" s="91" t="n"/>
      <c r="C90" s="91" t="n"/>
      <c r="D90" s="91" t="n"/>
      <c r="E90" s="91" t="n"/>
      <c r="F90" s="91" t="n"/>
      <c r="G90" s="234" t="n"/>
      <c r="H90" s="91" t="n"/>
      <c r="I90" s="91" t="n"/>
      <c r="J90">
        <f>IF(OR(A90="",F90=""),"",COUNTIFS($A$2:A90,A90,$F$2:F90,F90))</f>
        <v/>
      </c>
      <c r="K90">
        <f>IF(OR(A90="",F90="",J90=""),"",TEXT(A90,"yyyymmdd")&amp;"|"&amp;F90&amp;"|"&amp;J90)</f>
        <v/>
      </c>
    </row>
    <row r="91">
      <c r="A91" s="233" t="n"/>
      <c r="B91" s="91" t="n"/>
      <c r="C91" s="91" t="n"/>
      <c r="D91" s="91" t="n"/>
      <c r="E91" s="91" t="n"/>
      <c r="F91" s="91" t="n"/>
      <c r="G91" s="234" t="n"/>
      <c r="H91" s="91" t="n"/>
      <c r="I91" s="91" t="n"/>
      <c r="J91">
        <f>IF(OR(A91="",F91=""),"",COUNTIFS($A$2:A91,A91,$F$2:F91,F91))</f>
        <v/>
      </c>
      <c r="K91">
        <f>IF(OR(A91="",F91="",J91=""),"",TEXT(A91,"yyyymmdd")&amp;"|"&amp;F91&amp;"|"&amp;J91)</f>
        <v/>
      </c>
    </row>
    <row r="92">
      <c r="A92" s="233" t="n"/>
      <c r="B92" s="91" t="n"/>
      <c r="C92" s="91" t="n"/>
      <c r="D92" s="91" t="n"/>
      <c r="E92" s="91" t="n"/>
      <c r="F92" s="91" t="n"/>
      <c r="G92" s="234" t="n"/>
      <c r="H92" s="91" t="n"/>
      <c r="I92" s="91" t="n"/>
      <c r="J92">
        <f>IF(OR(A92="",F92=""),"",COUNTIFS($A$2:A92,A92,$F$2:F92,F92))</f>
        <v/>
      </c>
      <c r="K92">
        <f>IF(OR(A92="",F92="",J92=""),"",TEXT(A92,"yyyymmdd")&amp;"|"&amp;F92&amp;"|"&amp;J92)</f>
        <v/>
      </c>
    </row>
    <row r="93">
      <c r="A93" s="233" t="n"/>
      <c r="B93" s="91" t="n"/>
      <c r="C93" s="91" t="n"/>
      <c r="D93" s="91" t="n"/>
      <c r="E93" s="91" t="n"/>
      <c r="F93" s="91" t="n"/>
      <c r="G93" s="234" t="n"/>
      <c r="H93" s="91" t="n"/>
      <c r="I93" s="91" t="n"/>
      <c r="J93">
        <f>IF(OR(A93="",F93=""),"",COUNTIFS($A$2:A93,A93,$F$2:F93,F93))</f>
        <v/>
      </c>
      <c r="K93">
        <f>IF(OR(A93="",F93="",J93=""),"",TEXT(A93,"yyyymmdd")&amp;"|"&amp;F93&amp;"|"&amp;J93)</f>
        <v/>
      </c>
    </row>
    <row r="94">
      <c r="A94" s="233" t="n"/>
      <c r="B94" s="91" t="n"/>
      <c r="C94" s="91" t="n"/>
      <c r="D94" s="91" t="n"/>
      <c r="E94" s="91" t="n"/>
      <c r="F94" s="91" t="n"/>
      <c r="G94" s="234" t="n"/>
      <c r="H94" s="91" t="n"/>
      <c r="I94" s="91" t="n"/>
      <c r="J94">
        <f>IF(OR(A94="",F94=""),"",COUNTIFS($A$2:A94,A94,$F$2:F94,F94))</f>
        <v/>
      </c>
      <c r="K94">
        <f>IF(OR(A94="",F94="",J94=""),"",TEXT(A94,"yyyymmdd")&amp;"|"&amp;F94&amp;"|"&amp;J94)</f>
        <v/>
      </c>
    </row>
    <row r="95">
      <c r="A95" s="233" t="n"/>
      <c r="B95" s="91" t="n"/>
      <c r="C95" s="91" t="n"/>
      <c r="D95" s="91" t="n"/>
      <c r="E95" s="91" t="n"/>
      <c r="F95" s="91" t="n"/>
      <c r="G95" s="234" t="n"/>
      <c r="H95" s="91" t="n"/>
      <c r="I95" s="91" t="n"/>
      <c r="J95">
        <f>IF(OR(A95="",F95=""),"",COUNTIFS($A$2:A95,A95,$F$2:F95,F95))</f>
        <v/>
      </c>
      <c r="K95">
        <f>IF(OR(A95="",F95="",J95=""),"",TEXT(A95,"yyyymmdd")&amp;"|"&amp;F95&amp;"|"&amp;J95)</f>
        <v/>
      </c>
    </row>
    <row r="96">
      <c r="A96" s="233" t="n"/>
      <c r="B96" s="91" t="n"/>
      <c r="C96" s="91" t="n"/>
      <c r="D96" s="91" t="n"/>
      <c r="E96" s="91" t="n"/>
      <c r="F96" s="91" t="n"/>
      <c r="G96" s="234" t="n"/>
      <c r="H96" s="91" t="n"/>
      <c r="I96" s="91" t="n"/>
      <c r="J96">
        <f>IF(OR(A96="",F96=""),"",COUNTIFS($A$2:A96,A96,$F$2:F96,F96))</f>
        <v/>
      </c>
      <c r="K96">
        <f>IF(OR(A96="",F96="",J96=""),"",TEXT(A96,"yyyymmdd")&amp;"|"&amp;F96&amp;"|"&amp;J96)</f>
        <v/>
      </c>
    </row>
    <row r="97">
      <c r="A97" s="233" t="n"/>
      <c r="B97" s="91" t="n"/>
      <c r="C97" s="91" t="n"/>
      <c r="D97" s="91" t="n"/>
      <c r="E97" s="91" t="n"/>
      <c r="F97" s="91" t="n"/>
      <c r="G97" s="234" t="n"/>
      <c r="H97" s="91" t="n"/>
      <c r="I97" s="91" t="n"/>
      <c r="J97">
        <f>IF(OR(A97="",F97=""),"",COUNTIFS($A$2:A97,A97,$F$2:F97,F97))</f>
        <v/>
      </c>
      <c r="K97">
        <f>IF(OR(A97="",F97="",J97=""),"",TEXT(A97,"yyyymmdd")&amp;"|"&amp;F97&amp;"|"&amp;J97)</f>
        <v/>
      </c>
    </row>
    <row r="98">
      <c r="A98" s="233" t="n"/>
      <c r="B98" s="91" t="n"/>
      <c r="C98" s="91" t="n"/>
      <c r="D98" s="91" t="n"/>
      <c r="E98" s="91" t="n"/>
      <c r="F98" s="91" t="n"/>
      <c r="G98" s="234" t="n"/>
      <c r="H98" s="91" t="n"/>
      <c r="I98" s="91" t="n"/>
      <c r="J98">
        <f>IF(OR(A98="",F98=""),"",COUNTIFS($A$2:A98,A98,$F$2:F98,F98))</f>
        <v/>
      </c>
      <c r="K98">
        <f>IF(OR(A98="",F98="",J98=""),"",TEXT(A98,"yyyymmdd")&amp;"|"&amp;F98&amp;"|"&amp;J98)</f>
        <v/>
      </c>
    </row>
    <row r="99">
      <c r="A99" s="233" t="n"/>
      <c r="B99" s="91" t="n"/>
      <c r="C99" s="91" t="n"/>
      <c r="D99" s="91" t="n"/>
      <c r="E99" s="91" t="n"/>
      <c r="F99" s="91" t="n"/>
      <c r="G99" s="234" t="n"/>
      <c r="H99" s="91" t="n"/>
      <c r="I99" s="91" t="n"/>
      <c r="J99">
        <f>IF(OR(A99="",F99=""),"",COUNTIFS($A$2:A99,A99,$F$2:F99,F99))</f>
        <v/>
      </c>
      <c r="K99">
        <f>IF(OR(A99="",F99="",J99=""),"",TEXT(A99,"yyyymmdd")&amp;"|"&amp;F99&amp;"|"&amp;J99)</f>
        <v/>
      </c>
    </row>
    <row r="100">
      <c r="A100" s="233" t="n"/>
      <c r="B100" s="91" t="n"/>
      <c r="C100" s="91" t="n"/>
      <c r="D100" s="91" t="n"/>
      <c r="E100" s="91" t="n"/>
      <c r="F100" s="91" t="n"/>
      <c r="G100" s="234" t="n"/>
      <c r="H100" s="91" t="n"/>
      <c r="I100" s="91" t="n"/>
      <c r="J100">
        <f>IF(OR(A100="",F100=""),"",COUNTIFS($A$2:A100,A100,$F$2:F100,F100))</f>
        <v/>
      </c>
      <c r="K100">
        <f>IF(OR(A100="",F100="",J100=""),"",TEXT(A100,"yyyymmdd")&amp;"|"&amp;F100&amp;"|"&amp;J100)</f>
        <v/>
      </c>
    </row>
    <row r="101">
      <c r="A101" s="233" t="n"/>
      <c r="B101" s="91" t="n"/>
      <c r="C101" s="91" t="n"/>
      <c r="D101" s="91" t="n"/>
      <c r="E101" s="91" t="n"/>
      <c r="F101" s="91" t="n"/>
      <c r="G101" s="234" t="n"/>
      <c r="H101" s="91" t="n"/>
      <c r="I101" s="91" t="n"/>
      <c r="J101">
        <f>IF(OR(A101="",F101=""),"",COUNTIFS($A$2:A101,A101,$F$2:F101,F101))</f>
        <v/>
      </c>
      <c r="K101">
        <f>IF(OR(A101="",F101="",J101=""),"",TEXT(A101,"yyyymmdd")&amp;"|"&amp;F101&amp;"|"&amp;J101)</f>
        <v/>
      </c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30" min="1" max="1"/>
    <col width="24" customWidth="1" style="130" min="2" max="2"/>
    <col width="20" customWidth="1" style="130" min="3" max="3"/>
    <col width="14" customWidth="1" style="130" min="4" max="4"/>
    <col width="32" customWidth="1" style="130" min="5" max="5"/>
    <col width="14" customWidth="1" style="130" min="6" max="7"/>
    <col width="16" customWidth="1" style="130" min="8" max="8"/>
    <col width="28" customWidth="1" style="130" min="9" max="9"/>
    <col width="42" customWidth="1" style="130" min="10" max="10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NPO</t>
        </is>
      </c>
      <c r="D1" s="66" t="inlineStr">
        <is>
          <t>Location ID</t>
        </is>
      </c>
      <c r="E1" s="66" t="inlineStr">
        <is>
          <t>Location Description</t>
        </is>
      </c>
      <c r="F1" s="66" t="inlineStr">
        <is>
          <t>Gross Tips</t>
        </is>
      </c>
      <c r="G1" s="66" t="inlineStr">
        <is>
          <t>Allocation %</t>
        </is>
      </c>
      <c r="H1" s="66" t="inlineStr">
        <is>
          <t>Allocated Tips</t>
        </is>
      </c>
      <c r="I1" s="66" t="inlineStr">
        <is>
          <t>Source</t>
        </is>
      </c>
      <c r="J1" s="66" t="inlineStr">
        <is>
          <t>Notes</t>
        </is>
      </c>
    </row>
    <row r="2">
      <c r="A2" s="235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223" t="n">
        <v>1905.76</v>
      </c>
      <c r="G2" s="222" t="n">
        <v>1</v>
      </c>
      <c r="H2" s="223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235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223" t="n">
        <v>154.32</v>
      </c>
      <c r="G3" s="222" t="n">
        <v>1</v>
      </c>
      <c r="H3" s="223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235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223" t="n">
        <v>189</v>
      </c>
      <c r="G4" s="222" t="n">
        <v>1</v>
      </c>
      <c r="H4" s="223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235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223" t="n">
        <v>670.54</v>
      </c>
      <c r="G5" s="222" t="n">
        <v>1</v>
      </c>
      <c r="H5" s="223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235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223" t="n">
        <v>502.12</v>
      </c>
      <c r="G6" s="222" t="n">
        <v>1</v>
      </c>
      <c r="H6" s="223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235" t="n"/>
      <c r="F7" s="223" t="n"/>
      <c r="G7" s="222" t="n"/>
      <c r="H7" s="223" t="n"/>
    </row>
    <row r="8">
      <c r="A8" s="235" t="n"/>
      <c r="F8" s="223" t="n"/>
      <c r="G8" s="222" t="n"/>
      <c r="H8" s="223" t="n"/>
    </row>
    <row r="9">
      <c r="A9" s="235" t="n"/>
      <c r="F9" s="223" t="n"/>
      <c r="G9" s="222" t="n"/>
      <c r="H9" s="223" t="n"/>
    </row>
    <row r="10">
      <c r="A10" s="235" t="n"/>
      <c r="F10" s="223" t="n"/>
      <c r="G10" s="222" t="n"/>
      <c r="H10" s="223" t="n"/>
    </row>
    <row r="11">
      <c r="A11" s="235" t="n"/>
      <c r="F11" s="223" t="n"/>
      <c r="G11" s="222" t="n"/>
      <c r="H11" s="223" t="n"/>
    </row>
    <row r="12">
      <c r="A12" s="235" t="n"/>
      <c r="F12" s="223" t="n"/>
      <c r="G12" s="222" t="n"/>
      <c r="H12" s="223" t="n"/>
    </row>
    <row r="13">
      <c r="A13" s="235" t="n"/>
      <c r="F13" s="223" t="n"/>
      <c r="G13" s="222" t="n"/>
      <c r="H13" s="223" t="n"/>
    </row>
    <row r="14">
      <c r="A14" s="235" t="n"/>
      <c r="F14" s="223" t="n"/>
      <c r="G14" s="222" t="n"/>
      <c r="H14" s="223" t="n"/>
    </row>
    <row r="15">
      <c r="A15" s="235" t="n"/>
      <c r="F15" s="223" t="n"/>
      <c r="G15" s="222" t="n"/>
      <c r="H15" s="223" t="n"/>
    </row>
    <row r="16">
      <c r="A16" s="235" t="n"/>
      <c r="F16" s="223" t="n"/>
      <c r="G16" s="222" t="n"/>
      <c r="H16" s="223" t="n"/>
    </row>
    <row r="17">
      <c r="A17" s="235" t="n"/>
      <c r="F17" s="223" t="n"/>
      <c r="G17" s="222" t="n"/>
      <c r="H17" s="223" t="n"/>
    </row>
    <row r="18">
      <c r="A18" s="235" t="n"/>
      <c r="F18" s="223" t="n"/>
      <c r="G18" s="222" t="n"/>
      <c r="H18" s="223" t="n"/>
    </row>
    <row r="19">
      <c r="A19" s="235" t="n"/>
      <c r="F19" s="223" t="n"/>
      <c r="G19" s="222" t="n"/>
      <c r="H19" s="223" t="n"/>
    </row>
    <row r="20">
      <c r="A20" s="235" t="n"/>
      <c r="F20" s="223" t="n"/>
      <c r="G20" s="222" t="n"/>
      <c r="H20" s="223" t="n"/>
    </row>
    <row r="21">
      <c r="A21" s="235" t="n"/>
      <c r="F21" s="223" t="n"/>
      <c r="G21" s="222" t="n"/>
      <c r="H21" s="223" t="n"/>
    </row>
    <row r="22">
      <c r="A22" s="235" t="n"/>
      <c r="F22" s="223" t="n"/>
      <c r="G22" s="222" t="n"/>
      <c r="H22" s="223" t="n"/>
    </row>
    <row r="23">
      <c r="A23" s="235" t="n"/>
      <c r="F23" s="223" t="n"/>
      <c r="G23" s="222" t="n"/>
      <c r="H23" s="223" t="n"/>
    </row>
    <row r="24">
      <c r="A24" s="235" t="n"/>
      <c r="F24" s="223" t="n"/>
      <c r="G24" s="222" t="n"/>
      <c r="H24" s="223" t="n"/>
    </row>
    <row r="25">
      <c r="A25" s="235" t="n"/>
      <c r="F25" s="223" t="n"/>
      <c r="G25" s="222" t="n"/>
      <c r="H25" s="223" t="n"/>
    </row>
    <row r="26">
      <c r="A26" s="235" t="n"/>
      <c r="F26" s="223" t="n"/>
      <c r="G26" s="222" t="n"/>
      <c r="H26" s="223" t="n"/>
    </row>
    <row r="27">
      <c r="A27" s="235" t="n"/>
      <c r="F27" s="223" t="n"/>
      <c r="G27" s="222" t="n"/>
      <c r="H27" s="223" t="n"/>
    </row>
    <row r="28">
      <c r="A28" s="235" t="n"/>
      <c r="F28" s="223" t="n"/>
      <c r="G28" s="222" t="n"/>
      <c r="H28" s="223" t="n"/>
    </row>
    <row r="29">
      <c r="A29" s="235" t="n"/>
      <c r="F29" s="223" t="n"/>
      <c r="G29" s="222" t="n"/>
      <c r="H29" s="223" t="n"/>
    </row>
    <row r="30">
      <c r="A30" s="235" t="n"/>
      <c r="F30" s="223" t="n"/>
      <c r="G30" s="222" t="n"/>
      <c r="H30" s="223" t="n"/>
    </row>
    <row r="31">
      <c r="A31" s="235" t="n"/>
      <c r="F31" s="223" t="n"/>
      <c r="G31" s="222" t="n"/>
      <c r="H31" s="223" t="n"/>
    </row>
    <row r="32">
      <c r="A32" s="235" t="n"/>
      <c r="F32" s="223" t="n"/>
      <c r="G32" s="222" t="n"/>
      <c r="H32" s="223" t="n"/>
    </row>
    <row r="33">
      <c r="A33" s="235" t="n"/>
      <c r="F33" s="223" t="n"/>
      <c r="G33" s="222" t="n"/>
      <c r="H33" s="223" t="n"/>
    </row>
    <row r="34">
      <c r="A34" s="235" t="n"/>
      <c r="F34" s="223" t="n"/>
      <c r="G34" s="222" t="n"/>
      <c r="H34" s="223" t="n"/>
    </row>
    <row r="35">
      <c r="A35" s="235" t="n"/>
      <c r="F35" s="223" t="n"/>
      <c r="G35" s="222" t="n"/>
      <c r="H35" s="223" t="n"/>
    </row>
    <row r="36">
      <c r="A36" s="235" t="n"/>
      <c r="F36" s="223" t="n"/>
      <c r="G36" s="222" t="n"/>
      <c r="H36" s="223" t="n"/>
    </row>
    <row r="37">
      <c r="A37" s="235" t="n"/>
      <c r="F37" s="223" t="n"/>
      <c r="G37" s="222" t="n"/>
      <c r="H37" s="223" t="n"/>
    </row>
    <row r="38">
      <c r="A38" s="235" t="n"/>
      <c r="F38" s="223" t="n"/>
      <c r="G38" s="222" t="n"/>
      <c r="H38" s="223" t="n"/>
    </row>
    <row r="39">
      <c r="A39" s="235" t="n"/>
      <c r="F39" s="223" t="n"/>
      <c r="G39" s="222" t="n"/>
      <c r="H39" s="223" t="n"/>
    </row>
    <row r="40">
      <c r="A40" s="235" t="n"/>
      <c r="F40" s="223" t="n"/>
      <c r="G40" s="222" t="n"/>
      <c r="H40" s="223" t="n"/>
    </row>
    <row r="41">
      <c r="A41" s="235" t="n"/>
      <c r="F41" s="223" t="n"/>
      <c r="G41" s="222" t="n"/>
      <c r="H41" s="223" t="n"/>
    </row>
    <row r="42">
      <c r="A42" s="235" t="n"/>
      <c r="F42" s="223" t="n"/>
      <c r="G42" s="222" t="n"/>
      <c r="H42" s="223" t="n"/>
    </row>
    <row r="43">
      <c r="A43" s="235" t="n"/>
      <c r="F43" s="223" t="n"/>
      <c r="G43" s="222" t="n"/>
      <c r="H43" s="223" t="n"/>
    </row>
    <row r="44">
      <c r="A44" s="235" t="n"/>
      <c r="F44" s="223" t="n"/>
      <c r="G44" s="222" t="n"/>
      <c r="H44" s="223" t="n"/>
    </row>
    <row r="45">
      <c r="A45" s="235" t="n"/>
      <c r="F45" s="223" t="n"/>
      <c r="G45" s="222" t="n"/>
      <c r="H45" s="223" t="n"/>
    </row>
    <row r="46">
      <c r="A46" s="235" t="n"/>
      <c r="F46" s="223" t="n"/>
      <c r="G46" s="222" t="n"/>
      <c r="H46" s="223" t="n"/>
    </row>
    <row r="47">
      <c r="A47" s="235" t="n"/>
      <c r="F47" s="223" t="n"/>
      <c r="G47" s="222" t="n"/>
      <c r="H47" s="223" t="n"/>
    </row>
    <row r="48">
      <c r="A48" s="235" t="n"/>
      <c r="F48" s="223" t="n"/>
      <c r="G48" s="222" t="n"/>
      <c r="H48" s="223" t="n"/>
    </row>
    <row r="49">
      <c r="A49" s="235" t="n"/>
      <c r="F49" s="223" t="n"/>
      <c r="G49" s="222" t="n"/>
      <c r="H49" s="223" t="n"/>
    </row>
    <row r="50">
      <c r="A50" s="235" t="n"/>
      <c r="F50" s="223" t="n"/>
      <c r="G50" s="222" t="n"/>
      <c r="H50" s="223" t="n"/>
    </row>
    <row r="51">
      <c r="A51" s="235" t="n"/>
      <c r="F51" s="223" t="n"/>
      <c r="G51" s="222" t="n"/>
      <c r="H51" s="223" t="n"/>
    </row>
    <row r="52">
      <c r="A52" s="235" t="n"/>
      <c r="F52" s="223" t="n"/>
      <c r="G52" s="222" t="n"/>
      <c r="H52" s="223" t="n"/>
    </row>
    <row r="53">
      <c r="A53" s="235" t="n"/>
      <c r="F53" s="223" t="n"/>
      <c r="G53" s="222" t="n"/>
      <c r="H53" s="223" t="n"/>
    </row>
    <row r="54">
      <c r="A54" s="235" t="n"/>
      <c r="F54" s="223" t="n"/>
      <c r="G54" s="222" t="n"/>
      <c r="H54" s="223" t="n"/>
    </row>
    <row r="55">
      <c r="A55" s="235" t="n"/>
      <c r="F55" s="223" t="n"/>
      <c r="G55" s="222" t="n"/>
      <c r="H55" s="223" t="n"/>
    </row>
    <row r="56">
      <c r="A56" s="235" t="n"/>
      <c r="F56" s="223" t="n"/>
      <c r="G56" s="222" t="n"/>
      <c r="H56" s="223" t="n"/>
    </row>
    <row r="57">
      <c r="A57" s="235" t="n"/>
      <c r="F57" s="223" t="n"/>
      <c r="G57" s="222" t="n"/>
      <c r="H57" s="223" t="n"/>
    </row>
    <row r="58">
      <c r="A58" s="235" t="n"/>
      <c r="F58" s="223" t="n"/>
      <c r="G58" s="222" t="n"/>
      <c r="H58" s="223" t="n"/>
    </row>
    <row r="59">
      <c r="A59" s="235" t="n"/>
      <c r="F59" s="223" t="n"/>
      <c r="G59" s="222" t="n"/>
      <c r="H59" s="223" t="n"/>
    </row>
    <row r="60">
      <c r="A60" s="235" t="n"/>
      <c r="F60" s="223" t="n"/>
      <c r="G60" s="222" t="n"/>
      <c r="H60" s="223" t="n"/>
    </row>
    <row r="61">
      <c r="A61" s="235" t="n"/>
      <c r="F61" s="223" t="n"/>
      <c r="G61" s="222" t="n"/>
      <c r="H61" s="223" t="n"/>
    </row>
    <row r="62">
      <c r="A62" s="235" t="n"/>
      <c r="F62" s="223" t="n"/>
      <c r="G62" s="222" t="n"/>
      <c r="H62" s="223" t="n"/>
    </row>
    <row r="63">
      <c r="A63" s="235" t="n"/>
      <c r="F63" s="223" t="n"/>
      <c r="G63" s="222" t="n"/>
      <c r="H63" s="223" t="n"/>
    </row>
    <row r="64">
      <c r="A64" s="235" t="n"/>
      <c r="F64" s="223" t="n"/>
      <c r="G64" s="222" t="n"/>
      <c r="H64" s="223" t="n"/>
    </row>
    <row r="65">
      <c r="A65" s="235" t="n"/>
      <c r="F65" s="223" t="n"/>
      <c r="G65" s="222" t="n"/>
      <c r="H65" s="223" t="n"/>
    </row>
    <row r="66">
      <c r="A66" s="235" t="n"/>
      <c r="F66" s="223" t="n"/>
      <c r="G66" s="222" t="n"/>
      <c r="H66" s="223" t="n"/>
    </row>
    <row r="67">
      <c r="A67" s="235" t="n"/>
      <c r="F67" s="223" t="n"/>
      <c r="G67" s="222" t="n"/>
      <c r="H67" s="223" t="n"/>
    </row>
    <row r="68">
      <c r="A68" s="235" t="n"/>
      <c r="F68" s="223" t="n"/>
      <c r="G68" s="222" t="n"/>
      <c r="H68" s="223" t="n"/>
    </row>
    <row r="69">
      <c r="A69" s="235" t="n"/>
      <c r="F69" s="223" t="n"/>
      <c r="G69" s="222" t="n"/>
      <c r="H69" s="223" t="n"/>
    </row>
    <row r="70">
      <c r="A70" s="235" t="n"/>
      <c r="F70" s="223" t="n"/>
      <c r="G70" s="222" t="n"/>
      <c r="H70" s="223" t="n"/>
    </row>
    <row r="71">
      <c r="A71" s="235" t="n"/>
      <c r="F71" s="223" t="n"/>
      <c r="G71" s="222" t="n"/>
      <c r="H71" s="223" t="n"/>
    </row>
    <row r="72">
      <c r="A72" s="235" t="n"/>
      <c r="F72" s="223" t="n"/>
      <c r="G72" s="222" t="n"/>
      <c r="H72" s="223" t="n"/>
    </row>
    <row r="73">
      <c r="A73" s="235" t="n"/>
      <c r="F73" s="223" t="n"/>
      <c r="G73" s="222" t="n"/>
      <c r="H73" s="223" t="n"/>
    </row>
    <row r="74">
      <c r="A74" s="235" t="n"/>
      <c r="F74" s="223" t="n"/>
      <c r="G74" s="222" t="n"/>
      <c r="H74" s="223" t="n"/>
    </row>
    <row r="75">
      <c r="A75" s="235" t="n"/>
      <c r="F75" s="223" t="n"/>
      <c r="G75" s="222" t="n"/>
      <c r="H75" s="223" t="n"/>
    </row>
    <row r="76">
      <c r="A76" s="235" t="n"/>
      <c r="F76" s="223" t="n"/>
      <c r="G76" s="222" t="n"/>
      <c r="H76" s="223" t="n"/>
    </row>
    <row r="77">
      <c r="A77" s="235" t="n"/>
      <c r="F77" s="223" t="n"/>
      <c r="G77" s="222" t="n"/>
      <c r="H77" s="223" t="n"/>
    </row>
    <row r="78">
      <c r="A78" s="235" t="n"/>
      <c r="F78" s="223" t="n"/>
      <c r="G78" s="222" t="n"/>
      <c r="H78" s="223" t="n"/>
    </row>
    <row r="79">
      <c r="A79" s="235" t="n"/>
      <c r="F79" s="223" t="n"/>
      <c r="G79" s="222" t="n"/>
      <c r="H79" s="223" t="n"/>
    </row>
    <row r="80">
      <c r="A80" s="235" t="n"/>
      <c r="F80" s="223" t="n"/>
      <c r="G80" s="222" t="n"/>
      <c r="H80" s="223" t="n"/>
    </row>
    <row r="81">
      <c r="A81" s="235" t="n"/>
      <c r="F81" s="223" t="n"/>
      <c r="G81" s="222" t="n"/>
      <c r="H81" s="223" t="n"/>
    </row>
    <row r="82">
      <c r="A82" s="235" t="n"/>
      <c r="F82" s="223" t="n"/>
      <c r="G82" s="222" t="n"/>
      <c r="H82" s="223" t="n"/>
    </row>
    <row r="83">
      <c r="A83" s="235" t="n"/>
      <c r="F83" s="223" t="n"/>
      <c r="G83" s="222" t="n"/>
      <c r="H83" s="223" t="n"/>
    </row>
    <row r="84">
      <c r="A84" s="235" t="n"/>
      <c r="F84" s="223" t="n"/>
      <c r="G84" s="222" t="n"/>
      <c r="H84" s="223" t="n"/>
    </row>
    <row r="85">
      <c r="A85" s="235" t="n"/>
      <c r="F85" s="223" t="n"/>
      <c r="G85" s="222" t="n"/>
      <c r="H85" s="223" t="n"/>
    </row>
    <row r="86">
      <c r="A86" s="235" t="n"/>
      <c r="F86" s="223" t="n"/>
      <c r="G86" s="222" t="n"/>
      <c r="H86" s="223" t="n"/>
    </row>
    <row r="87">
      <c r="A87" s="235" t="n"/>
      <c r="F87" s="223" t="n"/>
      <c r="G87" s="222" t="n"/>
      <c r="H87" s="223" t="n"/>
    </row>
    <row r="88">
      <c r="A88" s="235" t="n"/>
      <c r="F88" s="223" t="n"/>
      <c r="G88" s="222" t="n"/>
      <c r="H88" s="223" t="n"/>
    </row>
    <row r="89">
      <c r="A89" s="235" t="n"/>
      <c r="F89" s="223" t="n"/>
      <c r="G89" s="222" t="n"/>
      <c r="H89" s="223" t="n"/>
    </row>
    <row r="90">
      <c r="A90" s="235" t="n"/>
      <c r="F90" s="223" t="n"/>
      <c r="G90" s="222" t="n"/>
      <c r="H90" s="223" t="n"/>
    </row>
    <row r="91">
      <c r="A91" s="235" t="n"/>
      <c r="F91" s="223" t="n"/>
      <c r="G91" s="222" t="n"/>
      <c r="H91" s="223" t="n"/>
    </row>
    <row r="92">
      <c r="A92" s="235" t="n"/>
      <c r="F92" s="223" t="n"/>
      <c r="G92" s="222" t="n"/>
      <c r="H92" s="223" t="n"/>
    </row>
    <row r="93">
      <c r="A93" s="235" t="n"/>
      <c r="F93" s="223" t="n"/>
      <c r="G93" s="222" t="n"/>
      <c r="H93" s="223" t="n"/>
    </row>
    <row r="94">
      <c r="A94" s="235" t="n"/>
      <c r="F94" s="223" t="n"/>
      <c r="G94" s="222" t="n"/>
      <c r="H94" s="223" t="n"/>
    </row>
    <row r="95">
      <c r="A95" s="235" t="n"/>
      <c r="F95" s="223" t="n"/>
      <c r="G95" s="222" t="n"/>
      <c r="H95" s="223" t="n"/>
    </row>
    <row r="96">
      <c r="A96" s="235" t="n"/>
      <c r="F96" s="223" t="n"/>
      <c r="G96" s="222" t="n"/>
      <c r="H96" s="223" t="n"/>
    </row>
    <row r="97">
      <c r="A97" s="235" t="n"/>
      <c r="F97" s="223" t="n"/>
      <c r="G97" s="222" t="n"/>
      <c r="H97" s="223" t="n"/>
    </row>
    <row r="98">
      <c r="A98" s="235" t="n"/>
      <c r="F98" s="223" t="n"/>
      <c r="G98" s="222" t="n"/>
      <c r="H98" s="223" t="n"/>
    </row>
    <row r="99">
      <c r="A99" s="235" t="n"/>
      <c r="F99" s="223" t="n"/>
      <c r="G99" s="222" t="n"/>
      <c r="H99" s="223" t="n"/>
    </row>
    <row r="100">
      <c r="A100" s="235" t="n"/>
      <c r="F100" s="223" t="n"/>
      <c r="G100" s="222" t="n"/>
      <c r="H100" s="223" t="n"/>
    </row>
    <row r="101">
      <c r="A101" s="235" t="n"/>
      <c r="F101" s="223" t="n"/>
      <c r="G101" s="222" t="n"/>
      <c r="H101" s="223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style="130" min="1" max="1"/>
    <col width="18" customWidth="1" style="130" min="2" max="2"/>
    <col width="14" customWidth="1" style="130" min="3" max="3"/>
    <col width="16" customWidth="1" style="130" min="4" max="4"/>
    <col width="14" customWidth="1" style="130" min="5" max="5"/>
    <col width="14" customWidth="1" style="130" min="6" max="6"/>
    <col width="18" customWidth="1" style="130" min="7" max="7"/>
    <col width="22" customWidth="1" style="130" min="8" max="8"/>
    <col width="40" customWidth="1" style="130" min="9" max="9"/>
  </cols>
  <sheetData>
    <row r="1">
      <c r="A1" s="236" t="inlineStr">
        <is>
          <t>Event Date</t>
        </is>
      </c>
      <c r="B1" s="236" t="inlineStr">
        <is>
          <t>NPO</t>
        </is>
      </c>
      <c r="C1" s="236" t="inlineStr">
        <is>
          <t>Sales Incentive</t>
        </is>
      </c>
      <c r="D1" s="236" t="inlineStr">
        <is>
          <t>Culinary - Cook Fee</t>
        </is>
      </c>
      <c r="E1" s="236" t="inlineStr">
        <is>
          <t>Minimum Donation</t>
        </is>
      </c>
      <c r="F1" s="236" t="inlineStr">
        <is>
          <t>Bonus (Other)</t>
        </is>
      </c>
      <c r="G1" s="236" t="inlineStr">
        <is>
          <t>Deductible POS Shortages</t>
        </is>
      </c>
      <c r="H1" s="236" t="inlineStr">
        <is>
          <t>Uniform / Staffing / Cleaning Fees</t>
        </is>
      </c>
      <c r="I1" s="236" t="inlineStr">
        <is>
          <t>Notes</t>
        </is>
      </c>
    </row>
    <row r="2">
      <c r="A2" s="237" t="n">
        <v>46270</v>
      </c>
      <c r="B2" t="inlineStr">
        <is>
          <t>ARVC</t>
        </is>
      </c>
      <c r="C2" s="238" t="n">
        <v>0</v>
      </c>
      <c r="D2" s="238" t="n">
        <v>0</v>
      </c>
      <c r="E2" s="238" t="n">
        <v>0</v>
      </c>
      <c r="F2" s="238" t="n">
        <v>0</v>
      </c>
      <c r="G2" s="238" t="n">
        <v>0</v>
      </c>
      <c r="H2" s="238" t="n">
        <v>0</v>
      </c>
      <c r="I2" t="inlineStr">
        <is>
          <t>Enter vendor-specific adjustments by Event + Payee. VENDOR PAYOUT reads these; it does not store them.</t>
        </is>
      </c>
    </row>
    <row r="3">
      <c r="A3" s="237" t="n">
        <v>46270</v>
      </c>
      <c r="B3" t="inlineStr">
        <is>
          <t>AIRFORCE</t>
        </is>
      </c>
      <c r="C3" s="238" t="n">
        <v>0</v>
      </c>
      <c r="D3" s="238" t="n">
        <v>0</v>
      </c>
      <c r="E3" s="238" t="n">
        <v>0</v>
      </c>
      <c r="F3" s="238" t="n">
        <v>0</v>
      </c>
      <c r="G3" s="238" t="n">
        <v>0</v>
      </c>
      <c r="H3" s="238" t="n">
        <v>0</v>
      </c>
    </row>
    <row r="4">
      <c r="A4" s="237" t="n">
        <v>46270</v>
      </c>
      <c r="B4" t="inlineStr">
        <is>
          <t>UNITED FIT</t>
        </is>
      </c>
      <c r="C4" s="238" t="n">
        <v>0</v>
      </c>
      <c r="D4" s="238" t="n">
        <v>0</v>
      </c>
      <c r="E4" s="238" t="n">
        <v>0</v>
      </c>
      <c r="F4" s="238" t="n">
        <v>0</v>
      </c>
      <c r="G4" s="238" t="n">
        <v>0</v>
      </c>
      <c r="H4" s="238" t="n">
        <v>0</v>
      </c>
    </row>
    <row r="5">
      <c r="A5" s="237" t="n">
        <v>46270</v>
      </c>
      <c r="B5" t="inlineStr">
        <is>
          <t>DCVA</t>
        </is>
      </c>
      <c r="C5" s="238" t="n">
        <v>0</v>
      </c>
      <c r="D5" s="238" t="n">
        <v>0</v>
      </c>
      <c r="E5" s="238" t="n">
        <v>0</v>
      </c>
      <c r="F5" s="238" t="n">
        <v>0</v>
      </c>
      <c r="G5" s="238" t="n">
        <v>0</v>
      </c>
      <c r="H5" s="238" t="n">
        <v>0</v>
      </c>
    </row>
    <row r="6">
      <c r="A6" s="237" t="n">
        <v>46270</v>
      </c>
      <c r="B6" t="inlineStr">
        <is>
          <t>DEL N CHEER</t>
        </is>
      </c>
      <c r="C6" s="238" t="n">
        <v>0</v>
      </c>
      <c r="D6" s="238" t="n">
        <v>0</v>
      </c>
      <c r="E6" s="238" t="n">
        <v>0</v>
      </c>
      <c r="F6" s="238" t="n">
        <v>0</v>
      </c>
      <c r="G6" s="238" t="n">
        <v>0</v>
      </c>
      <c r="H6" s="238" t="n">
        <v>0</v>
      </c>
    </row>
    <row r="7">
      <c r="A7" s="237" t="n">
        <v>46270</v>
      </c>
      <c r="B7" t="inlineStr">
        <is>
          <t>RIO GRANDE RGHS</t>
        </is>
      </c>
      <c r="C7" s="238" t="n">
        <v>0</v>
      </c>
      <c r="D7" s="238" t="n">
        <v>0</v>
      </c>
      <c r="E7" s="238" t="n">
        <v>0</v>
      </c>
      <c r="F7" s="238" t="n">
        <v>0</v>
      </c>
      <c r="G7" s="238" t="n">
        <v>0</v>
      </c>
      <c r="H7" s="238" t="n">
        <v>0</v>
      </c>
    </row>
    <row r="8">
      <c r="A8" s="237" t="n">
        <v>46270</v>
      </c>
      <c r="B8" t="inlineStr">
        <is>
          <t>VICTORY OUTREACH</t>
        </is>
      </c>
      <c r="C8" s="238" t="n">
        <v>0</v>
      </c>
      <c r="D8" s="238" t="n">
        <v>0</v>
      </c>
      <c r="E8" s="238" t="n">
        <v>0</v>
      </c>
      <c r="F8" s="238" t="n">
        <v>0</v>
      </c>
      <c r="G8" s="238" t="n">
        <v>0</v>
      </c>
      <c r="H8" s="238" t="n">
        <v>0</v>
      </c>
    </row>
  </sheetData>
  <dataValidations count="1">
    <dataValidation sqref="B2:B101" showDropDown="0" showInputMessage="0" showErrorMessage="0" allowBlank="1" type="list">
      <formula1>='SET-UP &amp; SUMMARY'!$A$12:$A$18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2026-09-18T00:51:25Z</dcterms:modified>
  <cp:lastModifiedBy>Evan E.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