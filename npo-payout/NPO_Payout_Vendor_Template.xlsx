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  <sheet name="SUPPLEMENTAL DATA" sheetId="9" state="visible" r:id="rId9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\$#,##0.00;\($#,##0.00\);\-"/>
    <numFmt numFmtId="175" formatCode="mmmm d, yyyy"/>
    <numFmt numFmtId="176" formatCode="\$#,##0.00;[Red]\($#,##0.00\);\-"/>
    <numFmt numFmtId="177" formatCode="_($* #,##0.00_);_($* (#,##0.00);_($* -??_);_(@_)"/>
  </numFmts>
  <fonts count="65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sz val="10"/>
    </font>
    <font>
      <name val="Aptos"/>
      <b val="1"/>
      <color rgb="FFFFFFFF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41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51" fillId="0" borderId="0" pivotButton="0" quotePrefix="0" xfId="0"/>
    <xf numFmtId="0" fontId="49" fillId="10" borderId="22" applyAlignment="1" pivotButton="0" quotePrefix="0" xfId="0">
      <alignment horizontal="left" vertical="center"/>
    </xf>
    <xf numFmtId="0" fontId="50" fillId="11" borderId="38" applyAlignment="1" pivotButton="0" quotePrefix="0" xfId="0">
      <alignment horizontal="center" vertical="center"/>
    </xf>
    <xf numFmtId="0" fontId="0" fillId="0" borderId="49" pivotButton="0" quotePrefix="0" xfId="0"/>
    <xf numFmtId="174" fontId="52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50" fillId="12" borderId="28" applyAlignment="1" pivotButton="0" quotePrefix="0" xfId="0">
      <alignment horizontal="left" vertical="center"/>
    </xf>
    <xf numFmtId="175" fontId="50" fillId="19" borderId="32" applyAlignment="1" pivotButton="0" quotePrefix="0" xfId="0">
      <alignment horizontal="left" vertical="center"/>
    </xf>
    <xf numFmtId="0" fontId="50" fillId="19" borderId="32" applyAlignment="1" pivotButton="0" quotePrefix="0" xfId="0">
      <alignment horizontal="left" vertical="center"/>
    </xf>
    <xf numFmtId="0" fontId="51" fillId="10" borderId="0" pivotButton="0" quotePrefix="0" xfId="0"/>
    <xf numFmtId="167" fontId="53" fillId="0" borderId="26" applyAlignment="1" pivotButton="0" quotePrefix="0" xfId="0">
      <alignment horizontal="left" vertical="center"/>
    </xf>
    <xf numFmtId="167" fontId="53" fillId="0" borderId="24" applyAlignment="1" pivotButton="0" quotePrefix="0" xfId="0">
      <alignment horizontal="left" vertical="center"/>
    </xf>
    <xf numFmtId="167" fontId="53" fillId="0" borderId="43" applyAlignment="1" pivotButton="0" quotePrefix="0" xfId="0">
      <alignment horizontal="left" vertical="center"/>
    </xf>
    <xf numFmtId="0" fontId="54" fillId="13" borderId="0" pivotButton="0" quotePrefix="0" xfId="0"/>
    <xf numFmtId="0" fontId="54" fillId="13" borderId="54" applyAlignment="1" pivotButton="0" quotePrefix="0" xfId="0">
      <alignment horizontal="center" vertical="center" wrapText="1"/>
    </xf>
    <xf numFmtId="0" fontId="54" fillId="13" borderId="54" applyAlignment="1" pivotButton="0" quotePrefix="1" xfId="0">
      <alignment horizontal="center" vertical="center" wrapText="1"/>
    </xf>
    <xf numFmtId="0" fontId="56" fillId="10" borderId="55" applyAlignment="1" pivotButton="0" quotePrefix="0" xfId="0">
      <alignment vertical="center"/>
    </xf>
    <xf numFmtId="0" fontId="57" fillId="0" borderId="54" applyAlignment="1" pivotButton="0" quotePrefix="0" xfId="0">
      <alignment vertical="center"/>
    </xf>
    <xf numFmtId="176" fontId="55" fillId="0" borderId="54" applyAlignment="1" pivotButton="0" quotePrefix="0" xfId="0">
      <alignment vertical="center"/>
    </xf>
    <xf numFmtId="176" fontId="55" fillId="12" borderId="54" applyAlignment="1" pivotButton="0" quotePrefix="0" xfId="0">
      <alignment vertical="center"/>
    </xf>
    <xf numFmtId="0" fontId="57" fillId="10" borderId="54" applyAlignment="1" pivotButton="0" quotePrefix="0" xfId="0">
      <alignment vertical="center"/>
    </xf>
    <xf numFmtId="176" fontId="55" fillId="10" borderId="54" applyAlignment="1" pivotButton="0" quotePrefix="0" xfId="0">
      <alignment vertical="center"/>
    </xf>
    <xf numFmtId="0" fontId="57" fillId="13" borderId="54" applyAlignment="1" pivotButton="0" quotePrefix="0" xfId="0">
      <alignment vertical="center"/>
    </xf>
    <xf numFmtId="176" fontId="55" fillId="13" borderId="54" applyAlignment="1" pivotButton="0" quotePrefix="0" xfId="0">
      <alignment vertical="center"/>
    </xf>
    <xf numFmtId="0" fontId="57" fillId="17" borderId="54" applyAlignment="1" pivotButton="0" quotePrefix="0" xfId="0">
      <alignment vertical="center"/>
    </xf>
    <xf numFmtId="176" fontId="55" fillId="18" borderId="54" applyAlignment="1" pivotButton="0" quotePrefix="0" xfId="0">
      <alignment vertical="center"/>
    </xf>
    <xf numFmtId="176" fontId="55" fillId="9" borderId="54" applyAlignment="1" pivotButton="0" quotePrefix="0" xfId="0">
      <alignment vertical="center"/>
    </xf>
    <xf numFmtId="0" fontId="56" fillId="0" borderId="55" applyAlignment="1" pivotButton="0" quotePrefix="0" xfId="0">
      <alignment vertical="center"/>
    </xf>
    <xf numFmtId="0" fontId="58" fillId="12" borderId="54" pivotButton="0" quotePrefix="0" xfId="0"/>
    <xf numFmtId="176" fontId="50" fillId="12" borderId="54" pivotButton="0" quotePrefix="0" xfId="0"/>
    <xf numFmtId="0" fontId="51" fillId="0" borderId="22" pivotButton="0" quotePrefix="0" xfId="0"/>
    <xf numFmtId="0" fontId="59" fillId="12" borderId="22" pivotButton="0" quotePrefix="0" xfId="0"/>
    <xf numFmtId="0" fontId="47" fillId="0" borderId="22" pivotButton="0" quotePrefix="0" xfId="0"/>
    <xf numFmtId="0" fontId="47" fillId="0" borderId="0" pivotButton="0" quotePrefix="0" xfId="0"/>
    <xf numFmtId="176" fontId="55" fillId="0" borderId="54" pivotButton="0" quotePrefix="0" xfId="0"/>
    <xf numFmtId="173" fontId="50" fillId="0" borderId="0" pivotButton="0" quotePrefix="0" xfId="0"/>
    <xf numFmtId="0" fontId="60" fillId="13" borderId="22" pivotButton="0" quotePrefix="0" xfId="0"/>
    <xf numFmtId="0" fontId="61" fillId="13" borderId="22" pivotButton="0" quotePrefix="0" xfId="0"/>
    <xf numFmtId="0" fontId="62" fillId="0" borderId="0" pivotButton="0" quotePrefix="0" xfId="0"/>
    <xf numFmtId="0" fontId="63" fillId="0" borderId="0" pivotButton="0" quotePrefix="0" xfId="0"/>
    <xf numFmtId="177" fontId="64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48" fillId="13" borderId="0" pivotButton="0" quotePrefix="0" xfId="0"/>
    <xf numFmtId="175" fontId="0" fillId="0" borderId="0" pivotButton="0" quotePrefix="0" xfId="0"/>
    <xf numFmtId="176" fontId="0" fillId="0" borderId="0" pivotButton="0" quotePrefix="0" xfId="0"/>
    <xf numFmtId="174" fontId="52" fillId="11" borderId="39" applyAlignment="1" pivotButton="0" quotePrefix="0" xfId="0">
      <alignment horizontal="center" vertical="center"/>
    </xf>
    <xf numFmtId="177" fontId="64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I61"/>
  <sheetViews>
    <sheetView showGridLines="0" tabSelected="1" zoomScaleNormal="100" workbookViewId="0">
      <selection activeCell="L20" sqref="L20"/>
    </sheetView>
  </sheetViews>
  <sheetFormatPr baseColWidth="8" defaultRowHeight="12.75"/>
  <cols>
    <col width="6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239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IFERROR(MATCH(TEXT($B$10,"yyyymmdd")&amp;"|"&amp;$E$10&amp;"|1",'EVENT ASSIGNMENT'!$K$2:$K$101,0),"")</f>
        <v/>
      </c>
      <c r="B18" s="198">
        <f>IF(IFERROR(MATCH(TEXT($B$10,"yyyymmdd")&amp;"|"&amp;$E$10&amp;"|1",'EVENT ASSIGNMENT'!$K$2:$K$101,0),"")="","",IFERROR(INDEX('EVENT ASSIGNMENT'!$D$2:$D$101,IFERROR(MATCH(TEXT($B$10,"yyyymmdd")&amp;"|"&amp;$E$10&amp;"|1",'EVENT ASSIGNMENT'!$K$2:$K$101,0),"")),""))</f>
        <v/>
      </c>
      <c r="C18" s="199">
        <f>IF(OR(IFERROR(MATCH(TEXT($B$10,"yyyymmdd")&amp;"|"&amp;$E$10&amp;"|1",'EVENT ASSIGNMENT'!$K$2:$K$101,0),"")="",B18=""),"",IFERROR(INDEX('CONTRACT CALC'!$G$13:$G$112,IFERROR(MATCH(TEXT($B$10,"yyyymmdd")&amp;"|"&amp;$E$10&amp;"|1",'EVENT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D18" s="199">
        <f>IF(OR(IFERROR(MATCH(TEXT($B$10,"yyyymmdd")&amp;"|"&amp;$E$10&amp;"|1",'EVENT ASSIGNMENT'!$K$2:$K$101,0),"")="",B18=""),"",IFERROR(INDEX('CONTRACT CALC'!$I$13:$I$112,IFERROR(MATCH(TEXT($B$10,"yyyymmdd")&amp;"|"&amp;$E$10&amp;"|1",'EVENT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E18" s="199">
        <f>IF(D18="","",D18*'CONTRACT CALC'!$B$4)</f>
        <v/>
      </c>
      <c r="F18" s="199">
        <f>IF(OR(IFERROR(MATCH(TEXT($B$10,"yyyymmdd")&amp;"|"&amp;$E$10&amp;"|1",'EVENT ASSIGNMENT'!$K$2:$K$101,0),"")="",B18=""),"",IFERROR(INDEX('CONTRACT CALC'!$H$13:$H$112,IFERROR(MATCH(TEXT($B$10,"yyyymmdd")&amp;"|"&amp;$E$10&amp;"|1",'EVENT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G18" s="199">
        <f>IF(F18="","",F18*'CONTRACT CALC'!$B$5)</f>
        <v/>
      </c>
      <c r="H18" s="199">
        <f>IF(B18="","",N(E18)+N(G18))</f>
        <v/>
      </c>
      <c r="I18" s="199">
        <f>IF(OR(IFERROR(MATCH(TEXT($B$10,"yyyymmdd")&amp;"|"&amp;$E$10&amp;"|1",'EVENT ASSIGNMENT'!$K$2:$K$101,0),"")="",B18=""),"",IF(COUNTIFS('TIPS DATA'!$A$2:$A$101,$B$10,'TIPS DATA'!$C$2:$C$101,$E$10,'TIPS DATA'!$D$2:$D$101,INDEX('EVENT ASSIGNMENT'!$C$2:$C$101,IFERROR(MATCH(TEXT($B$10,"yyyymmdd")&amp;"|"&amp;$E$10&amp;"|1",'EVENT ASSIGNMENT'!$K$2:$K$101,0),"")))&gt;0,SUMIFS('TIPS DATA'!$H$2:$H$101,'TIPS DATA'!$A$2:$A$101,$B$10,'TIPS DATA'!$C$2:$C$101,$E$10,'TIPS DATA'!$D$2:$D$101,INDEX('EVENT ASSIGNMENT'!$C$2:$C$101,IFERROR(MATCH(TEXT($B$10,"yyyymmdd")&amp;"|"&amp;$E$10&amp;"|1",'EVENT ASSIGNMENT'!$K$2:$K$101,0),""))),SUMIFS('TIPS DATA'!$H$2:$H$101,'TIPS DATA'!$A$2:$A$101,$B$10,'TIPS DATA'!$C$2:$C$101,$E$10,'TIPS DATA'!$E$2:$E$101,INDEX('EVENT ASSIGNMENT'!$D$2:$D$101,IFERROR(MATCH(TEXT($B$10,"yyyymmdd")&amp;"|"&amp;$E$10&amp;"|1",'EVENT ASSIGNMENT'!$K$2:$K$101,0),"")))))</f>
        <v/>
      </c>
    </row>
    <row r="19" ht="18.95" customHeight="1" s="130">
      <c r="A19" s="197">
        <f>IFERROR(MATCH(TEXT($B$10,"yyyymmdd")&amp;"|"&amp;$E$10&amp;"|2",'EVENT ASSIGNMENT'!$K$2:$K$101,0),"")</f>
        <v/>
      </c>
      <c r="B19" s="198">
        <f>IF(IFERROR(MATCH(TEXT($B$10,"yyyymmdd")&amp;"|"&amp;$E$10&amp;"|2",'EVENT ASSIGNMENT'!$K$2:$K$101,0),"")="","",IFERROR(INDEX('EVENT ASSIGNMENT'!$D$2:$D$101,IFERROR(MATCH(TEXT($B$10,"yyyymmdd")&amp;"|"&amp;$E$10&amp;"|2",'EVENT ASSIGNMENT'!$K$2:$K$101,0),"")),""))</f>
        <v/>
      </c>
      <c r="C19" s="199">
        <f>IF(OR(IFERROR(MATCH(TEXT($B$10,"yyyymmdd")&amp;"|"&amp;$E$10&amp;"|2",'EVENT ASSIGNMENT'!$K$2:$K$101,0),"")="",B19=""),"",IFERROR(INDEX('CONTRACT CALC'!$G$13:$G$112,IFERROR(MATCH(TEXT($B$10,"yyyymmdd")&amp;"|"&amp;$E$10&amp;"|2",'EVENT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D19" s="199">
        <f>IF(OR(IFERROR(MATCH(TEXT($B$10,"yyyymmdd")&amp;"|"&amp;$E$10&amp;"|2",'EVENT ASSIGNMENT'!$K$2:$K$101,0),"")="",B19=""),"",IFERROR(INDEX('CONTRACT CALC'!$I$13:$I$112,IFERROR(MATCH(TEXT($B$10,"yyyymmdd")&amp;"|"&amp;$E$10&amp;"|2",'EVENT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E19" s="199">
        <f>IF(D19="","",D19*'CONTRACT CALC'!$B$4)</f>
        <v/>
      </c>
      <c r="F19" s="199">
        <f>IF(OR(IFERROR(MATCH(TEXT($B$10,"yyyymmdd")&amp;"|"&amp;$E$10&amp;"|2",'EVENT ASSIGNMENT'!$K$2:$K$101,0),"")="",B19=""),"",IFERROR(INDEX('CONTRACT CALC'!$H$13:$H$112,IFERROR(MATCH(TEXT($B$10,"yyyymmdd")&amp;"|"&amp;$E$10&amp;"|2",'EVENT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G19" s="199">
        <f>IF(F19="","",F19*'CONTRACT CALC'!$B$5)</f>
        <v/>
      </c>
      <c r="H19" s="199">
        <f>IF(B19="","",N(E19)+N(G19))</f>
        <v/>
      </c>
      <c r="I19" s="199">
        <f>IF(OR(IFERROR(MATCH(TEXT($B$10,"yyyymmdd")&amp;"|"&amp;$E$10&amp;"|2",'EVENT ASSIGNMENT'!$K$2:$K$101,0),"")="",B19=""),"",IF(COUNTIFS('TIPS DATA'!$A$2:$A$101,$B$10,'TIPS DATA'!$C$2:$C$101,$E$10,'TIPS DATA'!$D$2:$D$101,INDEX('EVENT ASSIGNMENT'!$C$2:$C$101,IFERROR(MATCH(TEXT($B$10,"yyyymmdd")&amp;"|"&amp;$E$10&amp;"|2",'EVENT ASSIGNMENT'!$K$2:$K$101,0),"")))&gt;0,SUMIFS('TIPS DATA'!$H$2:$H$101,'TIPS DATA'!$A$2:$A$101,$B$10,'TIPS DATA'!$C$2:$C$101,$E$10,'TIPS DATA'!$D$2:$D$101,INDEX('EVENT ASSIGNMENT'!$C$2:$C$101,IFERROR(MATCH(TEXT($B$10,"yyyymmdd")&amp;"|"&amp;$E$10&amp;"|2",'EVENT ASSIGNMENT'!$K$2:$K$101,0),""))),SUMIFS('TIPS DATA'!$H$2:$H$101,'TIPS DATA'!$A$2:$A$101,$B$10,'TIPS DATA'!$C$2:$C$101,$E$10,'TIPS DATA'!$E$2:$E$101,INDEX('EVENT ASSIGNMENT'!$D$2:$D$101,IFERROR(MATCH(TEXT($B$10,"yyyymmdd")&amp;"|"&amp;$E$10&amp;"|2",'EVENT ASSIGNMENT'!$K$2:$K$101,0),"")))))</f>
        <v/>
      </c>
    </row>
    <row r="20" ht="18.95" customHeight="1" s="130">
      <c r="A20" s="197">
        <f>IFERROR(MATCH(TEXT($B$10,"yyyymmdd")&amp;"|"&amp;$E$10&amp;"|3",'EVENT ASSIGNMENT'!$K$2:$K$101,0),"")</f>
        <v/>
      </c>
      <c r="B20" s="198">
        <f>IF(IFERROR(MATCH(TEXT($B$10,"yyyymmdd")&amp;"|"&amp;$E$10&amp;"|3",'EVENT ASSIGNMENT'!$K$2:$K$101,0),"")="","",IFERROR(INDEX('EVENT ASSIGNMENT'!$D$2:$D$101,IFERROR(MATCH(TEXT($B$10,"yyyymmdd")&amp;"|"&amp;$E$10&amp;"|3",'EVENT ASSIGNMENT'!$K$2:$K$101,0),"")),""))</f>
        <v/>
      </c>
      <c r="C20" s="199">
        <f>IF(OR(IFERROR(MATCH(TEXT($B$10,"yyyymmdd")&amp;"|"&amp;$E$10&amp;"|3",'EVENT ASSIGNMENT'!$K$2:$K$101,0),"")="",B20=""),"",IFERROR(INDEX('CONTRACT CALC'!$G$13:$G$112,IFERROR(MATCH(TEXT($B$10,"yyyymmdd")&amp;"|"&amp;$E$10&amp;"|3",'EVENT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D20" s="199">
        <f>IF(OR(IFERROR(MATCH(TEXT($B$10,"yyyymmdd")&amp;"|"&amp;$E$10&amp;"|3",'EVENT ASSIGNMENT'!$K$2:$K$101,0),"")="",B20=""),"",IFERROR(INDEX('CONTRACT CALC'!$I$13:$I$112,IFERROR(MATCH(TEXT($B$10,"yyyymmdd")&amp;"|"&amp;$E$10&amp;"|3",'EVENT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E20" s="199">
        <f>IF(D20="","",D20*'CONTRACT CALC'!$B$4)</f>
        <v/>
      </c>
      <c r="F20" s="199">
        <f>IF(OR(IFERROR(MATCH(TEXT($B$10,"yyyymmdd")&amp;"|"&amp;$E$10&amp;"|3",'EVENT ASSIGNMENT'!$K$2:$K$101,0),"")="",B20=""),"",IFERROR(INDEX('CONTRACT CALC'!$H$13:$H$112,IFERROR(MATCH(TEXT($B$10,"yyyymmdd")&amp;"|"&amp;$E$10&amp;"|3",'EVENT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G20" s="199">
        <f>IF(F20="","",F20*'CONTRACT CALC'!$B$5)</f>
        <v/>
      </c>
      <c r="H20" s="199">
        <f>IF(B20="","",N(E20)+N(G20))</f>
        <v/>
      </c>
      <c r="I20" s="199">
        <f>IF(OR(IFERROR(MATCH(TEXT($B$10,"yyyymmdd")&amp;"|"&amp;$E$10&amp;"|3",'EVENT ASSIGNMENT'!$K$2:$K$101,0),"")="",B20=""),"",IF(COUNTIFS('TIPS DATA'!$A$2:$A$101,$B$10,'TIPS DATA'!$C$2:$C$101,$E$10,'TIPS DATA'!$D$2:$D$101,INDEX('EVENT ASSIGNMENT'!$C$2:$C$101,IFERROR(MATCH(TEXT($B$10,"yyyymmdd")&amp;"|"&amp;$E$10&amp;"|3",'EVENT ASSIGNMENT'!$K$2:$K$101,0),"")))&gt;0,SUMIFS('TIPS DATA'!$H$2:$H$101,'TIPS DATA'!$A$2:$A$101,$B$10,'TIPS DATA'!$C$2:$C$101,$E$10,'TIPS DATA'!$D$2:$D$101,INDEX('EVENT ASSIGNMENT'!$C$2:$C$101,IFERROR(MATCH(TEXT($B$10,"yyyymmdd")&amp;"|"&amp;$E$10&amp;"|3",'EVENT ASSIGNMENT'!$K$2:$K$101,0),""))),SUMIFS('TIPS DATA'!$H$2:$H$101,'TIPS DATA'!$A$2:$A$101,$B$10,'TIPS DATA'!$C$2:$C$101,$E$10,'TIPS DATA'!$E$2:$E$101,INDEX('EVENT ASSIGNMENT'!$D$2:$D$101,IFERROR(MATCH(TEXT($B$10,"yyyymmdd")&amp;"|"&amp;$E$10&amp;"|3",'EVENT ASSIGNMENT'!$K$2:$K$101,0),"")))))</f>
        <v/>
      </c>
    </row>
    <row r="21" ht="18.95" customHeight="1" s="130">
      <c r="A21" s="197">
        <f>IFERROR(MATCH(TEXT($B$10,"yyyymmdd")&amp;"|"&amp;$E$10&amp;"|4",'EVENT ASSIGNMENT'!$K$2:$K$101,0),"")</f>
        <v/>
      </c>
      <c r="B21" s="198">
        <f>IF(IFERROR(MATCH(TEXT($B$10,"yyyymmdd")&amp;"|"&amp;$E$10&amp;"|4",'EVENT ASSIGNMENT'!$K$2:$K$101,0),"")="","",IFERROR(INDEX('EVENT ASSIGNMENT'!$D$2:$D$101,IFERROR(MATCH(TEXT($B$10,"yyyymmdd")&amp;"|"&amp;$E$10&amp;"|4",'EVENT ASSIGNMENT'!$K$2:$K$101,0),"")),""))</f>
        <v/>
      </c>
      <c r="C21" s="199">
        <f>IF(OR(IFERROR(MATCH(TEXT($B$10,"yyyymmdd")&amp;"|"&amp;$E$10&amp;"|4",'EVENT ASSIGNMENT'!$K$2:$K$101,0),"")="",B21=""),"",IFERROR(INDEX('CONTRACT CALC'!$G$13:$G$112,IFERROR(MATCH(TEXT($B$10,"yyyymmdd")&amp;"|"&amp;$E$10&amp;"|4",'EVENT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D21" s="199">
        <f>IF(OR(IFERROR(MATCH(TEXT($B$10,"yyyymmdd")&amp;"|"&amp;$E$10&amp;"|4",'EVENT ASSIGNMENT'!$K$2:$K$101,0),"")="",B21=""),"",IFERROR(INDEX('CONTRACT CALC'!$I$13:$I$112,IFERROR(MATCH(TEXT($B$10,"yyyymmdd")&amp;"|"&amp;$E$10&amp;"|4",'EVENT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E21" s="199">
        <f>IF(D21="","",D21*'CONTRACT CALC'!$B$4)</f>
        <v/>
      </c>
      <c r="F21" s="199">
        <f>IF(OR(IFERROR(MATCH(TEXT($B$10,"yyyymmdd")&amp;"|"&amp;$E$10&amp;"|4",'EVENT ASSIGNMENT'!$K$2:$K$101,0),"")="",B21=""),"",IFERROR(INDEX('CONTRACT CALC'!$H$13:$H$112,IFERROR(MATCH(TEXT($B$10,"yyyymmdd")&amp;"|"&amp;$E$10&amp;"|4",'EVENT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G21" s="199">
        <f>IF(F21="","",F21*'CONTRACT CALC'!$B$5)</f>
        <v/>
      </c>
      <c r="H21" s="199">
        <f>IF(B21="","",N(E21)+N(G21))</f>
        <v/>
      </c>
      <c r="I21" s="199">
        <f>IF(OR(IFERROR(MATCH(TEXT($B$10,"yyyymmdd")&amp;"|"&amp;$E$10&amp;"|4",'EVENT ASSIGNMENT'!$K$2:$K$101,0),"")="",B21=""),"",IF(COUNTIFS('TIPS DATA'!$A$2:$A$101,$B$10,'TIPS DATA'!$C$2:$C$101,$E$10,'TIPS DATA'!$D$2:$D$101,INDEX('EVENT ASSIGNMENT'!$C$2:$C$101,IFERROR(MATCH(TEXT($B$10,"yyyymmdd")&amp;"|"&amp;$E$10&amp;"|4",'EVENT ASSIGNMENT'!$K$2:$K$101,0),"")))&gt;0,SUMIFS('TIPS DATA'!$H$2:$H$101,'TIPS DATA'!$A$2:$A$101,$B$10,'TIPS DATA'!$C$2:$C$101,$E$10,'TIPS DATA'!$D$2:$D$101,INDEX('EVENT ASSIGNMENT'!$C$2:$C$101,IFERROR(MATCH(TEXT($B$10,"yyyymmdd")&amp;"|"&amp;$E$10&amp;"|4",'EVENT ASSIGNMENT'!$K$2:$K$101,0),""))),SUMIFS('TIPS DATA'!$H$2:$H$101,'TIPS DATA'!$A$2:$A$101,$B$10,'TIPS DATA'!$C$2:$C$101,$E$10,'TIPS DATA'!$E$2:$E$101,INDEX('EVENT ASSIGNMENT'!$D$2:$D$101,IFERROR(MATCH(TEXT($B$10,"yyyymmdd")&amp;"|"&amp;$E$10&amp;"|4",'EVENT ASSIGNMENT'!$K$2:$K$101,0),"")))))</f>
        <v/>
      </c>
    </row>
    <row r="22" ht="18.95" customHeight="1" s="130">
      <c r="A22" s="197">
        <f>IFERROR(MATCH(TEXT($B$10,"yyyymmdd")&amp;"|"&amp;$E$10&amp;"|5",'EVENT ASSIGNMENT'!$K$2:$K$101,0),"")</f>
        <v/>
      </c>
      <c r="B22" s="198">
        <f>IF(IFERROR(MATCH(TEXT($B$10,"yyyymmdd")&amp;"|"&amp;$E$10&amp;"|5",'EVENT ASSIGNMENT'!$K$2:$K$101,0),"")="","",IFERROR(INDEX('EVENT ASSIGNMENT'!$D$2:$D$101,IFERROR(MATCH(TEXT($B$10,"yyyymmdd")&amp;"|"&amp;$E$10&amp;"|5",'EVENT ASSIGNMENT'!$K$2:$K$101,0),"")),""))</f>
        <v/>
      </c>
      <c r="C22" s="199">
        <f>IF(OR(IFERROR(MATCH(TEXT($B$10,"yyyymmdd")&amp;"|"&amp;$E$10&amp;"|5",'EVENT ASSIGNMENT'!$K$2:$K$101,0),"")="",B22=""),"",IFERROR(INDEX('CONTRACT CALC'!$G$13:$G$112,IFERROR(MATCH(TEXT($B$10,"yyyymmdd")&amp;"|"&amp;$E$10&amp;"|5",'EVENT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D22" s="199">
        <f>IF(OR(IFERROR(MATCH(TEXT($B$10,"yyyymmdd")&amp;"|"&amp;$E$10&amp;"|5",'EVENT ASSIGNMENT'!$K$2:$K$101,0),"")="",B22=""),"",IFERROR(INDEX('CONTRACT CALC'!$I$13:$I$112,IFERROR(MATCH(TEXT($B$10,"yyyymmdd")&amp;"|"&amp;$E$10&amp;"|5",'EVENT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E22" s="199">
        <f>IF(D22="","",D22*'CONTRACT CALC'!$B$4)</f>
        <v/>
      </c>
      <c r="F22" s="199">
        <f>IF(OR(IFERROR(MATCH(TEXT($B$10,"yyyymmdd")&amp;"|"&amp;$E$10&amp;"|5",'EVENT ASSIGNMENT'!$K$2:$K$101,0),"")="",B22=""),"",IFERROR(INDEX('CONTRACT CALC'!$H$13:$H$112,IFERROR(MATCH(TEXT($B$10,"yyyymmdd")&amp;"|"&amp;$E$10&amp;"|5",'EVENT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G22" s="199">
        <f>IF(F22="","",F22*'CONTRACT CALC'!$B$5)</f>
        <v/>
      </c>
      <c r="H22" s="199">
        <f>IF(B22="","",N(E22)+N(G22))</f>
        <v/>
      </c>
      <c r="I22" s="199">
        <f>IF(OR(IFERROR(MATCH(TEXT($B$10,"yyyymmdd")&amp;"|"&amp;$E$10&amp;"|5",'EVENT ASSIGNMENT'!$K$2:$K$101,0),"")="",B22=""),"",IF(COUNTIFS('TIPS DATA'!$A$2:$A$101,$B$10,'TIPS DATA'!$C$2:$C$101,$E$10,'TIPS DATA'!$D$2:$D$101,INDEX('EVENT ASSIGNMENT'!$C$2:$C$101,IFERROR(MATCH(TEXT($B$10,"yyyymmdd")&amp;"|"&amp;$E$10&amp;"|5",'EVENT ASSIGNMENT'!$K$2:$K$101,0),"")))&gt;0,SUMIFS('TIPS DATA'!$H$2:$H$101,'TIPS DATA'!$A$2:$A$101,$B$10,'TIPS DATA'!$C$2:$C$101,$E$10,'TIPS DATA'!$D$2:$D$101,INDEX('EVENT ASSIGNMENT'!$C$2:$C$101,IFERROR(MATCH(TEXT($B$10,"yyyymmdd")&amp;"|"&amp;$E$10&amp;"|5",'EVENT ASSIGNMENT'!$K$2:$K$101,0),""))),SUMIFS('TIPS DATA'!$H$2:$H$101,'TIPS DATA'!$A$2:$A$101,$B$10,'TIPS DATA'!$C$2:$C$101,$E$10,'TIPS DATA'!$E$2:$E$101,INDEX('EVENT ASSIGNMENT'!$D$2:$D$101,IFERROR(MATCH(TEXT($B$10,"yyyymmdd")&amp;"|"&amp;$E$10&amp;"|5",'EVENT ASSIGNMENT'!$K$2:$K$101,0),"")))))</f>
        <v/>
      </c>
    </row>
    <row r="23" ht="20.1" customHeight="1" s="130">
      <c r="A23" s="197">
        <f>IFERROR(MATCH(TEXT($B$10,"yyyymmdd")&amp;"|"&amp;$E$10&amp;"|6",'EVENT ASSIGNMENT'!$K$2:$K$101,0),"")</f>
        <v/>
      </c>
      <c r="B23" s="198">
        <f>IF(IFERROR(MATCH(TEXT($B$10,"yyyymmdd")&amp;"|"&amp;$E$10&amp;"|6",'EVENT ASSIGNMENT'!$K$2:$K$101,0),"")="","",IFERROR(INDEX('EVENT ASSIGNMENT'!$D$2:$D$101,IFERROR(MATCH(TEXT($B$10,"yyyymmdd")&amp;"|"&amp;$E$10&amp;"|6",'EVENT ASSIGNMENT'!$K$2:$K$101,0),"")),""))</f>
        <v/>
      </c>
      <c r="C23" s="199">
        <f>IF(OR(IFERROR(MATCH(TEXT($B$10,"yyyymmdd")&amp;"|"&amp;$E$10&amp;"|6",'EVENT ASSIGNMENT'!$K$2:$K$101,0),"")="",B23=""),"",IFERROR(INDEX('CONTRACT CALC'!$G$13:$G$112,IFERROR(MATCH(TEXT($B$10,"yyyymmdd")&amp;"|"&amp;$E$10&amp;"|6",'EVENT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D23" s="199">
        <f>IF(OR(IFERROR(MATCH(TEXT($B$10,"yyyymmdd")&amp;"|"&amp;$E$10&amp;"|6",'EVENT ASSIGNMENT'!$K$2:$K$101,0),"")="",B23=""),"",IFERROR(INDEX('CONTRACT CALC'!$I$13:$I$112,IFERROR(MATCH(TEXT($B$10,"yyyymmdd")&amp;"|"&amp;$E$10&amp;"|6",'EVENT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E23" s="199">
        <f>IF(D23="","",D23*'CONTRACT CALC'!$B$4)</f>
        <v/>
      </c>
      <c r="F23" s="199">
        <f>IF(OR(IFERROR(MATCH(TEXT($B$10,"yyyymmdd")&amp;"|"&amp;$E$10&amp;"|6",'EVENT ASSIGNMENT'!$K$2:$K$101,0),"")="",B23=""),"",IFERROR(INDEX('CONTRACT CALC'!$H$13:$H$112,IFERROR(MATCH(TEXT($B$10,"yyyymmdd")&amp;"|"&amp;$E$10&amp;"|6",'EVENT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G23" s="199">
        <f>IF(F23="","",F23*'CONTRACT CALC'!$B$5)</f>
        <v/>
      </c>
      <c r="H23" s="199">
        <f>IF(B23="","",N(E23)+N(G23))</f>
        <v/>
      </c>
      <c r="I23" s="199">
        <f>IF(OR(IFERROR(MATCH(TEXT($B$10,"yyyymmdd")&amp;"|"&amp;$E$10&amp;"|6",'EVENT ASSIGNMENT'!$K$2:$K$101,0),"")="",B23=""),"",IF(COUNTIFS('TIPS DATA'!$A$2:$A$101,$B$10,'TIPS DATA'!$C$2:$C$101,$E$10,'TIPS DATA'!$D$2:$D$101,INDEX('EVENT ASSIGNMENT'!$C$2:$C$101,IFERROR(MATCH(TEXT($B$10,"yyyymmdd")&amp;"|"&amp;$E$10&amp;"|6",'EVENT ASSIGNMENT'!$K$2:$K$101,0),"")))&gt;0,SUMIFS('TIPS DATA'!$H$2:$H$101,'TIPS DATA'!$A$2:$A$101,$B$10,'TIPS DATA'!$C$2:$C$101,$E$10,'TIPS DATA'!$D$2:$D$101,INDEX('EVENT ASSIGNMENT'!$C$2:$C$101,IFERROR(MATCH(TEXT($B$10,"yyyymmdd")&amp;"|"&amp;$E$10&amp;"|6",'EVENT ASSIGNMENT'!$K$2:$K$101,0),""))),SUMIFS('TIPS DATA'!$H$2:$H$101,'TIPS DATA'!$A$2:$A$101,$B$10,'TIPS DATA'!$C$2:$C$101,$E$10,'TIPS DATA'!$E$2:$E$101,INDEX('EVENT ASSIGNMENT'!$D$2:$D$101,IFERROR(MATCH(TEXT($B$10,"yyyymmdd")&amp;"|"&amp;$E$10&amp;"|6",'EVENT ASSIGNMENT'!$K$2:$K$101,0),"")))))</f>
        <v/>
      </c>
    </row>
    <row r="24" ht="17.1" customHeight="1" s="130">
      <c r="A24" s="197">
        <f>IFERROR(MATCH(TEXT($B$10,"yyyymmdd")&amp;"|"&amp;$E$10&amp;"|7",'EVENT ASSIGNMENT'!$K$2:$K$101,0),"")</f>
        <v/>
      </c>
      <c r="B24" s="198">
        <f>IF(IFERROR(MATCH(TEXT($B$10,"yyyymmdd")&amp;"|"&amp;$E$10&amp;"|7",'EVENT ASSIGNMENT'!$K$2:$K$101,0),"")="","",IFERROR(INDEX('EVENT ASSIGNMENT'!$D$2:$D$101,IFERROR(MATCH(TEXT($B$10,"yyyymmdd")&amp;"|"&amp;$E$10&amp;"|7",'EVENT ASSIGNMENT'!$K$2:$K$101,0),"")),""))</f>
        <v/>
      </c>
      <c r="C24" s="199">
        <f>IF(OR(IFERROR(MATCH(TEXT($B$10,"yyyymmdd")&amp;"|"&amp;$E$10&amp;"|7",'EVENT ASSIGNMENT'!$K$2:$K$101,0),"")="",B24=""),"",IFERROR(INDEX('CONTRACT CALC'!$G$13:$G$112,IFERROR(MATCH(TEXT($B$10,"yyyymmdd")&amp;"|"&amp;$E$10&amp;"|7",'EVENT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D24" s="199">
        <f>IF(OR(IFERROR(MATCH(TEXT($B$10,"yyyymmdd")&amp;"|"&amp;$E$10&amp;"|7",'EVENT ASSIGNMENT'!$K$2:$K$101,0),"")="",B24=""),"",IFERROR(INDEX('CONTRACT CALC'!$I$13:$I$112,IFERROR(MATCH(TEXT($B$10,"yyyymmdd")&amp;"|"&amp;$E$10&amp;"|7",'EVENT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E24" s="199">
        <f>IF(D24="","",D24*'CONTRACT CALC'!$B$4)</f>
        <v/>
      </c>
      <c r="F24" s="199">
        <f>IF(OR(IFERROR(MATCH(TEXT($B$10,"yyyymmdd")&amp;"|"&amp;$E$10&amp;"|7",'EVENT ASSIGNMENT'!$K$2:$K$101,0),"")="",B24=""),"",IFERROR(INDEX('CONTRACT CALC'!$H$13:$H$112,IFERROR(MATCH(TEXT($B$10,"yyyymmdd")&amp;"|"&amp;$E$10&amp;"|7",'EVENT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G24" s="199">
        <f>IF(F24="","",F24*'CONTRACT CALC'!$B$5)</f>
        <v/>
      </c>
      <c r="H24" s="199">
        <f>IF(B24="","",N(E24)+N(G24))</f>
        <v/>
      </c>
      <c r="I24" s="199">
        <f>IF(OR(IFERROR(MATCH(TEXT($B$10,"yyyymmdd")&amp;"|"&amp;$E$10&amp;"|7",'EVENT ASSIGNMENT'!$K$2:$K$101,0),"")="",B24=""),"",IF(COUNTIFS('TIPS DATA'!$A$2:$A$101,$B$10,'TIPS DATA'!$C$2:$C$101,$E$10,'TIPS DATA'!$D$2:$D$101,INDEX('EVENT ASSIGNMENT'!$C$2:$C$101,IFERROR(MATCH(TEXT($B$10,"yyyymmdd")&amp;"|"&amp;$E$10&amp;"|7",'EVENT ASSIGNMENT'!$K$2:$K$101,0),"")))&gt;0,SUMIFS('TIPS DATA'!$H$2:$H$101,'TIPS DATA'!$A$2:$A$101,$B$10,'TIPS DATA'!$C$2:$C$101,$E$10,'TIPS DATA'!$D$2:$D$101,INDEX('EVENT ASSIGNMENT'!$C$2:$C$101,IFERROR(MATCH(TEXT($B$10,"yyyymmdd")&amp;"|"&amp;$E$10&amp;"|7",'EVENT ASSIGNMENT'!$K$2:$K$101,0),""))),SUMIFS('TIPS DATA'!$H$2:$H$101,'TIPS DATA'!$A$2:$A$101,$B$10,'TIPS DATA'!$C$2:$C$101,$E$10,'TIPS DATA'!$E$2:$E$101,INDEX('EVENT ASSIGNMENT'!$D$2:$D$101,IFERROR(MATCH(TEXT($B$10,"yyyymmdd")&amp;"|"&amp;$E$10&amp;"|7",'EVENT ASSIGNMENT'!$K$2:$K$101,0),"")))))</f>
        <v/>
      </c>
    </row>
    <row r="25" ht="20.1" customHeight="1" s="130">
      <c r="A25" s="197">
        <f>IFERROR(MATCH(TEXT($B$10,"yyyymmdd")&amp;"|"&amp;$E$10&amp;"|8",'EVENT ASSIGNMENT'!$K$2:$K$101,0),"")</f>
        <v/>
      </c>
      <c r="B25" s="198">
        <f>IF(IFERROR(MATCH(TEXT($B$10,"yyyymmdd")&amp;"|"&amp;$E$10&amp;"|8",'EVENT ASSIGNMENT'!$K$2:$K$101,0),"")="","",IFERROR(INDEX('EVENT ASSIGNMENT'!$D$2:$D$101,IFERROR(MATCH(TEXT($B$10,"yyyymmdd")&amp;"|"&amp;$E$10&amp;"|8",'EVENT ASSIGNMENT'!$K$2:$K$101,0),"")),""))</f>
        <v/>
      </c>
      <c r="C25" s="199">
        <f>IF(OR(IFERROR(MATCH(TEXT($B$10,"yyyymmdd")&amp;"|"&amp;$E$10&amp;"|8",'EVENT ASSIGNMENT'!$K$2:$K$101,0),"")="",B25=""),"",IFERROR(INDEX('CONTRACT CALC'!$G$13:$G$112,IFERROR(MATCH(TEXT($B$10,"yyyymmdd")&amp;"|"&amp;$E$10&amp;"|8",'EVENT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D25" s="199">
        <f>IF(OR(IFERROR(MATCH(TEXT($B$10,"yyyymmdd")&amp;"|"&amp;$E$10&amp;"|8",'EVENT ASSIGNMENT'!$K$2:$K$101,0),"")="",B25=""),"",IFERROR(INDEX('CONTRACT CALC'!$I$13:$I$112,IFERROR(MATCH(TEXT($B$10,"yyyymmdd")&amp;"|"&amp;$E$10&amp;"|8",'EVENT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E25" s="199">
        <f>IF(D25="","",D25*'CONTRACT CALC'!$B$4)</f>
        <v/>
      </c>
      <c r="F25" s="199">
        <f>IF(OR(IFERROR(MATCH(TEXT($B$10,"yyyymmdd")&amp;"|"&amp;$E$10&amp;"|8",'EVENT ASSIGNMENT'!$K$2:$K$101,0),"")="",B25=""),"",IFERROR(INDEX('CONTRACT CALC'!$H$13:$H$112,IFERROR(MATCH(TEXT($B$10,"yyyymmdd")&amp;"|"&amp;$E$10&amp;"|8",'EVENT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G25" s="200">
        <f>IF(F25="","",F25*'CONTRACT CALC'!$B$5)</f>
        <v/>
      </c>
      <c r="H25" s="199">
        <f>IF(B25="","",N(E25)+N(G25))</f>
        <v/>
      </c>
      <c r="I25" s="199">
        <f>IF(OR(IFERROR(MATCH(TEXT($B$10,"yyyymmdd")&amp;"|"&amp;$E$10&amp;"|8",'EVENT ASSIGNMENT'!$K$2:$K$101,0),"")="",B25=""),"",IF(COUNTIFS('TIPS DATA'!$A$2:$A$101,$B$10,'TIPS DATA'!$C$2:$C$101,$E$10,'TIPS DATA'!$D$2:$D$101,INDEX('EVENT ASSIGNMENT'!$C$2:$C$101,IFERROR(MATCH(TEXT($B$10,"yyyymmdd")&amp;"|"&amp;$E$10&amp;"|8",'EVENT ASSIGNMENT'!$K$2:$K$101,0),"")))&gt;0,SUMIFS('TIPS DATA'!$H$2:$H$101,'TIPS DATA'!$A$2:$A$101,$B$10,'TIPS DATA'!$C$2:$C$101,$E$10,'TIPS DATA'!$D$2:$D$101,INDEX('EVENT ASSIGNMENT'!$C$2:$C$101,IFERROR(MATCH(TEXT($B$10,"yyyymmdd")&amp;"|"&amp;$E$10&amp;"|8",'EVENT ASSIGNMENT'!$K$2:$K$101,0),""))),SUMIFS('TIPS DATA'!$H$2:$H$101,'TIPS DATA'!$A$2:$A$101,$B$10,'TIPS DATA'!$C$2:$C$101,$E$10,'TIPS DATA'!$E$2:$E$101,INDEX('EVENT ASSIGNMENT'!$D$2:$D$101,IFERROR(MATCH(TEXT($B$10,"yyyymmdd")&amp;"|"&amp;$E$10&amp;"|8",'EVENT ASSIGNMENT'!$K$2:$K$101,0),"")))))</f>
        <v/>
      </c>
    </row>
    <row r="26" ht="18" customHeight="1" s="130">
      <c r="A26" s="197">
        <f>IFERROR(MATCH(TEXT($B$10,"yyyymmdd")&amp;"|"&amp;$E$10&amp;"|9",'EVENT ASSIGNMENT'!$K$2:$K$101,0),"")</f>
        <v/>
      </c>
      <c r="B26" s="198">
        <f>IF(IFERROR(MATCH(TEXT($B$10,"yyyymmdd")&amp;"|"&amp;$E$10&amp;"|9",'EVENT ASSIGNMENT'!$K$2:$K$101,0),"")="","",IFERROR(INDEX('EVENT ASSIGNMENT'!$D$2:$D$101,IFERROR(MATCH(TEXT($B$10,"yyyymmdd")&amp;"|"&amp;$E$10&amp;"|9",'EVENT ASSIGNMENT'!$K$2:$K$101,0),"")),""))</f>
        <v/>
      </c>
      <c r="C26" s="199">
        <f>IF(OR(IFERROR(MATCH(TEXT($B$10,"yyyymmdd")&amp;"|"&amp;$E$10&amp;"|9",'EVENT ASSIGNMENT'!$K$2:$K$101,0),"")="",B26=""),"",IFERROR(INDEX('CONTRACT CALC'!$G$13:$G$112,IFERROR(MATCH(TEXT($B$10,"yyyymmdd")&amp;"|"&amp;$E$10&amp;"|9",'EVENT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D26" s="199">
        <f>IF(OR(IFERROR(MATCH(TEXT($B$10,"yyyymmdd")&amp;"|"&amp;$E$10&amp;"|9",'EVENT ASSIGNMENT'!$K$2:$K$101,0),"")="",B26=""),"",IFERROR(INDEX('CONTRACT CALC'!$I$13:$I$112,IFERROR(MATCH(TEXT($B$10,"yyyymmdd")&amp;"|"&amp;$E$10&amp;"|9",'EVENT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E26" s="199">
        <f>IF(D26="","",D26*'CONTRACT CALC'!$B$4)</f>
        <v/>
      </c>
      <c r="F26" s="199">
        <f>IF(OR(IFERROR(MATCH(TEXT($B$10,"yyyymmdd")&amp;"|"&amp;$E$10&amp;"|9",'EVENT ASSIGNMENT'!$K$2:$K$101,0),"")="",B26=""),"",IFERROR(INDEX('CONTRACT CALC'!$H$13:$H$112,IFERROR(MATCH(TEXT($B$10,"yyyymmdd")&amp;"|"&amp;$E$10&amp;"|9",'EVENT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G26" s="199">
        <f>IF(F26="","",F26*'CONTRACT CALC'!$B$5)</f>
        <v/>
      </c>
      <c r="H26" s="199">
        <f>IF(B26="","",N(E26)+N(G26))</f>
        <v/>
      </c>
      <c r="I26" s="199">
        <f>IF(OR(IFERROR(MATCH(TEXT($B$10,"yyyymmdd")&amp;"|"&amp;$E$10&amp;"|9",'EVENT ASSIGNMENT'!$K$2:$K$101,0),"")="",B26=""),"",IF(COUNTIFS('TIPS DATA'!$A$2:$A$101,$B$10,'TIPS DATA'!$C$2:$C$101,$E$10,'TIPS DATA'!$D$2:$D$101,INDEX('EVENT ASSIGNMENT'!$C$2:$C$101,IFERROR(MATCH(TEXT($B$10,"yyyymmdd")&amp;"|"&amp;$E$10&amp;"|9",'EVENT ASSIGNMENT'!$K$2:$K$101,0),"")))&gt;0,SUMIFS('TIPS DATA'!$H$2:$H$101,'TIPS DATA'!$A$2:$A$101,$B$10,'TIPS DATA'!$C$2:$C$101,$E$10,'TIPS DATA'!$D$2:$D$101,INDEX('EVENT ASSIGNMENT'!$C$2:$C$101,IFERROR(MATCH(TEXT($B$10,"yyyymmdd")&amp;"|"&amp;$E$10&amp;"|9",'EVENT ASSIGNMENT'!$K$2:$K$101,0),""))),SUMIFS('TIPS DATA'!$H$2:$H$101,'TIPS DATA'!$A$2:$A$101,$B$10,'TIPS DATA'!$C$2:$C$101,$E$10,'TIPS DATA'!$E$2:$E$101,INDEX('EVENT ASSIGNMENT'!$D$2:$D$101,IFERROR(MATCH(TEXT($B$10,"yyyymmdd")&amp;"|"&amp;$E$10&amp;"|9",'EVENT ASSIGNMENT'!$K$2:$K$101,0),"")))))</f>
        <v/>
      </c>
    </row>
    <row r="27" ht="18" customHeight="1" s="130">
      <c r="A27" s="197">
        <f>IFERROR(MATCH(TEXT($B$10,"yyyymmdd")&amp;"|"&amp;$E$10&amp;"|10",'EVENT ASSIGNMENT'!$K$2:$K$101,0),"")</f>
        <v/>
      </c>
      <c r="B27" s="198">
        <f>IF(IFERROR(MATCH(TEXT($B$10,"yyyymmdd")&amp;"|"&amp;$E$10&amp;"|10",'EVENT ASSIGNMENT'!$K$2:$K$101,0),"")="","",IFERROR(INDEX('EVENT ASSIGNMENT'!$D$2:$D$101,IFERROR(MATCH(TEXT($B$10,"yyyymmdd")&amp;"|"&amp;$E$10&amp;"|10",'EVENT ASSIGNMENT'!$K$2:$K$101,0),"")),""))</f>
        <v/>
      </c>
      <c r="C27" s="199">
        <f>IF(OR(IFERROR(MATCH(TEXT($B$10,"yyyymmdd")&amp;"|"&amp;$E$10&amp;"|10",'EVENT ASSIGNMENT'!$K$2:$K$101,0),"")="",B27=""),"",IFERROR(INDEX('CONTRACT CALC'!$G$13:$G$112,IFERROR(MATCH(TEXT($B$10,"yyyymmdd")&amp;"|"&amp;$E$10&amp;"|10",'EVENT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D27" s="199">
        <f>IF(OR(IFERROR(MATCH(TEXT($B$10,"yyyymmdd")&amp;"|"&amp;$E$10&amp;"|10",'EVENT ASSIGNMENT'!$K$2:$K$101,0),"")="",B27=""),"",IFERROR(INDEX('CONTRACT CALC'!$I$13:$I$112,IFERROR(MATCH(TEXT($B$10,"yyyymmdd")&amp;"|"&amp;$E$10&amp;"|10",'EVENT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E27" s="199">
        <f>IF(D27="","",D27*'CONTRACT CALC'!$B$4)</f>
        <v/>
      </c>
      <c r="F27" s="199">
        <f>IF(OR(IFERROR(MATCH(TEXT($B$10,"yyyymmdd")&amp;"|"&amp;$E$10&amp;"|10",'EVENT ASSIGNMENT'!$K$2:$K$101,0),"")="",B27=""),"",IFERROR(INDEX('CONTRACT CALC'!$H$13:$H$112,IFERROR(MATCH(TEXT($B$10,"yyyymmdd")&amp;"|"&amp;$E$10&amp;"|10",'EVENT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G27" s="199">
        <f>IF(F27="","",F27*'CONTRACT CALC'!$B$5)</f>
        <v/>
      </c>
      <c r="H27" s="199">
        <f>IF(B27="","",N(E27)+N(G27))</f>
        <v/>
      </c>
      <c r="I27" s="199">
        <f>IF(OR(IFERROR(MATCH(TEXT($B$10,"yyyymmdd")&amp;"|"&amp;$E$10&amp;"|10",'EVENT ASSIGNMENT'!$K$2:$K$101,0),"")="",B27=""),"",IF(COUNTIFS('TIPS DATA'!$A$2:$A$101,$B$10,'TIPS DATA'!$C$2:$C$101,$E$10,'TIPS DATA'!$D$2:$D$101,INDEX('EVENT ASSIGNMENT'!$C$2:$C$101,IFERROR(MATCH(TEXT($B$10,"yyyymmdd")&amp;"|"&amp;$E$10&amp;"|10",'EVENT ASSIGNMENT'!$K$2:$K$101,0),"")))&gt;0,SUMIFS('TIPS DATA'!$H$2:$H$101,'TIPS DATA'!$A$2:$A$101,$B$10,'TIPS DATA'!$C$2:$C$101,$E$10,'TIPS DATA'!$D$2:$D$101,INDEX('EVENT ASSIGNMENT'!$C$2:$C$101,IFERROR(MATCH(TEXT($B$10,"yyyymmdd")&amp;"|"&amp;$E$10&amp;"|10",'EVENT ASSIGNMENT'!$K$2:$K$101,0),""))),SUMIFS('TIPS DATA'!$H$2:$H$101,'TIPS DATA'!$A$2:$A$101,$B$10,'TIPS DATA'!$C$2:$C$101,$E$10,'TIPS DATA'!$E$2:$E$101,INDEX('EVENT ASSIGNMENT'!$D$2:$D$101,IFERROR(MATCH(TEXT($B$10,"yyyymmdd")&amp;"|"&amp;$E$10&amp;"|10",'EVENT ASSIGNMENT'!$K$2:$K$101,0),"")))))</f>
        <v/>
      </c>
    </row>
    <row r="28" ht="18" customHeight="1" s="130">
      <c r="A28" s="197">
        <f>IFERROR(MATCH(TEXT($B$10,"yyyymmdd")&amp;"|"&amp;$E$10&amp;"|11",'EVENT ASSIGNMENT'!$K$2:$K$101,0),"")</f>
        <v/>
      </c>
      <c r="B28" s="198">
        <f>IF(IFERROR(MATCH(TEXT($B$10,"yyyymmdd")&amp;"|"&amp;$E$10&amp;"|11",'EVENT ASSIGNMENT'!$K$2:$K$101,0),"")="","",IFERROR(INDEX('EVENT ASSIGNMENT'!$D$2:$D$101,IFERROR(MATCH(TEXT($B$10,"yyyymmdd")&amp;"|"&amp;$E$10&amp;"|11",'EVENT ASSIGNMENT'!$K$2:$K$101,0),"")),""))</f>
        <v/>
      </c>
      <c r="C28" s="199">
        <f>IF(OR(IFERROR(MATCH(TEXT($B$10,"yyyymmdd")&amp;"|"&amp;$E$10&amp;"|11",'EVENT ASSIGNMENT'!$K$2:$K$101,0),"")="",B28=""),"",IFERROR(INDEX('CONTRACT CALC'!$G$13:$G$112,IFERROR(MATCH(TEXT($B$10,"yyyymmdd")&amp;"|"&amp;$E$10&amp;"|11",'EVENT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D28" s="199">
        <f>IF(OR(IFERROR(MATCH(TEXT($B$10,"yyyymmdd")&amp;"|"&amp;$E$10&amp;"|11",'EVENT ASSIGNMENT'!$K$2:$K$101,0),"")="",B28=""),"",IFERROR(INDEX('CONTRACT CALC'!$I$13:$I$112,IFERROR(MATCH(TEXT($B$10,"yyyymmdd")&amp;"|"&amp;$E$10&amp;"|11",'EVENT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E28" s="199">
        <f>IF(D28="","",D28*'CONTRACT CALC'!$B$4)</f>
        <v/>
      </c>
      <c r="F28" s="199">
        <f>IF(OR(IFERROR(MATCH(TEXT($B$10,"yyyymmdd")&amp;"|"&amp;$E$10&amp;"|11",'EVENT ASSIGNMENT'!$K$2:$K$101,0),"")="",B28=""),"",IFERROR(INDEX('CONTRACT CALC'!$H$13:$H$112,IFERROR(MATCH(TEXT($B$10,"yyyymmdd")&amp;"|"&amp;$E$10&amp;"|11",'EVENT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G28" s="199">
        <f>IF(F28="","",F28*'CONTRACT CALC'!$B$5)</f>
        <v/>
      </c>
      <c r="H28" s="199">
        <f>IF(B28="","",N(E28)+N(G28))</f>
        <v/>
      </c>
      <c r="I28" s="199">
        <f>IF(OR(IFERROR(MATCH(TEXT($B$10,"yyyymmdd")&amp;"|"&amp;$E$10&amp;"|11",'EVENT ASSIGNMENT'!$K$2:$K$101,0),"")="",B28=""),"",IF(COUNTIFS('TIPS DATA'!$A$2:$A$101,$B$10,'TIPS DATA'!$C$2:$C$101,$E$10,'TIPS DATA'!$D$2:$D$101,INDEX('EVENT ASSIGNMENT'!$C$2:$C$101,IFERROR(MATCH(TEXT($B$10,"yyyymmdd")&amp;"|"&amp;$E$10&amp;"|11",'EVENT ASSIGNMENT'!$K$2:$K$101,0),"")))&gt;0,SUMIFS('TIPS DATA'!$H$2:$H$101,'TIPS DATA'!$A$2:$A$101,$B$10,'TIPS DATA'!$C$2:$C$101,$E$10,'TIPS DATA'!$D$2:$D$101,INDEX('EVENT ASSIGNMENT'!$C$2:$C$101,IFERROR(MATCH(TEXT($B$10,"yyyymmdd")&amp;"|"&amp;$E$10&amp;"|11",'EVENT ASSIGNMENT'!$K$2:$K$101,0),""))),SUMIFS('TIPS DATA'!$H$2:$H$101,'TIPS DATA'!$A$2:$A$101,$B$10,'TIPS DATA'!$C$2:$C$101,$E$10,'TIPS DATA'!$E$2:$E$101,INDEX('EVENT ASSIGNMENT'!$D$2:$D$101,IFERROR(MATCH(TEXT($B$10,"yyyymmdd")&amp;"|"&amp;$E$10&amp;"|11",'EVENT ASSIGNMENT'!$K$2:$K$101,0),"")))))</f>
        <v/>
      </c>
    </row>
    <row r="29" ht="18" customHeight="1" s="130">
      <c r="A29" s="197">
        <f>IFERROR(MATCH(TEXT($B$10,"yyyymmdd")&amp;"|"&amp;$E$10&amp;"|12",'EVENT ASSIGNMENT'!$K$2:$K$101,0),"")</f>
        <v/>
      </c>
      <c r="B29" s="198">
        <f>IF(IFERROR(MATCH(TEXT($B$10,"yyyymmdd")&amp;"|"&amp;$E$10&amp;"|12",'EVENT ASSIGNMENT'!$K$2:$K$101,0),"")="","",IFERROR(INDEX('EVENT ASSIGNMENT'!$D$2:$D$101,IFERROR(MATCH(TEXT($B$10,"yyyymmdd")&amp;"|"&amp;$E$10&amp;"|12",'EVENT ASSIGNMENT'!$K$2:$K$101,0),"")),""))</f>
        <v/>
      </c>
      <c r="C29" s="199">
        <f>IF(OR(IFERROR(MATCH(TEXT($B$10,"yyyymmdd")&amp;"|"&amp;$E$10&amp;"|12",'EVENT ASSIGNMENT'!$K$2:$K$101,0),"")="",B29=""),"",IFERROR(INDEX('CONTRACT CALC'!$G$13:$G$112,IFERROR(MATCH(TEXT($B$10,"yyyymmdd")&amp;"|"&amp;$E$10&amp;"|12",'EVENT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D29" s="199">
        <f>IF(OR(IFERROR(MATCH(TEXT($B$10,"yyyymmdd")&amp;"|"&amp;$E$10&amp;"|12",'EVENT ASSIGNMENT'!$K$2:$K$101,0),"")="",B29=""),"",IFERROR(INDEX('CONTRACT CALC'!$I$13:$I$112,IFERROR(MATCH(TEXT($B$10,"yyyymmdd")&amp;"|"&amp;$E$10&amp;"|12",'EVENT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E29" s="199">
        <f>IF(D29="","",D29*'CONTRACT CALC'!$B$4)</f>
        <v/>
      </c>
      <c r="F29" s="199">
        <f>IF(OR(IFERROR(MATCH(TEXT($B$10,"yyyymmdd")&amp;"|"&amp;$E$10&amp;"|12",'EVENT ASSIGNMENT'!$K$2:$K$101,0),"")="",B29=""),"",IFERROR(INDEX('CONTRACT CALC'!$H$13:$H$112,IFERROR(MATCH(TEXT($B$10,"yyyymmdd")&amp;"|"&amp;$E$10&amp;"|12",'EVENT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G29" s="199">
        <f>IF(F29="","",F29*'CONTRACT CALC'!$B$5)</f>
        <v/>
      </c>
      <c r="H29" s="199">
        <f>IF(B29="","",N(E29)+N(G29))</f>
        <v/>
      </c>
      <c r="I29" s="199">
        <f>IF(OR(IFERROR(MATCH(TEXT($B$10,"yyyymmdd")&amp;"|"&amp;$E$10&amp;"|12",'EVENT ASSIGNMENT'!$K$2:$K$101,0),"")="",B29=""),"",IF(COUNTIFS('TIPS DATA'!$A$2:$A$101,$B$10,'TIPS DATA'!$C$2:$C$101,$E$10,'TIPS DATA'!$D$2:$D$101,INDEX('EVENT ASSIGNMENT'!$C$2:$C$101,IFERROR(MATCH(TEXT($B$10,"yyyymmdd")&amp;"|"&amp;$E$10&amp;"|12",'EVENT ASSIGNMENT'!$K$2:$K$101,0),"")))&gt;0,SUMIFS('TIPS DATA'!$H$2:$H$101,'TIPS DATA'!$A$2:$A$101,$B$10,'TIPS DATA'!$C$2:$C$101,$E$10,'TIPS DATA'!$D$2:$D$101,INDEX('EVENT ASSIGNMENT'!$C$2:$C$101,IFERROR(MATCH(TEXT($B$10,"yyyymmdd")&amp;"|"&amp;$E$10&amp;"|12",'EVENT ASSIGNMENT'!$K$2:$K$101,0),""))),SUMIFS('TIPS DATA'!$H$2:$H$101,'TIPS DATA'!$A$2:$A$101,$B$10,'TIPS DATA'!$C$2:$C$101,$E$10,'TIPS DATA'!$E$2:$E$101,INDEX('EVENT ASSIGNMENT'!$D$2:$D$101,IFERROR(MATCH(TEXT($B$10,"yyyymmdd")&amp;"|"&amp;$E$10&amp;"|12",'EVENT ASSIGNMENT'!$K$2:$K$101,0),"")))))</f>
        <v/>
      </c>
    </row>
    <row r="30" ht="18" customHeight="1" s="130">
      <c r="A30" s="197">
        <f>IFERROR(MATCH(TEXT($B$10,"yyyymmdd")&amp;"|"&amp;$E$10&amp;"|13",'EVENT ASSIGNMENT'!$K$2:$K$101,0),"")</f>
        <v/>
      </c>
      <c r="B30" s="198">
        <f>IF(IFERROR(MATCH(TEXT($B$10,"yyyymmdd")&amp;"|"&amp;$E$10&amp;"|13",'EVENT ASSIGNMENT'!$K$2:$K$101,0),"")="","",IFERROR(INDEX('EVENT ASSIGNMENT'!$D$2:$D$101,IFERROR(MATCH(TEXT($B$10,"yyyymmdd")&amp;"|"&amp;$E$10&amp;"|13",'EVENT ASSIGNMENT'!$K$2:$K$101,0),"")),""))</f>
        <v/>
      </c>
      <c r="C30" s="199">
        <f>IF(OR(IFERROR(MATCH(TEXT($B$10,"yyyymmdd")&amp;"|"&amp;$E$10&amp;"|13",'EVENT ASSIGNMENT'!$K$2:$K$101,0),"")="",B30=""),"",IFERROR(INDEX('CONTRACT CALC'!$G$13:$G$112,IFERROR(MATCH(TEXT($B$10,"yyyymmdd")&amp;"|"&amp;$E$10&amp;"|13",'EVENT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D30" s="199">
        <f>IF(OR(IFERROR(MATCH(TEXT($B$10,"yyyymmdd")&amp;"|"&amp;$E$10&amp;"|13",'EVENT ASSIGNMENT'!$K$2:$K$101,0),"")="",B30=""),"",IFERROR(INDEX('CONTRACT CALC'!$I$13:$I$112,IFERROR(MATCH(TEXT($B$10,"yyyymmdd")&amp;"|"&amp;$E$10&amp;"|13",'EVENT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E30" s="199">
        <f>IF(D30="","",D30*'CONTRACT CALC'!$B$4)</f>
        <v/>
      </c>
      <c r="F30" s="199">
        <f>IF(OR(IFERROR(MATCH(TEXT($B$10,"yyyymmdd")&amp;"|"&amp;$E$10&amp;"|13",'EVENT ASSIGNMENT'!$K$2:$K$101,0),"")="",B30=""),"",IFERROR(INDEX('CONTRACT CALC'!$H$13:$H$112,IFERROR(MATCH(TEXT($B$10,"yyyymmdd")&amp;"|"&amp;$E$10&amp;"|13",'EVENT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G30" s="199">
        <f>IF(F30="","",F30*'CONTRACT CALC'!$B$5)</f>
        <v/>
      </c>
      <c r="H30" s="199">
        <f>IF(B30="","",N(E30)+N(G30))</f>
        <v/>
      </c>
      <c r="I30" s="199">
        <f>IF(OR(IFERROR(MATCH(TEXT($B$10,"yyyymmdd")&amp;"|"&amp;$E$10&amp;"|13",'EVENT ASSIGNMENT'!$K$2:$K$101,0),"")="",B30=""),"",IF(COUNTIFS('TIPS DATA'!$A$2:$A$101,$B$10,'TIPS DATA'!$C$2:$C$101,$E$10,'TIPS DATA'!$D$2:$D$101,INDEX('EVENT ASSIGNMENT'!$C$2:$C$101,IFERROR(MATCH(TEXT($B$10,"yyyymmdd")&amp;"|"&amp;$E$10&amp;"|13",'EVENT ASSIGNMENT'!$K$2:$K$101,0),"")))&gt;0,SUMIFS('TIPS DATA'!$H$2:$H$101,'TIPS DATA'!$A$2:$A$101,$B$10,'TIPS DATA'!$C$2:$C$101,$E$10,'TIPS DATA'!$D$2:$D$101,INDEX('EVENT ASSIGNMENT'!$C$2:$C$101,IFERROR(MATCH(TEXT($B$10,"yyyymmdd")&amp;"|"&amp;$E$10&amp;"|13",'EVENT ASSIGNMENT'!$K$2:$K$101,0),""))),SUMIFS('TIPS DATA'!$H$2:$H$101,'TIPS DATA'!$A$2:$A$101,$B$10,'TIPS DATA'!$C$2:$C$101,$E$10,'TIPS DATA'!$E$2:$E$101,INDEX('EVENT ASSIGNMENT'!$D$2:$D$101,IFERROR(MATCH(TEXT($B$10,"yyyymmdd")&amp;"|"&amp;$E$10&amp;"|13",'EVENT ASSIGNMENT'!$K$2:$K$101,0),"")))))</f>
        <v/>
      </c>
    </row>
    <row r="31" ht="18" customHeight="1" s="130" thickBot="1">
      <c r="A31" s="197">
        <f>IFERROR(MATCH(TEXT($B$10,"yyyymmdd")&amp;"|"&amp;$E$10&amp;"|14",'EVENT ASSIGNMENT'!$K$2:$K$101,0),"")</f>
        <v/>
      </c>
      <c r="B31" s="198">
        <f>IF(IFERROR(MATCH(TEXT($B$10,"yyyymmdd")&amp;"|"&amp;$E$10&amp;"|14",'EVENT ASSIGNMENT'!$K$2:$K$101,0),"")="","",IFERROR(INDEX('EVENT ASSIGNMENT'!$D$2:$D$101,IFERROR(MATCH(TEXT($B$10,"yyyymmdd")&amp;"|"&amp;$E$10&amp;"|14",'EVENT ASSIGNMENT'!$K$2:$K$101,0),"")),""))</f>
        <v/>
      </c>
      <c r="C31" s="199">
        <f>IF(OR(IFERROR(MATCH(TEXT($B$10,"yyyymmdd")&amp;"|"&amp;$E$10&amp;"|14",'EVENT ASSIGNMENT'!$K$2:$K$101,0),"")="",B31=""),"",IFERROR(INDEX('CONTRACT CALC'!$G$13:$G$112,IFERROR(MATCH(TEXT($B$10,"yyyymmdd")&amp;"|"&amp;$E$10&amp;"|14",'EVENT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D31" s="199">
        <f>IF(OR(IFERROR(MATCH(TEXT($B$10,"yyyymmdd")&amp;"|"&amp;$E$10&amp;"|14",'EVENT ASSIGNMENT'!$K$2:$K$101,0),"")="",B31=""),"",IFERROR(INDEX('CONTRACT CALC'!$I$13:$I$112,IFERROR(MATCH(TEXT($B$10,"yyyymmdd")&amp;"|"&amp;$E$10&amp;"|14",'EVENT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E31" s="199">
        <f>IF(D31="","",D31*'CONTRACT CALC'!$B$4)</f>
        <v/>
      </c>
      <c r="F31" s="199">
        <f>IF(OR(IFERROR(MATCH(TEXT($B$10,"yyyymmdd")&amp;"|"&amp;$E$10&amp;"|14",'EVENT ASSIGNMENT'!$K$2:$K$101,0),"")="",B31=""),"",IFERROR(INDEX('CONTRACT CALC'!$H$13:$H$112,IFERROR(MATCH(TEXT($B$10,"yyyymmdd")&amp;"|"&amp;$E$10&amp;"|14",'EVENT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G31" s="199">
        <f>IF(F31="","",F31*'CONTRACT CALC'!$B$5)</f>
        <v/>
      </c>
      <c r="H31" s="199">
        <f>IF(B31="","",N(E31)+N(G31))</f>
        <v/>
      </c>
      <c r="I31" s="199">
        <f>IF(OR(IFERROR(MATCH(TEXT($B$10,"yyyymmdd")&amp;"|"&amp;$E$10&amp;"|14",'EVENT ASSIGNMENT'!$K$2:$K$101,0),"")="",B31=""),"",IF(COUNTIFS('TIPS DATA'!$A$2:$A$101,$B$10,'TIPS DATA'!$C$2:$C$101,$E$10,'TIPS DATA'!$D$2:$D$101,INDEX('EVENT ASSIGNMENT'!$C$2:$C$101,IFERROR(MATCH(TEXT($B$10,"yyyymmdd")&amp;"|"&amp;$E$10&amp;"|14",'EVENT ASSIGNMENT'!$K$2:$K$101,0),"")))&gt;0,SUMIFS('TIPS DATA'!$H$2:$H$101,'TIPS DATA'!$A$2:$A$101,$B$10,'TIPS DATA'!$C$2:$C$101,$E$10,'TIPS DATA'!$D$2:$D$101,INDEX('EVENT ASSIGNMENT'!$C$2:$C$101,IFERROR(MATCH(TEXT($B$10,"yyyymmdd")&amp;"|"&amp;$E$10&amp;"|14",'EVENT ASSIGNMENT'!$K$2:$K$101,0),""))),SUMIFS('TIPS DATA'!$H$2:$H$101,'TIPS DATA'!$A$2:$A$101,$B$10,'TIPS DATA'!$C$2:$C$101,$E$10,'TIPS DATA'!$E$2:$E$101,INDEX('EVENT ASSIGNMENT'!$D$2:$D$101,IFERROR(MATCH(TEXT($B$10,"yyyymmdd")&amp;"|"&amp;$E$10&amp;"|14",'EVENT ASSIGNMENT'!$K$2:$K$101,0),"")))))</f>
        <v/>
      </c>
    </row>
    <row r="32" ht="20.25" customHeight="1" s="130">
      <c r="A32" s="197">
        <f>IFERROR(MATCH(TEXT($B$10,"yyyymmdd")&amp;"|"&amp;$E$10&amp;"|15",'EVENT ASSIGNMENT'!$K$2:$K$101,0),"")</f>
        <v/>
      </c>
      <c r="B32" s="201">
        <f>IF(IFERROR(MATCH(TEXT($B$10,"yyyymmdd")&amp;"|"&amp;$E$10&amp;"|15",'EVENT ASSIGNMENT'!$K$2:$K$101,0),"")="","",IFERROR(INDEX('EVENT ASSIGNMENT'!$D$2:$D$101,IFERROR(MATCH(TEXT($B$10,"yyyymmdd")&amp;"|"&amp;$E$10&amp;"|15",'EVENT ASSIGNMENT'!$K$2:$K$101,0),"")),""))</f>
        <v/>
      </c>
      <c r="C32" s="202">
        <f>IF(OR(IFERROR(MATCH(TEXT($B$10,"yyyymmdd")&amp;"|"&amp;$E$10&amp;"|15",'EVENT ASSIGNMENT'!$K$2:$K$101,0),"")="",B32=""),"",IFERROR(INDEX('CONTRACT CALC'!$G$13:$G$112,IFERROR(MATCH(TEXT($B$10,"yyyymmdd")&amp;"|"&amp;$E$10&amp;"|15",'EVENT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D32" s="202">
        <f>IF(OR(IFERROR(MATCH(TEXT($B$10,"yyyymmdd")&amp;"|"&amp;$E$10&amp;"|15",'EVENT ASSIGNMENT'!$K$2:$K$101,0),"")="",B32=""),"",IFERROR(INDEX('CONTRACT CALC'!$I$13:$I$112,IFERROR(MATCH(TEXT($B$10,"yyyymmdd")&amp;"|"&amp;$E$10&amp;"|15",'EVENT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E32" s="202">
        <f>IF(D32="","",D32*'CONTRACT CALC'!$B$4)</f>
        <v/>
      </c>
      <c r="F32" s="199">
        <f>IF(OR(IFERROR(MATCH(TEXT($B$10,"yyyymmdd")&amp;"|"&amp;$E$10&amp;"|15",'EVENT ASSIGNMENT'!$K$2:$K$101,0),"")="",B32=""),"",IFERROR(INDEX('CONTRACT CALC'!$H$13:$H$112,IFERROR(MATCH(TEXT($B$10,"yyyymmdd")&amp;"|"&amp;$E$10&amp;"|15",'EVENT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G32" s="202">
        <f>IF(F32="","",F32*'CONTRACT CALC'!$B$5)</f>
        <v/>
      </c>
      <c r="H32" s="202">
        <f>IF(B32="","",N(E32)+N(G32))</f>
        <v/>
      </c>
      <c r="I32" s="202">
        <f>IF(OR(IFERROR(MATCH(TEXT($B$10,"yyyymmdd")&amp;"|"&amp;$E$10&amp;"|15",'EVENT ASSIGNMENT'!$K$2:$K$101,0),"")="",B32=""),"",IF(COUNTIFS('TIPS DATA'!$A$2:$A$101,$B$10,'TIPS DATA'!$C$2:$C$101,$E$10,'TIPS DATA'!$D$2:$D$101,INDEX('EVENT ASSIGNMENT'!$C$2:$C$101,IFERROR(MATCH(TEXT($B$10,"yyyymmdd")&amp;"|"&amp;$E$10&amp;"|15",'EVENT ASSIGNMENT'!$K$2:$K$101,0),"")))&gt;0,SUMIFS('TIPS DATA'!$H$2:$H$101,'TIPS DATA'!$A$2:$A$101,$B$10,'TIPS DATA'!$C$2:$C$101,$E$10,'TIPS DATA'!$D$2:$D$101,INDEX('EVENT ASSIGNMENT'!$C$2:$C$101,IFERROR(MATCH(TEXT($B$10,"yyyymmdd")&amp;"|"&amp;$E$10&amp;"|15",'EVENT ASSIGNMENT'!$K$2:$K$101,0),""))),SUMIFS('TIPS DATA'!$H$2:$H$101,'TIPS DATA'!$A$2:$A$101,$B$10,'TIPS DATA'!$C$2:$C$101,$E$10,'TIPS DATA'!$E$2:$E$101,INDEX('EVENT ASSIGNMENT'!$D$2:$D$101,IFERROR(MATCH(TEXT($B$10,"yyyymmdd")&amp;"|"&amp;$E$10&amp;"|15",'EVENT ASSIGNMENT'!$K$2:$K$101,0),"")))))</f>
        <v/>
      </c>
    </row>
    <row r="33" ht="6" customHeight="1" s="130">
      <c r="A33" s="197">
        <f>IFERROR(MATCH(TEXT($B$10,"yyyymmdd")&amp;"|"&amp;$E$10&amp;"|16",'EVENT ASSIGNMENT'!$K$2:$K$101,0),"")</f>
        <v/>
      </c>
      <c r="B33" s="203">
        <f>IF(IFERROR(MATCH(TEXT($B$10,"yyyymmdd")&amp;"|"&amp;$E$10&amp;"|16",'EVENT ASSIGNMENT'!$K$2:$K$101,0),"")="","",IFERROR(INDEX('EVENT ASSIGNMENT'!$D$2:$D$101,IFERROR(MATCH(TEXT($B$10,"yyyymmdd")&amp;"|"&amp;$E$10&amp;"|16",'EVENT ASSIGNMENT'!$K$2:$K$101,0),"")),""))</f>
        <v/>
      </c>
      <c r="C33" s="204">
        <f>IF(OR(IFERROR(MATCH(TEXT($B$10,"yyyymmdd")&amp;"|"&amp;$E$10&amp;"|16",'EVENT ASSIGNMENT'!$K$2:$K$101,0),"")="",B33=""),"",IFERROR(INDEX('CONTRACT CALC'!$G$13:$G$112,IFERROR(MATCH(TEXT($B$10,"yyyymmdd")&amp;"|"&amp;$E$10&amp;"|16",'EVENT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D33" s="204">
        <f>IF(OR(IFERROR(MATCH(TEXT($B$10,"yyyymmdd")&amp;"|"&amp;$E$10&amp;"|16",'EVENT ASSIGNMENT'!$K$2:$K$101,0),"")="",B33=""),"",IFERROR(INDEX('CONTRACT CALC'!$I$13:$I$112,IFERROR(MATCH(TEXT($B$10,"yyyymmdd")&amp;"|"&amp;$E$10&amp;"|16",'EVENT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E33" s="204">
        <f>IF(D33="","",D33*'CONTRACT CALC'!$B$4)</f>
        <v/>
      </c>
      <c r="F33" s="204">
        <f>IF(OR(IFERROR(MATCH(TEXT($B$10,"yyyymmdd")&amp;"|"&amp;$E$10&amp;"|16",'EVENT ASSIGNMENT'!$K$2:$K$101,0),"")="",B33=""),"",IFERROR(INDEX('CONTRACT CALC'!$H$13:$H$112,IFERROR(MATCH(TEXT($B$10,"yyyymmdd")&amp;"|"&amp;$E$10&amp;"|16",'EVENT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G33" s="204">
        <f>IF(F33="","",F33*'CONTRACT CALC'!$B$5)</f>
        <v/>
      </c>
      <c r="H33" s="204">
        <f>IF(B33="","",N(E33)+N(G33))</f>
        <v/>
      </c>
      <c r="I33" s="204">
        <f>IF(OR(IFERROR(MATCH(TEXT($B$10,"yyyymmdd")&amp;"|"&amp;$E$10&amp;"|16",'EVENT ASSIGNMENT'!$K$2:$K$101,0),"")="",B33=""),"",IF(COUNTIFS('TIPS DATA'!$A$2:$A$101,$B$10,'TIPS DATA'!$C$2:$C$101,$E$10,'TIPS DATA'!$D$2:$D$101,INDEX('EVENT ASSIGNMENT'!$C$2:$C$101,IFERROR(MATCH(TEXT($B$10,"yyyymmdd")&amp;"|"&amp;$E$10&amp;"|16",'EVENT ASSIGNMENT'!$K$2:$K$101,0),"")))&gt;0,SUMIFS('TIPS DATA'!$H$2:$H$101,'TIPS DATA'!$A$2:$A$101,$B$10,'TIPS DATA'!$C$2:$C$101,$E$10,'TIPS DATA'!$D$2:$D$101,INDEX('EVENT ASSIGNMENT'!$C$2:$C$101,IFERROR(MATCH(TEXT($B$10,"yyyymmdd")&amp;"|"&amp;$E$10&amp;"|16",'EVENT ASSIGNMENT'!$K$2:$K$101,0),""))),SUMIFS('TIPS DATA'!$H$2:$H$101,'TIPS DATA'!$A$2:$A$101,$B$10,'TIPS DATA'!$C$2:$C$101,$E$10,'TIPS DATA'!$E$2:$E$101,INDEX('EVENT ASSIGNMENT'!$D$2:$D$101,IFERROR(MATCH(TEXT($B$10,"yyyymmdd")&amp;"|"&amp;$E$10&amp;"|16",'EVENT ASSIGNMENT'!$K$2:$K$101,0),"")))))</f>
        <v/>
      </c>
    </row>
    <row r="34" ht="13.5" customHeight="1" s="130" thickBot="1">
      <c r="A34" s="197">
        <f>IFERROR(MATCH(TEXT($B$10,"yyyymmdd")&amp;"|"&amp;$E$10&amp;"|17",'EVENT ASSIGNMENT'!$K$2:$K$101,0),"")</f>
        <v/>
      </c>
      <c r="B34" s="201">
        <f>IF(IFERROR(MATCH(TEXT($B$10,"yyyymmdd")&amp;"|"&amp;$E$10&amp;"|17",'EVENT ASSIGNMENT'!$K$2:$K$101,0),"")="","",IFERROR(INDEX('EVENT ASSIGNMENT'!$D$2:$D$101,IFERROR(MATCH(TEXT($B$10,"yyyymmdd")&amp;"|"&amp;$E$10&amp;"|17",'EVENT ASSIGNMENT'!$K$2:$K$101,0),"")),""))</f>
        <v/>
      </c>
      <c r="C34" s="202">
        <f>IF(OR(IFERROR(MATCH(TEXT($B$10,"yyyymmdd")&amp;"|"&amp;$E$10&amp;"|17",'EVENT ASSIGNMENT'!$K$2:$K$101,0),"")="",B34=""),"",IFERROR(INDEX('CONTRACT CALC'!$G$13:$G$112,IFERROR(MATCH(TEXT($B$10,"yyyymmdd")&amp;"|"&amp;$E$10&amp;"|17",'EVENT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D34" s="202">
        <f>IF(OR(IFERROR(MATCH(TEXT($B$10,"yyyymmdd")&amp;"|"&amp;$E$10&amp;"|17",'EVENT ASSIGNMENT'!$K$2:$K$101,0),"")="",B34=""),"",IFERROR(INDEX('CONTRACT CALC'!$I$13:$I$112,IFERROR(MATCH(TEXT($B$10,"yyyymmdd")&amp;"|"&amp;$E$10&amp;"|17",'EVENT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E34" s="202">
        <f>IF(D34="","",D34*'CONTRACT CALC'!$B$4)</f>
        <v/>
      </c>
      <c r="F34" s="202">
        <f>IF(OR(IFERROR(MATCH(TEXT($B$10,"yyyymmdd")&amp;"|"&amp;$E$10&amp;"|17",'EVENT ASSIGNMENT'!$K$2:$K$101,0),"")="",B34=""),"",IFERROR(INDEX('CONTRACT CALC'!$H$13:$H$112,IFERROR(MATCH(TEXT($B$10,"yyyymmdd")&amp;"|"&amp;$E$10&amp;"|17",'EVENT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G34" s="202">
        <f>IF(F34="","",F34*'CONTRACT CALC'!$B$5)</f>
        <v/>
      </c>
      <c r="H34" s="202">
        <f>IF(B34="","",N(E34)+N(G34))</f>
        <v/>
      </c>
      <c r="I34" s="202">
        <f>IF(OR(IFERROR(MATCH(TEXT($B$10,"yyyymmdd")&amp;"|"&amp;$E$10&amp;"|17",'EVENT ASSIGNMENT'!$K$2:$K$101,0),"")="",B34=""),"",IF(COUNTIFS('TIPS DATA'!$A$2:$A$101,$B$10,'TIPS DATA'!$C$2:$C$101,$E$10,'TIPS DATA'!$D$2:$D$101,INDEX('EVENT ASSIGNMENT'!$C$2:$C$101,IFERROR(MATCH(TEXT($B$10,"yyyymmdd")&amp;"|"&amp;$E$10&amp;"|17",'EVENT ASSIGNMENT'!$K$2:$K$101,0),"")))&gt;0,SUMIFS('TIPS DATA'!$H$2:$H$101,'TIPS DATA'!$A$2:$A$101,$B$10,'TIPS DATA'!$C$2:$C$101,$E$10,'TIPS DATA'!$D$2:$D$101,INDEX('EVENT ASSIGNMENT'!$C$2:$C$101,IFERROR(MATCH(TEXT($B$10,"yyyymmdd")&amp;"|"&amp;$E$10&amp;"|17",'EVENT ASSIGNMENT'!$K$2:$K$101,0),""))),SUMIFS('TIPS DATA'!$H$2:$H$101,'TIPS DATA'!$A$2:$A$101,$B$10,'TIPS DATA'!$C$2:$C$101,$E$10,'TIPS DATA'!$E$2:$E$101,INDEX('EVENT ASSIGNMENT'!$D$2:$D$101,IFERROR(MATCH(TEXT($B$10,"yyyymmdd")&amp;"|"&amp;$E$10&amp;"|17",'EVENT ASSIGNMENT'!$K$2:$K$101,0),"")))))</f>
        <v/>
      </c>
    </row>
    <row r="35" ht="18" customHeight="1" s="130" thickBot="1">
      <c r="A35" s="197">
        <f>IFERROR(MATCH(TEXT($B$10,"yyyymmdd")&amp;"|"&amp;$E$10&amp;"|18",'EVENT ASSIGNMENT'!$K$2:$K$101,0),"")</f>
        <v/>
      </c>
      <c r="B35" s="205">
        <f>IF(IFERROR(MATCH(TEXT($B$10,"yyyymmdd")&amp;"|"&amp;$E$10&amp;"|18",'EVENT ASSIGNMENT'!$K$2:$K$101,0),"")="","",IFERROR(INDEX('EVENT ASSIGNMENT'!$D$2:$D$101,IFERROR(MATCH(TEXT($B$10,"yyyymmdd")&amp;"|"&amp;$E$10&amp;"|18",'EVENT ASSIGNMENT'!$K$2:$K$101,0),"")),""))</f>
        <v/>
      </c>
      <c r="C35" s="199">
        <f>IF(OR(IFERROR(MATCH(TEXT($B$10,"yyyymmdd")&amp;"|"&amp;$E$10&amp;"|18",'EVENT ASSIGNMENT'!$K$2:$K$101,0),"")="",B35=""),"",IFERROR(INDEX('CONTRACT CALC'!$G$13:$G$112,IFERROR(MATCH(TEXT($B$10,"yyyymmdd")&amp;"|"&amp;$E$10&amp;"|18",'EVENT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D35" s="199">
        <f>IF(OR(IFERROR(MATCH(TEXT($B$10,"yyyymmdd")&amp;"|"&amp;$E$10&amp;"|18",'EVENT ASSIGNMENT'!$K$2:$K$101,0),"")="",B35=""),"",IFERROR(INDEX('CONTRACT CALC'!$I$13:$I$112,IFERROR(MATCH(TEXT($B$10,"yyyymmdd")&amp;"|"&amp;$E$10&amp;"|18",'EVENT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E35" s="206">
        <f>IF(D35="","",D35*'CONTRACT CALC'!$B$4)</f>
        <v/>
      </c>
      <c r="F35" s="199">
        <f>IF(OR(IFERROR(MATCH(TEXT($B$10,"yyyymmdd")&amp;"|"&amp;$E$10&amp;"|18",'EVENT ASSIGNMENT'!$K$2:$K$101,0),"")="",B35=""),"",IFERROR(INDEX('CONTRACT CALC'!$H$13:$H$112,IFERROR(MATCH(TEXT($B$10,"yyyymmdd")&amp;"|"&amp;$E$10&amp;"|18",'EVENT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G35" s="199">
        <f>IF(F35="","",F35*'CONTRACT CALC'!$B$5)</f>
        <v/>
      </c>
      <c r="H35" s="199">
        <f>IF(B35="","",N(E35)+N(G35))</f>
        <v/>
      </c>
      <c r="I35" s="199">
        <f>IF(OR(IFERROR(MATCH(TEXT($B$10,"yyyymmdd")&amp;"|"&amp;$E$10&amp;"|18",'EVENT ASSIGNMENT'!$K$2:$K$101,0),"")="",B35=""),"",IF(COUNTIFS('TIPS DATA'!$A$2:$A$101,$B$10,'TIPS DATA'!$C$2:$C$101,$E$10,'TIPS DATA'!$D$2:$D$101,INDEX('EVENT ASSIGNMENT'!$C$2:$C$101,IFERROR(MATCH(TEXT($B$10,"yyyymmdd")&amp;"|"&amp;$E$10&amp;"|18",'EVENT ASSIGNMENT'!$K$2:$K$101,0),"")))&gt;0,SUMIFS('TIPS DATA'!$H$2:$H$101,'TIPS DATA'!$A$2:$A$101,$B$10,'TIPS DATA'!$C$2:$C$101,$E$10,'TIPS DATA'!$D$2:$D$101,INDEX('EVENT ASSIGNMENT'!$C$2:$C$101,IFERROR(MATCH(TEXT($B$10,"yyyymmdd")&amp;"|"&amp;$E$10&amp;"|18",'EVENT ASSIGNMENT'!$K$2:$K$101,0),""))),SUMIFS('TIPS DATA'!$H$2:$H$101,'TIPS DATA'!$A$2:$A$101,$B$10,'TIPS DATA'!$C$2:$C$101,$E$10,'TIPS DATA'!$E$2:$E$101,INDEX('EVENT ASSIGNMENT'!$D$2:$D$101,IFERROR(MATCH(TEXT($B$10,"yyyymmdd")&amp;"|"&amp;$E$10&amp;"|18",'EVENT ASSIGNMENT'!$K$2:$K$101,0),"")))))</f>
        <v/>
      </c>
    </row>
    <row r="36" ht="18" customHeight="1" s="130">
      <c r="A36" s="197">
        <f>IFERROR(MATCH(TEXT($B$10,"yyyymmdd")&amp;"|"&amp;$E$10&amp;"|19",'EVENT ASSIGNMENT'!$K$2:$K$101,0),"")</f>
        <v/>
      </c>
      <c r="B36" s="198">
        <f>IF(IFERROR(MATCH(TEXT($B$10,"yyyymmdd")&amp;"|"&amp;$E$10&amp;"|19",'EVENT ASSIGNMENT'!$K$2:$K$101,0),"")="","",IFERROR(INDEX('EVENT ASSIGNMENT'!$D$2:$D$101,IFERROR(MATCH(TEXT($B$10,"yyyymmdd")&amp;"|"&amp;$E$10&amp;"|19",'EVENT ASSIGNMENT'!$K$2:$K$101,0),"")),""))</f>
        <v/>
      </c>
      <c r="C36" s="199">
        <f>IF(OR(IFERROR(MATCH(TEXT($B$10,"yyyymmdd")&amp;"|"&amp;$E$10&amp;"|19",'EVENT ASSIGNMENT'!$K$2:$K$101,0),"")="",B36=""),"",IFERROR(INDEX('CONTRACT CALC'!$G$13:$G$112,IFERROR(MATCH(TEXT($B$10,"yyyymmdd")&amp;"|"&amp;$E$10&amp;"|19",'EVENT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D36" s="199">
        <f>IF(OR(IFERROR(MATCH(TEXT($B$10,"yyyymmdd")&amp;"|"&amp;$E$10&amp;"|19",'EVENT ASSIGNMENT'!$K$2:$K$101,0),"")="",B36=""),"",IFERROR(INDEX('CONTRACT CALC'!$I$13:$I$112,IFERROR(MATCH(TEXT($B$10,"yyyymmdd")&amp;"|"&amp;$E$10&amp;"|19",'EVENT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E36" s="207">
        <f>IF(D36="","",D36*'CONTRACT CALC'!$B$4)</f>
        <v/>
      </c>
      <c r="F36" s="207">
        <f>IF(OR(IFERROR(MATCH(TEXT($B$10,"yyyymmdd")&amp;"|"&amp;$E$10&amp;"|19",'EVENT ASSIGNMENT'!$K$2:$K$101,0),"")="",B36=""),"",IFERROR(INDEX('CONTRACT CALC'!$H$13:$H$112,IFERROR(MATCH(TEXT($B$10,"yyyymmdd")&amp;"|"&amp;$E$10&amp;"|19",'EVENT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G36" s="207">
        <f>IF(F36="","",F36*'CONTRACT CALC'!$B$5)</f>
        <v/>
      </c>
      <c r="H36" s="199">
        <f>IF(B36="","",N(E36)+N(G36))</f>
        <v/>
      </c>
      <c r="I36" s="199">
        <f>IF(OR(IFERROR(MATCH(TEXT($B$10,"yyyymmdd")&amp;"|"&amp;$E$10&amp;"|19",'EVENT ASSIGNMENT'!$K$2:$K$101,0),"")="",B36=""),"",IF(COUNTIFS('TIPS DATA'!$A$2:$A$101,$B$10,'TIPS DATA'!$C$2:$C$101,$E$10,'TIPS DATA'!$D$2:$D$101,INDEX('EVENT ASSIGNMENT'!$C$2:$C$101,IFERROR(MATCH(TEXT($B$10,"yyyymmdd")&amp;"|"&amp;$E$10&amp;"|19",'EVENT ASSIGNMENT'!$K$2:$K$101,0),"")))&gt;0,SUMIFS('TIPS DATA'!$H$2:$H$101,'TIPS DATA'!$A$2:$A$101,$B$10,'TIPS DATA'!$C$2:$C$101,$E$10,'TIPS DATA'!$D$2:$D$101,INDEX('EVENT ASSIGNMENT'!$C$2:$C$101,IFERROR(MATCH(TEXT($B$10,"yyyymmdd")&amp;"|"&amp;$E$10&amp;"|19",'EVENT ASSIGNMENT'!$K$2:$K$101,0),""))),SUMIFS('TIPS DATA'!$H$2:$H$101,'TIPS DATA'!$A$2:$A$101,$B$10,'TIPS DATA'!$C$2:$C$101,$E$10,'TIPS DATA'!$E$2:$E$101,INDEX('EVENT ASSIGNMENT'!$D$2:$D$101,IFERROR(MATCH(TEXT($B$10,"yyyymmdd")&amp;"|"&amp;$E$10&amp;"|19",'EVENT ASSIGNMENT'!$K$2:$K$101,0),"")))))</f>
        <v/>
      </c>
    </row>
    <row r="37" ht="18" customHeight="1" s="130">
      <c r="A37" s="197">
        <f>IFERROR(MATCH(TEXT($B$10,"yyyymmdd")&amp;"|"&amp;$E$10&amp;"|20",'EVENT ASSIGNMENT'!$K$2:$K$101,0),"")</f>
        <v/>
      </c>
      <c r="B37" s="198">
        <f>IF(IFERROR(MATCH(TEXT($B$10,"yyyymmdd")&amp;"|"&amp;$E$10&amp;"|20",'EVENT ASSIGNMENT'!$K$2:$K$101,0),"")="","",IFERROR(INDEX('EVENT ASSIGNMENT'!$D$2:$D$101,IFERROR(MATCH(TEXT($B$10,"yyyymmdd")&amp;"|"&amp;$E$10&amp;"|20",'EVENT ASSIGNMENT'!$K$2:$K$101,0),"")),""))</f>
        <v/>
      </c>
      <c r="C37" s="199">
        <f>IF(OR(IFERROR(MATCH(TEXT($B$10,"yyyymmdd")&amp;"|"&amp;$E$10&amp;"|20",'EVENT ASSIGNMENT'!$K$2:$K$101,0),"")="",B37=""),"",IFERROR(INDEX('CONTRACT CALC'!$G$13:$G$112,IFERROR(MATCH(TEXT($B$10,"yyyymmdd")&amp;"|"&amp;$E$10&amp;"|20",'EVENT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D37" s="199">
        <f>IF(OR(IFERROR(MATCH(TEXT($B$10,"yyyymmdd")&amp;"|"&amp;$E$10&amp;"|20",'EVENT ASSIGNMENT'!$K$2:$K$101,0),"")="",B37=""),"",IFERROR(INDEX('CONTRACT CALC'!$I$13:$I$112,IFERROR(MATCH(TEXT($B$10,"yyyymmdd")&amp;"|"&amp;$E$10&amp;"|20",'EVENT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E37" s="199">
        <f>IF(D37="","",D37*'CONTRACT CALC'!$B$4)</f>
        <v/>
      </c>
      <c r="F37" s="199">
        <f>IF(OR(IFERROR(MATCH(TEXT($B$10,"yyyymmdd")&amp;"|"&amp;$E$10&amp;"|20",'EVENT ASSIGNMENT'!$K$2:$K$101,0),"")="",B37=""),"",IFERROR(INDEX('CONTRACT CALC'!$H$13:$H$112,IFERROR(MATCH(TEXT($B$10,"yyyymmdd")&amp;"|"&amp;$E$10&amp;"|20",'EVENT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G37" s="199">
        <f>IF(F37="","",F37*'CONTRACT CALC'!$B$5)</f>
        <v/>
      </c>
      <c r="H37" s="199">
        <f>IF(B37="","",N(E37)+N(G37))</f>
        <v/>
      </c>
      <c r="I37" s="199">
        <f>IF(OR(IFERROR(MATCH(TEXT($B$10,"yyyymmdd")&amp;"|"&amp;$E$10&amp;"|20",'EVENT ASSIGNMENT'!$K$2:$K$101,0),"")="",B37=""),"",IF(COUNTIFS('TIPS DATA'!$A$2:$A$101,$B$10,'TIPS DATA'!$C$2:$C$101,$E$10,'TIPS DATA'!$D$2:$D$101,INDEX('EVENT ASSIGNMENT'!$C$2:$C$101,IFERROR(MATCH(TEXT($B$10,"yyyymmdd")&amp;"|"&amp;$E$10&amp;"|20",'EVENT ASSIGNMENT'!$K$2:$K$101,0),"")))&gt;0,SUMIFS('TIPS DATA'!$H$2:$H$101,'TIPS DATA'!$A$2:$A$101,$B$10,'TIPS DATA'!$C$2:$C$101,$E$10,'TIPS DATA'!$D$2:$D$101,INDEX('EVENT ASSIGNMENT'!$C$2:$C$101,IFERROR(MATCH(TEXT($B$10,"yyyymmdd")&amp;"|"&amp;$E$10&amp;"|20",'EVENT ASSIGNMENT'!$K$2:$K$101,0),""))),SUMIFS('TIPS DATA'!$H$2:$H$101,'TIPS DATA'!$A$2:$A$101,$B$10,'TIPS DATA'!$C$2:$C$101,$E$10,'TIPS DATA'!$E$2:$E$101,INDEX('EVENT ASSIGNMENT'!$D$2:$D$101,IFERROR(MATCH(TEXT($B$10,"yyyymmdd")&amp;"|"&amp;$E$10&amp;"|20",'EVENT ASSIGNMENT'!$K$2:$K$101,0),"")))))</f>
        <v/>
      </c>
    </row>
    <row r="38" ht="16.5" customHeight="1" s="130">
      <c r="A38" s="197">
        <f>IFERROR(MATCH(TEXT($B$10,"yyyymmdd")&amp;"|"&amp;$E$10&amp;"|21",'EVENT ASSIGNMENT'!$K$2:$K$101,0),"")</f>
        <v/>
      </c>
      <c r="B38" s="198">
        <f>IF(IFERROR(MATCH(TEXT($B$10,"yyyymmdd")&amp;"|"&amp;$E$10&amp;"|21",'EVENT ASSIGNMENT'!$K$2:$K$101,0),"")="","",IFERROR(INDEX('EVENT ASSIGNMENT'!$D$2:$D$101,IFERROR(MATCH(TEXT($B$10,"yyyymmdd")&amp;"|"&amp;$E$10&amp;"|21",'EVENT ASSIGNMENT'!$K$2:$K$101,0),"")),""))</f>
        <v/>
      </c>
      <c r="C38" s="199">
        <f>IF(OR(IFERROR(MATCH(TEXT($B$10,"yyyymmdd")&amp;"|"&amp;$E$10&amp;"|21",'EVENT ASSIGNMENT'!$K$2:$K$101,0),"")="",B38=""),"",IFERROR(INDEX('CONTRACT CALC'!$G$13:$G$112,IFERROR(MATCH(TEXT($B$10,"yyyymmdd")&amp;"|"&amp;$E$10&amp;"|21",'EVENT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D38" s="199">
        <f>IF(OR(IFERROR(MATCH(TEXT($B$10,"yyyymmdd")&amp;"|"&amp;$E$10&amp;"|21",'EVENT ASSIGNMENT'!$K$2:$K$101,0),"")="",B38=""),"",IFERROR(INDEX('CONTRACT CALC'!$I$13:$I$112,IFERROR(MATCH(TEXT($B$10,"yyyymmdd")&amp;"|"&amp;$E$10&amp;"|21",'EVENT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E38" s="207">
        <f>IF(D38="","",D38*'CONTRACT CALC'!$B$4)</f>
        <v/>
      </c>
      <c r="F38" s="207">
        <f>IF(OR(IFERROR(MATCH(TEXT($B$10,"yyyymmdd")&amp;"|"&amp;$E$10&amp;"|21",'EVENT ASSIGNMENT'!$K$2:$K$101,0),"")="",B38=""),"",IFERROR(INDEX('CONTRACT CALC'!$H$13:$H$112,IFERROR(MATCH(TEXT($B$10,"yyyymmdd")&amp;"|"&amp;$E$10&amp;"|21",'EVENT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G38" s="207">
        <f>IF(F38="","",F38*'CONTRACT CALC'!$B$5)</f>
        <v/>
      </c>
      <c r="H38" s="199">
        <f>IF(B38="","",N(E38)+N(G38))</f>
        <v/>
      </c>
      <c r="I38" s="199">
        <f>IF(OR(IFERROR(MATCH(TEXT($B$10,"yyyymmdd")&amp;"|"&amp;$E$10&amp;"|21",'EVENT ASSIGNMENT'!$K$2:$K$101,0),"")="",B38=""),"",IF(COUNTIFS('TIPS DATA'!$A$2:$A$101,$B$10,'TIPS DATA'!$C$2:$C$101,$E$10,'TIPS DATA'!$D$2:$D$101,INDEX('EVENT ASSIGNMENT'!$C$2:$C$101,IFERROR(MATCH(TEXT($B$10,"yyyymmdd")&amp;"|"&amp;$E$10&amp;"|21",'EVENT ASSIGNMENT'!$K$2:$K$101,0),"")))&gt;0,SUMIFS('TIPS DATA'!$H$2:$H$101,'TIPS DATA'!$A$2:$A$101,$B$10,'TIPS DATA'!$C$2:$C$101,$E$10,'TIPS DATA'!$D$2:$D$101,INDEX('EVENT ASSIGNMENT'!$C$2:$C$101,IFERROR(MATCH(TEXT($B$10,"yyyymmdd")&amp;"|"&amp;$E$10&amp;"|21",'EVENT ASSIGNMENT'!$K$2:$K$101,0),""))),SUMIFS('TIPS DATA'!$H$2:$H$101,'TIPS DATA'!$A$2:$A$101,$B$10,'TIPS DATA'!$C$2:$C$101,$E$10,'TIPS DATA'!$E$2:$E$101,INDEX('EVENT ASSIGNMENT'!$D$2:$D$101,IFERROR(MATCH(TEXT($B$10,"yyyymmdd")&amp;"|"&amp;$E$10&amp;"|21",'EVENT ASSIGNMENT'!$K$2:$K$101,0),"")))))</f>
        <v/>
      </c>
    </row>
    <row r="39" ht="20.1" customHeight="1" s="130">
      <c r="A39" s="208">
        <f>IFERROR(MATCH(TEXT($B$10,"yyyymmdd")&amp;"|"&amp;$E$10&amp;"|22",'EVENT ASSIGNMENT'!$K$2:$K$101,0),"")</f>
        <v/>
      </c>
      <c r="B39" s="198">
        <f>IF(IFERROR(MATCH(TEXT($B$10,"yyyymmdd")&amp;"|"&amp;$E$10&amp;"|22",'EVENT ASSIGNMENT'!$K$2:$K$101,0),"")="","",IFERROR(INDEX('EVENT ASSIGNMENT'!$D$2:$D$101,IFERROR(MATCH(TEXT($B$10,"yyyymmdd")&amp;"|"&amp;$E$10&amp;"|22",'EVENT ASSIGNMENT'!$K$2:$K$101,0),"")),""))</f>
        <v/>
      </c>
      <c r="C39" s="199">
        <f>IF(OR(IFERROR(MATCH(TEXT($B$10,"yyyymmdd")&amp;"|"&amp;$E$10&amp;"|22",'EVENT ASSIGNMENT'!$K$2:$K$101,0),"")="",B39=""),"",IFERROR(INDEX('CONTRACT CALC'!$G$13:$G$112,IFERROR(MATCH(TEXT($B$10,"yyyymmdd")&amp;"|"&amp;$E$10&amp;"|22",'EVENT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D39" s="199">
        <f>IF(OR(IFERROR(MATCH(TEXT($B$10,"yyyymmdd")&amp;"|"&amp;$E$10&amp;"|22",'EVENT ASSIGNMENT'!$K$2:$K$101,0),"")="",B39=""),"",IFERROR(INDEX('CONTRACT CALC'!$I$13:$I$112,IFERROR(MATCH(TEXT($B$10,"yyyymmdd")&amp;"|"&amp;$E$10&amp;"|22",'EVENT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E39" s="199">
        <f>IF(D39="","",D39*'CONTRACT CALC'!$B$4)</f>
        <v/>
      </c>
      <c r="F39" s="199">
        <f>IF(OR(IFERROR(MATCH(TEXT($B$10,"yyyymmdd")&amp;"|"&amp;$E$10&amp;"|22",'EVENT ASSIGNMENT'!$K$2:$K$101,0),"")="",B39=""),"",IFERROR(INDEX('CONTRACT CALC'!$H$13:$H$112,IFERROR(MATCH(TEXT($B$10,"yyyymmdd")&amp;"|"&amp;$E$10&amp;"|22",'EVENT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G39" s="199">
        <f>IF(F39="","",F39*'CONTRACT CALC'!$B$5)</f>
        <v/>
      </c>
      <c r="H39" s="199">
        <f>IF(B39="","",N(E39)+N(G39))</f>
        <v/>
      </c>
      <c r="I39" s="199">
        <f>IF(OR(IFERROR(MATCH(TEXT($B$10,"yyyymmdd")&amp;"|"&amp;$E$10&amp;"|22",'EVENT ASSIGNMENT'!$K$2:$K$101,0),"")="",B39=""),"",IF(COUNTIFS('TIPS DATA'!$A$2:$A$101,$B$10,'TIPS DATA'!$C$2:$C$101,$E$10,'TIPS DATA'!$D$2:$D$101,INDEX('EVENT ASSIGNMENT'!$C$2:$C$101,IFERROR(MATCH(TEXT($B$10,"yyyymmdd")&amp;"|"&amp;$E$10&amp;"|22",'EVENT ASSIGNMENT'!$K$2:$K$101,0),"")))&gt;0,SUMIFS('TIPS DATA'!$H$2:$H$101,'TIPS DATA'!$A$2:$A$101,$B$10,'TIPS DATA'!$C$2:$C$101,$E$10,'TIPS DATA'!$D$2:$D$101,INDEX('EVENT ASSIGNMENT'!$C$2:$C$101,IFERROR(MATCH(TEXT($B$10,"yyyymmdd")&amp;"|"&amp;$E$10&amp;"|22",'EVENT ASSIGNMENT'!$K$2:$K$101,0),""))),SUMIFS('TIPS DATA'!$H$2:$H$101,'TIPS DATA'!$A$2:$A$101,$B$10,'TIPS DATA'!$C$2:$C$101,$E$10,'TIPS DATA'!$E$2:$E$101,INDEX('EVENT ASSIGNMENT'!$D$2:$D$101,IFERROR(MATCH(TEXT($B$10,"yyyymmdd")&amp;"|"&amp;$E$10&amp;"|22",'EVENT ASSIGNMENT'!$K$2:$K$101,0),"")))))</f>
        <v/>
      </c>
    </row>
    <row r="40">
      <c r="A40" s="208">
        <f>IFERROR(MATCH(TEXT($B$10,"yyyymmdd")&amp;"|"&amp;$E$10&amp;"|23",'EVENT ASSIGNMENT'!$K$2:$K$101,0),"")</f>
        <v/>
      </c>
      <c r="B40" s="198">
        <f>IF(IFERROR(MATCH(TEXT($B$10,"yyyymmdd")&amp;"|"&amp;$E$10&amp;"|23",'EVENT ASSIGNMENT'!$K$2:$K$101,0),"")="","",IFERROR(INDEX('EVENT ASSIGNMENT'!$D$2:$D$101,IFERROR(MATCH(TEXT($B$10,"yyyymmdd")&amp;"|"&amp;$E$10&amp;"|23",'EVENT ASSIGNMENT'!$K$2:$K$101,0),"")),""))</f>
        <v/>
      </c>
      <c r="C40" s="199">
        <f>IF(OR(IFERROR(MATCH(TEXT($B$10,"yyyymmdd")&amp;"|"&amp;$E$10&amp;"|23",'EVENT ASSIGNMENT'!$K$2:$K$101,0),"")="",B40=""),"",IFERROR(INDEX('CONTRACT CALC'!$G$13:$G$112,IFERROR(MATCH(TEXT($B$10,"yyyymmdd")&amp;"|"&amp;$E$10&amp;"|23",'EVENT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D40" s="199">
        <f>IF(OR(IFERROR(MATCH(TEXT($B$10,"yyyymmdd")&amp;"|"&amp;$E$10&amp;"|23",'EVENT ASSIGNMENT'!$K$2:$K$101,0),"")="",B40=""),"",IFERROR(INDEX('CONTRACT CALC'!$I$13:$I$112,IFERROR(MATCH(TEXT($B$10,"yyyymmdd")&amp;"|"&amp;$E$10&amp;"|23",'EVENT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E40" s="199">
        <f>IF(D40="","",D40*'CONTRACT CALC'!$B$4)</f>
        <v/>
      </c>
      <c r="F40" s="199">
        <f>IF(OR(IFERROR(MATCH(TEXT($B$10,"yyyymmdd")&amp;"|"&amp;$E$10&amp;"|23",'EVENT ASSIGNMENT'!$K$2:$K$101,0),"")="",B40=""),"",IFERROR(INDEX('CONTRACT CALC'!$H$13:$H$112,IFERROR(MATCH(TEXT($B$10,"yyyymmdd")&amp;"|"&amp;$E$10&amp;"|23",'EVENT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G40" s="199">
        <f>IF(F40="","",F40*'CONTRACT CALC'!$B$5)</f>
        <v/>
      </c>
      <c r="H40" s="199">
        <f>IF(B40="","",N(E40)+N(G40))</f>
        <v/>
      </c>
      <c r="I40" s="199">
        <f>IF(OR(IFERROR(MATCH(TEXT($B$10,"yyyymmdd")&amp;"|"&amp;$E$10&amp;"|23",'EVENT ASSIGNMENT'!$K$2:$K$101,0),"")="",B40=""),"",IF(COUNTIFS('TIPS DATA'!$A$2:$A$101,$B$10,'TIPS DATA'!$C$2:$C$101,$E$10,'TIPS DATA'!$D$2:$D$101,INDEX('EVENT ASSIGNMENT'!$C$2:$C$101,IFERROR(MATCH(TEXT($B$10,"yyyymmdd")&amp;"|"&amp;$E$10&amp;"|23",'EVENT ASSIGNMENT'!$K$2:$K$101,0),"")))&gt;0,SUMIFS('TIPS DATA'!$H$2:$H$101,'TIPS DATA'!$A$2:$A$101,$B$10,'TIPS DATA'!$C$2:$C$101,$E$10,'TIPS DATA'!$D$2:$D$101,INDEX('EVENT ASSIGNMENT'!$C$2:$C$101,IFERROR(MATCH(TEXT($B$10,"yyyymmdd")&amp;"|"&amp;$E$10&amp;"|23",'EVENT ASSIGNMENT'!$K$2:$K$101,0),""))),SUMIFS('TIPS DATA'!$H$2:$H$101,'TIPS DATA'!$A$2:$A$101,$B$10,'TIPS DATA'!$C$2:$C$101,$E$10,'TIPS DATA'!$E$2:$E$101,INDEX('EVENT ASSIGNMENT'!$D$2:$D$101,IFERROR(MATCH(TEXT($B$10,"yyyymmdd")&amp;"|"&amp;$E$10&amp;"|23",'EVENT ASSIGNMENT'!$K$2:$K$101,0),"")))))</f>
        <v/>
      </c>
    </row>
    <row r="41" ht="15" customHeight="1" s="130">
      <c r="A41" s="208">
        <f>IFERROR(MATCH(TEXT($B$10,"yyyymmdd")&amp;"|"&amp;$E$10&amp;"|24",'EVENT ASSIGNMENT'!$K$2:$K$101,0),"")</f>
        <v/>
      </c>
      <c r="B41" s="198">
        <f>IF(IFERROR(MATCH(TEXT($B$10,"yyyymmdd")&amp;"|"&amp;$E$10&amp;"|24",'EVENT ASSIGNMENT'!$K$2:$K$101,0),"")="","",IFERROR(INDEX('EVENT ASSIGNMENT'!$D$2:$D$101,IFERROR(MATCH(TEXT($B$10,"yyyymmdd")&amp;"|"&amp;$E$10&amp;"|24",'EVENT ASSIGNMENT'!$K$2:$K$101,0),"")),""))</f>
        <v/>
      </c>
      <c r="C41" s="199">
        <f>IF(OR(IFERROR(MATCH(TEXT($B$10,"yyyymmdd")&amp;"|"&amp;$E$10&amp;"|24",'EVENT ASSIGNMENT'!$K$2:$K$101,0),"")="",B41=""),"",IFERROR(INDEX('CONTRACT CALC'!$G$13:$G$112,IFERROR(MATCH(TEXT($B$10,"yyyymmdd")&amp;"|"&amp;$E$10&amp;"|24",'EVENT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D41" s="199">
        <f>IF(OR(IFERROR(MATCH(TEXT($B$10,"yyyymmdd")&amp;"|"&amp;$E$10&amp;"|24",'EVENT ASSIGNMENT'!$K$2:$K$101,0),"")="",B41=""),"",IFERROR(INDEX('CONTRACT CALC'!$I$13:$I$112,IFERROR(MATCH(TEXT($B$10,"yyyymmdd")&amp;"|"&amp;$E$10&amp;"|24",'EVENT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E41" s="199">
        <f>IF(D41="","",D41*'CONTRACT CALC'!$B$4)</f>
        <v/>
      </c>
      <c r="F41" s="199">
        <f>IF(OR(IFERROR(MATCH(TEXT($B$10,"yyyymmdd")&amp;"|"&amp;$E$10&amp;"|24",'EVENT ASSIGNMENT'!$K$2:$K$101,0),"")="",B41=""),"",IFERROR(INDEX('CONTRACT CALC'!$H$13:$H$112,IFERROR(MATCH(TEXT($B$10,"yyyymmdd")&amp;"|"&amp;$E$10&amp;"|24",'EVENT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G41" s="199">
        <f>IF(F41="","",F41*'CONTRACT CALC'!$B$5)</f>
        <v/>
      </c>
      <c r="H41" s="199">
        <f>IF(B41="","",N(E41)+N(G41))</f>
        <v/>
      </c>
      <c r="I41" s="199">
        <f>IF(OR(IFERROR(MATCH(TEXT($B$10,"yyyymmdd")&amp;"|"&amp;$E$10&amp;"|24",'EVENT ASSIGNMENT'!$K$2:$K$101,0),"")="",B41=""),"",IF(COUNTIFS('TIPS DATA'!$A$2:$A$101,$B$10,'TIPS DATA'!$C$2:$C$101,$E$10,'TIPS DATA'!$D$2:$D$101,INDEX('EVENT ASSIGNMENT'!$C$2:$C$101,IFERROR(MATCH(TEXT($B$10,"yyyymmdd")&amp;"|"&amp;$E$10&amp;"|24",'EVENT ASSIGNMENT'!$K$2:$K$101,0),"")))&gt;0,SUMIFS('TIPS DATA'!$H$2:$H$101,'TIPS DATA'!$A$2:$A$101,$B$10,'TIPS DATA'!$C$2:$C$101,$E$10,'TIPS DATA'!$D$2:$D$101,INDEX('EVENT ASSIGNMENT'!$C$2:$C$101,IFERROR(MATCH(TEXT($B$10,"yyyymmdd")&amp;"|"&amp;$E$10&amp;"|24",'EVENT ASSIGNMENT'!$K$2:$K$101,0),""))),SUMIFS('TIPS DATA'!$H$2:$H$101,'TIPS DATA'!$A$2:$A$101,$B$10,'TIPS DATA'!$C$2:$C$101,$E$10,'TIPS DATA'!$E$2:$E$101,INDEX('EVENT ASSIGNMENT'!$D$2:$D$101,IFERROR(MATCH(TEXT($B$10,"yyyymmdd")&amp;"|"&amp;$E$10&amp;"|24",'EVENT ASSIGNMENT'!$K$2:$K$101,0),"")))))</f>
        <v/>
      </c>
    </row>
    <row r="42">
      <c r="A42" s="208">
        <f>IFERROR(MATCH(TEXT($B$10,"yyyymmdd")&amp;"|"&amp;$E$10&amp;"|25",'EVENT ASSIGNMENT'!$K$2:$K$101,0),"")</f>
        <v/>
      </c>
      <c r="B42" s="198">
        <f>IF(IFERROR(MATCH(TEXT($B$10,"yyyymmdd")&amp;"|"&amp;$E$10&amp;"|25",'EVENT ASSIGNMENT'!$K$2:$K$101,0),"")="","",IFERROR(INDEX('EVENT ASSIGNMENT'!$D$2:$D$101,IFERROR(MATCH(TEXT($B$10,"yyyymmdd")&amp;"|"&amp;$E$10&amp;"|25",'EVENT ASSIGNMENT'!$K$2:$K$101,0),"")),""))</f>
        <v/>
      </c>
      <c r="C42" s="199">
        <f>IF(OR(IFERROR(MATCH(TEXT($B$10,"yyyymmdd")&amp;"|"&amp;$E$10&amp;"|25",'EVENT ASSIGNMENT'!$K$2:$K$101,0),"")="",B42=""),"",IFERROR(INDEX('CONTRACT CALC'!$G$13:$G$112,IFERROR(MATCH(TEXT($B$10,"yyyymmdd")&amp;"|"&amp;$E$10&amp;"|25",'EVENT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D42" s="199">
        <f>IF(OR(IFERROR(MATCH(TEXT($B$10,"yyyymmdd")&amp;"|"&amp;$E$10&amp;"|25",'EVENT ASSIGNMENT'!$K$2:$K$101,0),"")="",B42=""),"",IFERROR(INDEX('CONTRACT CALC'!$I$13:$I$112,IFERROR(MATCH(TEXT($B$10,"yyyymmdd")&amp;"|"&amp;$E$10&amp;"|25",'EVENT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E42" s="199">
        <f>IF(D42="","",D42*'CONTRACT CALC'!$B$4)</f>
        <v/>
      </c>
      <c r="F42" s="199">
        <f>IF(OR(IFERROR(MATCH(TEXT($B$10,"yyyymmdd")&amp;"|"&amp;$E$10&amp;"|25",'EVENT ASSIGNMENT'!$K$2:$K$101,0),"")="",B42=""),"",IFERROR(INDEX('CONTRACT CALC'!$H$13:$H$112,IFERROR(MATCH(TEXT($B$10,"yyyymmdd")&amp;"|"&amp;$E$10&amp;"|25",'EVENT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G42" s="199">
        <f>IF(F42="","",F42*'CONTRACT CALC'!$B$5)</f>
        <v/>
      </c>
      <c r="H42" s="199">
        <f>IF(B42="","",N(E42)+N(G42))</f>
        <v/>
      </c>
      <c r="I42" s="199">
        <f>IF(OR(IFERROR(MATCH(TEXT($B$10,"yyyymmdd")&amp;"|"&amp;$E$10&amp;"|25",'EVENT ASSIGNMENT'!$K$2:$K$101,0),"")="",B42=""),"",IF(COUNTIFS('TIPS DATA'!$A$2:$A$101,$B$10,'TIPS DATA'!$C$2:$C$101,$E$10,'TIPS DATA'!$D$2:$D$101,INDEX('EVENT ASSIGNMENT'!$C$2:$C$101,IFERROR(MATCH(TEXT($B$10,"yyyymmdd")&amp;"|"&amp;$E$10&amp;"|25",'EVENT ASSIGNMENT'!$K$2:$K$101,0),"")))&gt;0,SUMIFS('TIPS DATA'!$H$2:$H$101,'TIPS DATA'!$A$2:$A$101,$B$10,'TIPS DATA'!$C$2:$C$101,$E$10,'TIPS DATA'!$D$2:$D$101,INDEX('EVENT ASSIGNMENT'!$C$2:$C$101,IFERROR(MATCH(TEXT($B$10,"yyyymmdd")&amp;"|"&amp;$E$10&amp;"|25",'EVENT ASSIGNMENT'!$K$2:$K$101,0),""))),SUMIFS('TIPS DATA'!$H$2:$H$101,'TIPS DATA'!$A$2:$A$101,$B$10,'TIPS DATA'!$C$2:$C$101,$E$10,'TIPS DATA'!$E$2:$E$101,INDEX('EVENT ASSIGNMENT'!$D$2:$D$101,IFERROR(MATCH(TEXT($B$10,"yyyymmdd")&amp;"|"&amp;$E$10&amp;"|25",'EVENT ASSIGNMENT'!$K$2:$K$101,0),"")))))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>
        <f>IFERROR(SUMIFS('SUPPLEMENTAL DATA'!$C$2:$C$101,'SUPPLEMENTAL DATA'!$A$2:$A$101,$B$10,'SUPPLEMENTAL DATA'!$B$2:$B$101,$E$10),0)</f>
        <v/>
      </c>
    </row>
    <row r="47">
      <c r="B47" s="121" t="n"/>
      <c r="G47" s="214" t="inlineStr">
        <is>
          <t>Culinary - Cook Fee</t>
        </is>
      </c>
      <c r="I47" s="215">
        <f>IFERROR(SUMIFS('SUPPLEMENTAL DATA'!$D$2:$D$101,'SUPPLEMENTAL DATA'!$A$2:$A$101,$B$10,'SUPPLEMENTAL DATA'!$B$2:$B$101,$E$10),0)</f>
        <v/>
      </c>
    </row>
    <row r="48">
      <c r="G48" s="214" t="inlineStr">
        <is>
          <t>Minimum Donation</t>
        </is>
      </c>
      <c r="I48" s="215">
        <f>IFERROR(SUMIFS('SUPPLEMENTAL DATA'!$E$2:$E$101,'SUPPLEMENTAL DATA'!$A$2:$A$101,$B$10,'SUPPLEMENTAL DATA'!$B$2:$B$101,$E$10),0)</f>
        <v/>
      </c>
    </row>
    <row r="49">
      <c r="G49" s="214" t="inlineStr">
        <is>
          <t>Bonus (Other)</t>
        </is>
      </c>
      <c r="I49" s="215">
        <f>IFERROR(SUMIFS('SUPPLEMENTAL DATA'!$F$2:$F$101,'SUPPLEMENTAL DATA'!$A$2:$A$101,$B$10,'SUPPLEMENTAL DATA'!$B$2:$B$101,$E$10),0)</f>
        <v/>
      </c>
    </row>
    <row r="50">
      <c r="G50" s="214" t="inlineStr">
        <is>
          <t>Deductible POS Shortages</t>
        </is>
      </c>
      <c r="I50" s="215">
        <f>IFERROR(SUMIFS('SUPPLEMENTAL DATA'!$G$2:$G$101,'SUPPLEMENTAL DATA'!$A$2:$A$101,$B$10,'SUPPLEMENTAL DATA'!$B$2:$B$101,$E$10),0)</f>
        <v/>
      </c>
    </row>
    <row r="51">
      <c r="G51" s="214" t="inlineStr">
        <is>
          <t>Uniform / Staffing / Cleaning Fees</t>
        </is>
      </c>
      <c r="I51" s="215">
        <f>IFERROR(SUMIFS('SUPPLEMENTAL DATA'!$H$2:$H$101,'SUPPLEMENTAL DATA'!$A$2:$A$101,$B$10,'SUPPLEMENTAL DATA'!$B$2:$B$101,$E$10),0)</f>
        <v/>
      </c>
    </row>
    <row r="52">
      <c r="I52" s="216">
        <f>SUM(I46:I51)</f>
        <v/>
      </c>
    </row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40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40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40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40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</sheetData>
  <mergeCells count="17">
    <mergeCell ref="E12:F12"/>
    <mergeCell ref="B55:C55"/>
    <mergeCell ref="E55:G55"/>
    <mergeCell ref="B6:F6"/>
    <mergeCell ref="E10:F10"/>
    <mergeCell ref="G6:H7"/>
    <mergeCell ref="C2:G2"/>
    <mergeCell ref="B16:I16"/>
    <mergeCell ref="B44:H44"/>
    <mergeCell ref="G45:I45"/>
    <mergeCell ref="B5:F5"/>
    <mergeCell ref="G5:H5"/>
    <mergeCell ref="B47:E51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  <c r="J1" s="214" t="inlineStr">
        <is>
          <t>Payee Seq</t>
        </is>
      </c>
      <c r="K1" s="214" t="inlineStr">
        <is>
          <t>Payout Lookup Key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  <c r="J2">
        <f>IF(OR(A2="",F2=""),"",COUNTIFS($A$2:A2,A2,$F$2:F2,F2))</f>
        <v/>
      </c>
      <c r="K2">
        <f>IF(OR(A2="",F2="",J2=""),"",TEXT(A2,"yyyymmdd")&amp;"|"&amp;F2&amp;"|"&amp;J2)</f>
        <v/>
      </c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  <c r="J3">
        <f>IF(OR(A3="",F3=""),"",COUNTIFS($A$2:A3,A3,$F$2:F3,F3))</f>
        <v/>
      </c>
      <c r="K3">
        <f>IF(OR(A3="",F3="",J3=""),"",TEXT(A3,"yyyymmdd")&amp;"|"&amp;F3&amp;"|"&amp;J3)</f>
        <v/>
      </c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  <c r="J4">
        <f>IF(OR(A4="",F4=""),"",COUNTIFS($A$2:A4,A4,$F$2:F4,F4))</f>
        <v/>
      </c>
      <c r="K4">
        <f>IF(OR(A4="",F4="",J4=""),"",TEXT(A4,"yyyymmdd")&amp;"|"&amp;F4&amp;"|"&amp;J4)</f>
        <v/>
      </c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  <c r="J5">
        <f>IF(OR(A5="",F5=""),"",COUNTIFS($A$2:A5,A5,$F$2:F5,F5))</f>
        <v/>
      </c>
      <c r="K5">
        <f>IF(OR(A5="",F5="",J5=""),"",TEXT(A5,"yyyymmdd")&amp;"|"&amp;F5&amp;"|"&amp;J5)</f>
        <v/>
      </c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  <c r="J6">
        <f>IF(OR(A6="",F6=""),"",COUNTIFS($A$2:A6,A6,$F$2:F6,F6))</f>
        <v/>
      </c>
      <c r="K6">
        <f>IF(OR(A6="",F6="",J6=""),"",TEXT(A6,"yyyymmdd")&amp;"|"&amp;F6&amp;"|"&amp;J6)</f>
        <v/>
      </c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  <c r="J7">
        <f>IF(OR(A7="",F7=""),"",COUNTIFS($A$2:A7,A7,$F$2:F7,F7))</f>
        <v/>
      </c>
      <c r="K7">
        <f>IF(OR(A7="",F7="",J7=""),"",TEXT(A7,"yyyymmdd")&amp;"|"&amp;F7&amp;"|"&amp;J7)</f>
        <v/>
      </c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  <c r="J8">
        <f>IF(OR(A8="",F8=""),"",COUNTIFS($A$2:A8,A8,$F$2:F8,F8))</f>
        <v/>
      </c>
      <c r="K8">
        <f>IF(OR(A8="",F8="",J8=""),"",TEXT(A8,"yyyymmdd")&amp;"|"&amp;F8&amp;"|"&amp;J8)</f>
        <v/>
      </c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  <c r="J9">
        <f>IF(OR(A9="",F9=""),"",COUNTIFS($A$2:A9,A9,$F$2:F9,F9))</f>
        <v/>
      </c>
      <c r="K9">
        <f>IF(OR(A9="",F9="",J9=""),"",TEXT(A9,"yyyymmdd")&amp;"|"&amp;F9&amp;"|"&amp;J9)</f>
        <v/>
      </c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  <c r="J10">
        <f>IF(OR(A10="",F10=""),"",COUNTIFS($A$2:A10,A10,$F$2:F10,F10))</f>
        <v/>
      </c>
      <c r="K10">
        <f>IF(OR(A10="",F10="",J10=""),"",TEXT(A10,"yyyymmdd")&amp;"|"&amp;F10&amp;"|"&amp;J10)</f>
        <v/>
      </c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  <c r="J11">
        <f>IF(OR(A11="",F11=""),"",COUNTIFS($A$2:A11,A11,$F$2:F11,F11))</f>
        <v/>
      </c>
      <c r="K11">
        <f>IF(OR(A11="",F11="",J11=""),"",TEXT(A11,"yyyymmdd")&amp;"|"&amp;F11&amp;"|"&amp;J11)</f>
        <v/>
      </c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  <c r="J12">
        <f>IF(OR(A12="",F12=""),"",COUNTIFS($A$2:A12,A12,$F$2:F12,F12))</f>
        <v/>
      </c>
      <c r="K12">
        <f>IF(OR(A12="",F12="",J12=""),"",TEXT(A12,"yyyymmdd")&amp;"|"&amp;F12&amp;"|"&amp;J12)</f>
        <v/>
      </c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  <c r="J13">
        <f>IF(OR(A13="",F13=""),"",COUNTIFS($A$2:A13,A13,$F$2:F13,F13))</f>
        <v/>
      </c>
      <c r="K13">
        <f>IF(OR(A13="",F13="",J13=""),"",TEXT(A13,"yyyymmdd")&amp;"|"&amp;F13&amp;"|"&amp;J13)</f>
        <v/>
      </c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  <c r="J14">
        <f>IF(OR(A14="",F14=""),"",COUNTIFS($A$2:A14,A14,$F$2:F14,F14))</f>
        <v/>
      </c>
      <c r="K14">
        <f>IF(OR(A14="",F14="",J14=""),"",TEXT(A14,"yyyymmdd")&amp;"|"&amp;F14&amp;"|"&amp;J14)</f>
        <v/>
      </c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  <c r="J15">
        <f>IF(OR(A15="",F15=""),"",COUNTIFS($A$2:A15,A15,$F$2:F15,F15))</f>
        <v/>
      </c>
      <c r="K15">
        <f>IF(OR(A15="",F15="",J15=""),"",TEXT(A15,"yyyymmdd")&amp;"|"&amp;F15&amp;"|"&amp;J15)</f>
        <v/>
      </c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  <c r="J16">
        <f>IF(OR(A16="",F16=""),"",COUNTIFS($A$2:A16,A16,$F$2:F16,F16))</f>
        <v/>
      </c>
      <c r="K16">
        <f>IF(OR(A16="",F16="",J16=""),"",TEXT(A16,"yyyymmdd")&amp;"|"&amp;F16&amp;"|"&amp;J16)</f>
        <v/>
      </c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  <c r="J17">
        <f>IF(OR(A17="",F17=""),"",COUNTIFS($A$2:A17,A17,$F$2:F17,F17))</f>
        <v/>
      </c>
      <c r="K17">
        <f>IF(OR(A17="",F17="",J17=""),"",TEXT(A17,"yyyymmdd")&amp;"|"&amp;F17&amp;"|"&amp;J17)</f>
        <v/>
      </c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  <c r="J18">
        <f>IF(OR(A18="",F18=""),"",COUNTIFS($A$2:A18,A18,$F$2:F18,F18))</f>
        <v/>
      </c>
      <c r="K18">
        <f>IF(OR(A18="",F18="",J18=""),"",TEXT(A18,"yyyymmdd")&amp;"|"&amp;F18&amp;"|"&amp;J18)</f>
        <v/>
      </c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  <c r="J19">
        <f>IF(OR(A19="",F19=""),"",COUNTIFS($A$2:A19,A19,$F$2:F19,F19))</f>
        <v/>
      </c>
      <c r="K19">
        <f>IF(OR(A19="",F19="",J19=""),"",TEXT(A19,"yyyymmdd")&amp;"|"&amp;F19&amp;"|"&amp;J19)</f>
        <v/>
      </c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  <c r="J20">
        <f>IF(OR(A20="",F20=""),"",COUNTIFS($A$2:A20,A20,$F$2:F20,F20))</f>
        <v/>
      </c>
      <c r="K20">
        <f>IF(OR(A20="",F20="",J20=""),"",TEXT(A20,"yyyymmdd")&amp;"|"&amp;F20&amp;"|"&amp;J20)</f>
        <v/>
      </c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  <c r="J21">
        <f>IF(OR(A21="",F21=""),"",COUNTIFS($A$2:A21,A21,$F$2:F21,F21))</f>
        <v/>
      </c>
      <c r="K21">
        <f>IF(OR(A21="",F21="",J21=""),"",TEXT(A21,"yyyymmdd")&amp;"|"&amp;F21&amp;"|"&amp;J21)</f>
        <v/>
      </c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  <c r="J22">
        <f>IF(OR(A22="",F22=""),"",COUNTIFS($A$2:A22,A22,$F$2:F22,F22))</f>
        <v/>
      </c>
      <c r="K22">
        <f>IF(OR(A22="",F22="",J22=""),"",TEXT(A22,"yyyymmdd")&amp;"|"&amp;F22&amp;"|"&amp;J22)</f>
        <v/>
      </c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  <c r="J23">
        <f>IF(OR(A23="",F23=""),"",COUNTIFS($A$2:A23,A23,$F$2:F23,F23))</f>
        <v/>
      </c>
      <c r="K23">
        <f>IF(OR(A23="",F23="",J23=""),"",TEXT(A23,"yyyymmdd")&amp;"|"&amp;F23&amp;"|"&amp;J23)</f>
        <v/>
      </c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  <c r="J24">
        <f>IF(OR(A24="",F24=""),"",COUNTIFS($A$2:A24,A24,$F$2:F24,F24))</f>
        <v/>
      </c>
      <c r="K24">
        <f>IF(OR(A24="",F24="",J24=""),"",TEXT(A24,"yyyymmdd")&amp;"|"&amp;F24&amp;"|"&amp;J24)</f>
        <v/>
      </c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  <c r="J25">
        <f>IF(OR(A25="",F25=""),"",COUNTIFS($A$2:A25,A25,$F$2:F25,F25))</f>
        <v/>
      </c>
      <c r="K25">
        <f>IF(OR(A25="",F25="",J25=""),"",TEXT(A25,"yyyymmdd")&amp;"|"&amp;F25&amp;"|"&amp;J25)</f>
        <v/>
      </c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  <c r="J26">
        <f>IF(OR(A26="",F26=""),"",COUNTIFS($A$2:A26,A26,$F$2:F26,F26))</f>
        <v/>
      </c>
      <c r="K26">
        <f>IF(OR(A26="",F26="",J26=""),"",TEXT(A26,"yyyymmdd")&amp;"|"&amp;F26&amp;"|"&amp;J26)</f>
        <v/>
      </c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  <c r="J27">
        <f>IF(OR(A27="",F27=""),"",COUNTIFS($A$2:A27,A27,$F$2:F27,F27))</f>
        <v/>
      </c>
      <c r="K27">
        <f>IF(OR(A27="",F27="",J27=""),"",TEXT(A27,"yyyymmdd")&amp;"|"&amp;F27&amp;"|"&amp;J27)</f>
        <v/>
      </c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  <c r="J28">
        <f>IF(OR(A28="",F28=""),"",COUNTIFS($A$2:A28,A28,$F$2:F28,F28))</f>
        <v/>
      </c>
      <c r="K28">
        <f>IF(OR(A28="",F28="",J28=""),"",TEXT(A28,"yyyymmdd")&amp;"|"&amp;F28&amp;"|"&amp;J28)</f>
        <v/>
      </c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  <c r="J29">
        <f>IF(OR(A29="",F29=""),"",COUNTIFS($A$2:A29,A29,$F$2:F29,F29))</f>
        <v/>
      </c>
      <c r="K29">
        <f>IF(OR(A29="",F29="",J29=""),"",TEXT(A29,"yyyymmdd")&amp;"|"&amp;F29&amp;"|"&amp;J29)</f>
        <v/>
      </c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  <c r="J30">
        <f>IF(OR(A30="",F30=""),"",COUNTIFS($A$2:A30,A30,$F$2:F30,F30))</f>
        <v/>
      </c>
      <c r="K30">
        <f>IF(OR(A30="",F30="",J30=""),"",TEXT(A30,"yyyymmdd")&amp;"|"&amp;F30&amp;"|"&amp;J30)</f>
        <v/>
      </c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  <c r="J31">
        <f>IF(OR(A31="",F31=""),"",COUNTIFS($A$2:A31,A31,$F$2:F31,F31))</f>
        <v/>
      </c>
      <c r="K31">
        <f>IF(OR(A31="",F31="",J31=""),"",TEXT(A31,"yyyymmdd")&amp;"|"&amp;F31&amp;"|"&amp;J31)</f>
        <v/>
      </c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  <c r="J32">
        <f>IF(OR(A32="",F32=""),"",COUNTIFS($A$2:A32,A32,$F$2:F32,F32))</f>
        <v/>
      </c>
      <c r="K32">
        <f>IF(OR(A32="",F32="",J32=""),"",TEXT(A32,"yyyymmdd")&amp;"|"&amp;F32&amp;"|"&amp;J32)</f>
        <v/>
      </c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  <c r="J33">
        <f>IF(OR(A33="",F33=""),"",COUNTIFS($A$2:A33,A33,$F$2:F33,F33))</f>
        <v/>
      </c>
      <c r="K33">
        <f>IF(OR(A33="",F33="",J33=""),"",TEXT(A33,"yyyymmdd")&amp;"|"&amp;F33&amp;"|"&amp;J33)</f>
        <v/>
      </c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  <c r="J34">
        <f>IF(OR(A34="",F34=""),"",COUNTIFS($A$2:A34,A34,$F$2:F34,F34))</f>
        <v/>
      </c>
      <c r="K34">
        <f>IF(OR(A34="",F34="",J34=""),"",TEXT(A34,"yyyymmdd")&amp;"|"&amp;F34&amp;"|"&amp;J34)</f>
        <v/>
      </c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  <c r="J35">
        <f>IF(OR(A35="",F35=""),"",COUNTIFS($A$2:A35,A35,$F$2:F35,F35))</f>
        <v/>
      </c>
      <c r="K35">
        <f>IF(OR(A35="",F35="",J35=""),"",TEXT(A35,"yyyymmdd")&amp;"|"&amp;F35&amp;"|"&amp;J35)</f>
        <v/>
      </c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  <c r="J36">
        <f>IF(OR(A36="",F36=""),"",COUNTIFS($A$2:A36,A36,$F$2:F36,F36))</f>
        <v/>
      </c>
      <c r="K36">
        <f>IF(OR(A36="",F36="",J36=""),"",TEXT(A36,"yyyymmdd")&amp;"|"&amp;F36&amp;"|"&amp;J36)</f>
        <v/>
      </c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  <c r="J37">
        <f>IF(OR(A37="",F37=""),"",COUNTIFS($A$2:A37,A37,$F$2:F37,F37))</f>
        <v/>
      </c>
      <c r="K37">
        <f>IF(OR(A37="",F37="",J37=""),"",TEXT(A37,"yyyymmdd")&amp;"|"&amp;F37&amp;"|"&amp;J37)</f>
        <v/>
      </c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  <c r="J38">
        <f>IF(OR(A38="",F38=""),"",COUNTIFS($A$2:A38,A38,$F$2:F38,F38))</f>
        <v/>
      </c>
      <c r="K38">
        <f>IF(OR(A38="",F38="",J38=""),"",TEXT(A38,"yyyymmdd")&amp;"|"&amp;F38&amp;"|"&amp;J38)</f>
        <v/>
      </c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  <c r="J39">
        <f>IF(OR(A39="",F39=""),"",COUNTIFS($A$2:A39,A39,$F$2:F39,F39))</f>
        <v/>
      </c>
      <c r="K39">
        <f>IF(OR(A39="",F39="",J39=""),"",TEXT(A39,"yyyymmdd")&amp;"|"&amp;F39&amp;"|"&amp;J39)</f>
        <v/>
      </c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  <c r="J40">
        <f>IF(OR(A40="",F40=""),"",COUNTIFS($A$2:A40,A40,$F$2:F40,F40))</f>
        <v/>
      </c>
      <c r="K40">
        <f>IF(OR(A40="",F40="",J40=""),"",TEXT(A40,"yyyymmdd")&amp;"|"&amp;F40&amp;"|"&amp;J40)</f>
        <v/>
      </c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  <c r="J41">
        <f>IF(OR(A41="",F41=""),"",COUNTIFS($A$2:A41,A41,$F$2:F41,F41))</f>
        <v/>
      </c>
      <c r="K41">
        <f>IF(OR(A41="",F41="",J41=""),"",TEXT(A41,"yyyymmdd")&amp;"|"&amp;F41&amp;"|"&amp;J41)</f>
        <v/>
      </c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  <c r="J42">
        <f>IF(OR(A42="",F42=""),"",COUNTIFS($A$2:A42,A42,$F$2:F42,F42))</f>
        <v/>
      </c>
      <c r="K42">
        <f>IF(OR(A42="",F42="",J42=""),"",TEXT(A42,"yyyymmdd")&amp;"|"&amp;F42&amp;"|"&amp;J42)</f>
        <v/>
      </c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  <c r="J43">
        <f>IF(OR(A43="",F43=""),"",COUNTIFS($A$2:A43,A43,$F$2:F43,F43))</f>
        <v/>
      </c>
      <c r="K43">
        <f>IF(OR(A43="",F43="",J43=""),"",TEXT(A43,"yyyymmdd")&amp;"|"&amp;F43&amp;"|"&amp;J43)</f>
        <v/>
      </c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  <c r="J44">
        <f>IF(OR(A44="",F44=""),"",COUNTIFS($A$2:A44,A44,$F$2:F44,F44))</f>
        <v/>
      </c>
      <c r="K44">
        <f>IF(OR(A44="",F44="",J44=""),"",TEXT(A44,"yyyymmdd")&amp;"|"&amp;F44&amp;"|"&amp;J44)</f>
        <v/>
      </c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  <c r="J45">
        <f>IF(OR(A45="",F45=""),"",COUNTIFS($A$2:A45,A45,$F$2:F45,F45))</f>
        <v/>
      </c>
      <c r="K45">
        <f>IF(OR(A45="",F45="",J45=""),"",TEXT(A45,"yyyymmdd")&amp;"|"&amp;F45&amp;"|"&amp;J45)</f>
        <v/>
      </c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  <c r="J46">
        <f>IF(OR(A46="",F46=""),"",COUNTIFS($A$2:A46,A46,$F$2:F46,F46))</f>
        <v/>
      </c>
      <c r="K46">
        <f>IF(OR(A46="",F46="",J46=""),"",TEXT(A46,"yyyymmdd")&amp;"|"&amp;F46&amp;"|"&amp;J46)</f>
        <v/>
      </c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  <c r="J47">
        <f>IF(OR(A47="",F47=""),"",COUNTIFS($A$2:A47,A47,$F$2:F47,F47))</f>
        <v/>
      </c>
      <c r="K47">
        <f>IF(OR(A47="",F47="",J47=""),"",TEXT(A47,"yyyymmdd")&amp;"|"&amp;F47&amp;"|"&amp;J47)</f>
        <v/>
      </c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  <c r="J48">
        <f>IF(OR(A48="",F48=""),"",COUNTIFS($A$2:A48,A48,$F$2:F48,F48))</f>
        <v/>
      </c>
      <c r="K48">
        <f>IF(OR(A48="",F48="",J48=""),"",TEXT(A48,"yyyymmdd")&amp;"|"&amp;F48&amp;"|"&amp;J48)</f>
        <v/>
      </c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  <c r="J49">
        <f>IF(OR(A49="",F49=""),"",COUNTIFS($A$2:A49,A49,$F$2:F49,F49))</f>
        <v/>
      </c>
      <c r="K49">
        <f>IF(OR(A49="",F49="",J49=""),"",TEXT(A49,"yyyymmdd")&amp;"|"&amp;F49&amp;"|"&amp;J49)</f>
        <v/>
      </c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  <c r="J50">
        <f>IF(OR(A50="",F50=""),"",COUNTIFS($A$2:A50,A50,$F$2:F50,F50))</f>
        <v/>
      </c>
      <c r="K50">
        <f>IF(OR(A50="",F50="",J50=""),"",TEXT(A50,"yyyymmdd")&amp;"|"&amp;F50&amp;"|"&amp;J50)</f>
        <v/>
      </c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  <c r="J51">
        <f>IF(OR(A51="",F51=""),"",COUNTIFS($A$2:A51,A51,$F$2:F51,F51))</f>
        <v/>
      </c>
      <c r="K51">
        <f>IF(OR(A51="",F51="",J51=""),"",TEXT(A51,"yyyymmdd")&amp;"|"&amp;F51&amp;"|"&amp;J51)</f>
        <v/>
      </c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  <c r="J52">
        <f>IF(OR(A52="",F52=""),"",COUNTIFS($A$2:A52,A52,$F$2:F52,F52))</f>
        <v/>
      </c>
      <c r="K52">
        <f>IF(OR(A52="",F52="",J52=""),"",TEXT(A52,"yyyymmdd")&amp;"|"&amp;F52&amp;"|"&amp;J52)</f>
        <v/>
      </c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  <c r="J53">
        <f>IF(OR(A53="",F53=""),"",COUNTIFS($A$2:A53,A53,$F$2:F53,F53))</f>
        <v/>
      </c>
      <c r="K53">
        <f>IF(OR(A53="",F53="",J53=""),"",TEXT(A53,"yyyymmdd")&amp;"|"&amp;F53&amp;"|"&amp;J53)</f>
        <v/>
      </c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  <c r="J54">
        <f>IF(OR(A54="",F54=""),"",COUNTIFS($A$2:A54,A54,$F$2:F54,F54))</f>
        <v/>
      </c>
      <c r="K54">
        <f>IF(OR(A54="",F54="",J54=""),"",TEXT(A54,"yyyymmdd")&amp;"|"&amp;F54&amp;"|"&amp;J54)</f>
        <v/>
      </c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  <c r="J55">
        <f>IF(OR(A55="",F55=""),"",COUNTIFS($A$2:A55,A55,$F$2:F55,F55))</f>
        <v/>
      </c>
      <c r="K55">
        <f>IF(OR(A55="",F55="",J55=""),"",TEXT(A55,"yyyymmdd")&amp;"|"&amp;F55&amp;"|"&amp;J55)</f>
        <v/>
      </c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  <c r="J56">
        <f>IF(OR(A56="",F56=""),"",COUNTIFS($A$2:A56,A56,$F$2:F56,F56))</f>
        <v/>
      </c>
      <c r="K56">
        <f>IF(OR(A56="",F56="",J56=""),"",TEXT(A56,"yyyymmdd")&amp;"|"&amp;F56&amp;"|"&amp;J56)</f>
        <v/>
      </c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  <c r="J57">
        <f>IF(OR(A57="",F57=""),"",COUNTIFS($A$2:A57,A57,$F$2:F57,F57))</f>
        <v/>
      </c>
      <c r="K57">
        <f>IF(OR(A57="",F57="",J57=""),"",TEXT(A57,"yyyymmdd")&amp;"|"&amp;F57&amp;"|"&amp;J57)</f>
        <v/>
      </c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  <c r="J58">
        <f>IF(OR(A58="",F58=""),"",COUNTIFS($A$2:A58,A58,$F$2:F58,F58))</f>
        <v/>
      </c>
      <c r="K58">
        <f>IF(OR(A58="",F58="",J58=""),"",TEXT(A58,"yyyymmdd")&amp;"|"&amp;F58&amp;"|"&amp;J58)</f>
        <v/>
      </c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  <c r="J59">
        <f>IF(OR(A59="",F59=""),"",COUNTIFS($A$2:A59,A59,$F$2:F59,F59))</f>
        <v/>
      </c>
      <c r="K59">
        <f>IF(OR(A59="",F59="",J59=""),"",TEXT(A59,"yyyymmdd")&amp;"|"&amp;F59&amp;"|"&amp;J59)</f>
        <v/>
      </c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  <c r="J60">
        <f>IF(OR(A60="",F60=""),"",COUNTIFS($A$2:A60,A60,$F$2:F60,F60))</f>
        <v/>
      </c>
      <c r="K60">
        <f>IF(OR(A60="",F60="",J60=""),"",TEXT(A60,"yyyymmdd")&amp;"|"&amp;F60&amp;"|"&amp;J60)</f>
        <v/>
      </c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  <c r="J61">
        <f>IF(OR(A61="",F61=""),"",COUNTIFS($A$2:A61,A61,$F$2:F61,F61))</f>
        <v/>
      </c>
      <c r="K61">
        <f>IF(OR(A61="",F61="",J61=""),"",TEXT(A61,"yyyymmdd")&amp;"|"&amp;F61&amp;"|"&amp;J61)</f>
        <v/>
      </c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  <c r="J62">
        <f>IF(OR(A62="",F62=""),"",COUNTIFS($A$2:A62,A62,$F$2:F62,F62))</f>
        <v/>
      </c>
      <c r="K62">
        <f>IF(OR(A62="",F62="",J62=""),"",TEXT(A62,"yyyymmdd")&amp;"|"&amp;F62&amp;"|"&amp;J62)</f>
        <v/>
      </c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  <c r="J63">
        <f>IF(OR(A63="",F63=""),"",COUNTIFS($A$2:A63,A63,$F$2:F63,F63))</f>
        <v/>
      </c>
      <c r="K63">
        <f>IF(OR(A63="",F63="",J63=""),"",TEXT(A63,"yyyymmdd")&amp;"|"&amp;F63&amp;"|"&amp;J63)</f>
        <v/>
      </c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  <c r="J64">
        <f>IF(OR(A64="",F64=""),"",COUNTIFS($A$2:A64,A64,$F$2:F64,F64))</f>
        <v/>
      </c>
      <c r="K64">
        <f>IF(OR(A64="",F64="",J64=""),"",TEXT(A64,"yyyymmdd")&amp;"|"&amp;F64&amp;"|"&amp;J64)</f>
        <v/>
      </c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  <c r="J65">
        <f>IF(OR(A65="",F65=""),"",COUNTIFS($A$2:A65,A65,$F$2:F65,F65))</f>
        <v/>
      </c>
      <c r="K65">
        <f>IF(OR(A65="",F65="",J65=""),"",TEXT(A65,"yyyymmdd")&amp;"|"&amp;F65&amp;"|"&amp;J65)</f>
        <v/>
      </c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  <c r="J66">
        <f>IF(OR(A66="",F66=""),"",COUNTIFS($A$2:A66,A66,$F$2:F66,F66))</f>
        <v/>
      </c>
      <c r="K66">
        <f>IF(OR(A66="",F66="",J66=""),"",TEXT(A66,"yyyymmdd")&amp;"|"&amp;F66&amp;"|"&amp;J66)</f>
        <v/>
      </c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  <c r="J67">
        <f>IF(OR(A67="",F67=""),"",COUNTIFS($A$2:A67,A67,$F$2:F67,F67))</f>
        <v/>
      </c>
      <c r="K67">
        <f>IF(OR(A67="",F67="",J67=""),"",TEXT(A67,"yyyymmdd")&amp;"|"&amp;F67&amp;"|"&amp;J67)</f>
        <v/>
      </c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  <c r="J68">
        <f>IF(OR(A68="",F68=""),"",COUNTIFS($A$2:A68,A68,$F$2:F68,F68))</f>
        <v/>
      </c>
      <c r="K68">
        <f>IF(OR(A68="",F68="",J68=""),"",TEXT(A68,"yyyymmdd")&amp;"|"&amp;F68&amp;"|"&amp;J68)</f>
        <v/>
      </c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  <c r="J69">
        <f>IF(OR(A69="",F69=""),"",COUNTIFS($A$2:A69,A69,$F$2:F69,F69))</f>
        <v/>
      </c>
      <c r="K69">
        <f>IF(OR(A69="",F69="",J69=""),"",TEXT(A69,"yyyymmdd")&amp;"|"&amp;F69&amp;"|"&amp;J69)</f>
        <v/>
      </c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  <c r="J70">
        <f>IF(OR(A70="",F70=""),"",COUNTIFS($A$2:A70,A70,$F$2:F70,F70))</f>
        <v/>
      </c>
      <c r="K70">
        <f>IF(OR(A70="",F70="",J70=""),"",TEXT(A70,"yyyymmdd")&amp;"|"&amp;F70&amp;"|"&amp;J70)</f>
        <v/>
      </c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  <c r="J71">
        <f>IF(OR(A71="",F71=""),"",COUNTIFS($A$2:A71,A71,$F$2:F71,F71))</f>
        <v/>
      </c>
      <c r="K71">
        <f>IF(OR(A71="",F71="",J71=""),"",TEXT(A71,"yyyymmdd")&amp;"|"&amp;F71&amp;"|"&amp;J71)</f>
        <v/>
      </c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  <c r="J72">
        <f>IF(OR(A72="",F72=""),"",COUNTIFS($A$2:A72,A72,$F$2:F72,F72))</f>
        <v/>
      </c>
      <c r="K72">
        <f>IF(OR(A72="",F72="",J72=""),"",TEXT(A72,"yyyymmdd")&amp;"|"&amp;F72&amp;"|"&amp;J72)</f>
        <v/>
      </c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  <c r="J73">
        <f>IF(OR(A73="",F73=""),"",COUNTIFS($A$2:A73,A73,$F$2:F73,F73))</f>
        <v/>
      </c>
      <c r="K73">
        <f>IF(OR(A73="",F73="",J73=""),"",TEXT(A73,"yyyymmdd")&amp;"|"&amp;F73&amp;"|"&amp;J73)</f>
        <v/>
      </c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  <c r="J74">
        <f>IF(OR(A74="",F74=""),"",COUNTIFS($A$2:A74,A74,$F$2:F74,F74))</f>
        <v/>
      </c>
      <c r="K74">
        <f>IF(OR(A74="",F74="",J74=""),"",TEXT(A74,"yyyymmdd")&amp;"|"&amp;F74&amp;"|"&amp;J74)</f>
        <v/>
      </c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  <c r="J75">
        <f>IF(OR(A75="",F75=""),"",COUNTIFS($A$2:A75,A75,$F$2:F75,F75))</f>
        <v/>
      </c>
      <c r="K75">
        <f>IF(OR(A75="",F75="",J75=""),"",TEXT(A75,"yyyymmdd")&amp;"|"&amp;F75&amp;"|"&amp;J75)</f>
        <v/>
      </c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  <c r="J76">
        <f>IF(OR(A76="",F76=""),"",COUNTIFS($A$2:A76,A76,$F$2:F76,F76))</f>
        <v/>
      </c>
      <c r="K76">
        <f>IF(OR(A76="",F76="",J76=""),"",TEXT(A76,"yyyymmdd")&amp;"|"&amp;F76&amp;"|"&amp;J76)</f>
        <v/>
      </c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  <c r="J77">
        <f>IF(OR(A77="",F77=""),"",COUNTIFS($A$2:A77,A77,$F$2:F77,F77))</f>
        <v/>
      </c>
      <c r="K77">
        <f>IF(OR(A77="",F77="",J77=""),"",TEXT(A77,"yyyymmdd")&amp;"|"&amp;F77&amp;"|"&amp;J77)</f>
        <v/>
      </c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  <c r="J78">
        <f>IF(OR(A78="",F78=""),"",COUNTIFS($A$2:A78,A78,$F$2:F78,F78))</f>
        <v/>
      </c>
      <c r="K78">
        <f>IF(OR(A78="",F78="",J78=""),"",TEXT(A78,"yyyymmdd")&amp;"|"&amp;F78&amp;"|"&amp;J78)</f>
        <v/>
      </c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  <c r="J79">
        <f>IF(OR(A79="",F79=""),"",COUNTIFS($A$2:A79,A79,$F$2:F79,F79))</f>
        <v/>
      </c>
      <c r="K79">
        <f>IF(OR(A79="",F79="",J79=""),"",TEXT(A79,"yyyymmdd")&amp;"|"&amp;F79&amp;"|"&amp;J79)</f>
        <v/>
      </c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  <c r="J80">
        <f>IF(OR(A80="",F80=""),"",COUNTIFS($A$2:A80,A80,$F$2:F80,F80))</f>
        <v/>
      </c>
      <c r="K80">
        <f>IF(OR(A80="",F80="",J80=""),"",TEXT(A80,"yyyymmdd")&amp;"|"&amp;F80&amp;"|"&amp;J80)</f>
        <v/>
      </c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  <c r="J81">
        <f>IF(OR(A81="",F81=""),"",COUNTIFS($A$2:A81,A81,$F$2:F81,F81))</f>
        <v/>
      </c>
      <c r="K81">
        <f>IF(OR(A81="",F81="",J81=""),"",TEXT(A81,"yyyymmdd")&amp;"|"&amp;F81&amp;"|"&amp;J81)</f>
        <v/>
      </c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  <c r="J82">
        <f>IF(OR(A82="",F82=""),"",COUNTIFS($A$2:A82,A82,$F$2:F82,F82))</f>
        <v/>
      </c>
      <c r="K82">
        <f>IF(OR(A82="",F82="",J82=""),"",TEXT(A82,"yyyymmdd")&amp;"|"&amp;F82&amp;"|"&amp;J82)</f>
        <v/>
      </c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  <c r="J83">
        <f>IF(OR(A83="",F83=""),"",COUNTIFS($A$2:A83,A83,$F$2:F83,F83))</f>
        <v/>
      </c>
      <c r="K83">
        <f>IF(OR(A83="",F83="",J83=""),"",TEXT(A83,"yyyymmdd")&amp;"|"&amp;F83&amp;"|"&amp;J83)</f>
        <v/>
      </c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  <c r="J84">
        <f>IF(OR(A84="",F84=""),"",COUNTIFS($A$2:A84,A84,$F$2:F84,F84))</f>
        <v/>
      </c>
      <c r="K84">
        <f>IF(OR(A84="",F84="",J84=""),"",TEXT(A84,"yyyymmdd")&amp;"|"&amp;F84&amp;"|"&amp;J84)</f>
        <v/>
      </c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  <c r="J85">
        <f>IF(OR(A85="",F85=""),"",COUNTIFS($A$2:A85,A85,$F$2:F85,F85))</f>
        <v/>
      </c>
      <c r="K85">
        <f>IF(OR(A85="",F85="",J85=""),"",TEXT(A85,"yyyymmdd")&amp;"|"&amp;F85&amp;"|"&amp;J85)</f>
        <v/>
      </c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  <c r="J86">
        <f>IF(OR(A86="",F86=""),"",COUNTIFS($A$2:A86,A86,$F$2:F86,F86))</f>
        <v/>
      </c>
      <c r="K86">
        <f>IF(OR(A86="",F86="",J86=""),"",TEXT(A86,"yyyymmdd")&amp;"|"&amp;F86&amp;"|"&amp;J86)</f>
        <v/>
      </c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  <c r="J87">
        <f>IF(OR(A87="",F87=""),"",COUNTIFS($A$2:A87,A87,$F$2:F87,F87))</f>
        <v/>
      </c>
      <c r="K87">
        <f>IF(OR(A87="",F87="",J87=""),"",TEXT(A87,"yyyymmdd")&amp;"|"&amp;F87&amp;"|"&amp;J87)</f>
        <v/>
      </c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  <c r="J88">
        <f>IF(OR(A88="",F88=""),"",COUNTIFS($A$2:A88,A88,$F$2:F88,F88))</f>
        <v/>
      </c>
      <c r="K88">
        <f>IF(OR(A88="",F88="",J88=""),"",TEXT(A88,"yyyymmdd")&amp;"|"&amp;F88&amp;"|"&amp;J88)</f>
        <v/>
      </c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  <c r="J89">
        <f>IF(OR(A89="",F89=""),"",COUNTIFS($A$2:A89,A89,$F$2:F89,F89))</f>
        <v/>
      </c>
      <c r="K89">
        <f>IF(OR(A89="",F89="",J89=""),"",TEXT(A89,"yyyymmdd")&amp;"|"&amp;F89&amp;"|"&amp;J89)</f>
        <v/>
      </c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  <c r="J90">
        <f>IF(OR(A90="",F90=""),"",COUNTIFS($A$2:A90,A90,$F$2:F90,F90))</f>
        <v/>
      </c>
      <c r="K90">
        <f>IF(OR(A90="",F90="",J90=""),"",TEXT(A90,"yyyymmdd")&amp;"|"&amp;F90&amp;"|"&amp;J90)</f>
        <v/>
      </c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  <c r="J91">
        <f>IF(OR(A91="",F91=""),"",COUNTIFS($A$2:A91,A91,$F$2:F91,F91))</f>
        <v/>
      </c>
      <c r="K91">
        <f>IF(OR(A91="",F91="",J91=""),"",TEXT(A91,"yyyymmdd")&amp;"|"&amp;F91&amp;"|"&amp;J91)</f>
        <v/>
      </c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  <c r="J92">
        <f>IF(OR(A92="",F92=""),"",COUNTIFS($A$2:A92,A92,$F$2:F92,F92))</f>
        <v/>
      </c>
      <c r="K92">
        <f>IF(OR(A92="",F92="",J92=""),"",TEXT(A92,"yyyymmdd")&amp;"|"&amp;F92&amp;"|"&amp;J92)</f>
        <v/>
      </c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  <c r="J93">
        <f>IF(OR(A93="",F93=""),"",COUNTIFS($A$2:A93,A93,$F$2:F93,F93))</f>
        <v/>
      </c>
      <c r="K93">
        <f>IF(OR(A93="",F93="",J93=""),"",TEXT(A93,"yyyymmdd")&amp;"|"&amp;F93&amp;"|"&amp;J93)</f>
        <v/>
      </c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  <c r="J94">
        <f>IF(OR(A94="",F94=""),"",COUNTIFS($A$2:A94,A94,$F$2:F94,F94))</f>
        <v/>
      </c>
      <c r="K94">
        <f>IF(OR(A94="",F94="",J94=""),"",TEXT(A94,"yyyymmdd")&amp;"|"&amp;F94&amp;"|"&amp;J94)</f>
        <v/>
      </c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  <c r="J95">
        <f>IF(OR(A95="",F95=""),"",COUNTIFS($A$2:A95,A95,$F$2:F95,F95))</f>
        <v/>
      </c>
      <c r="K95">
        <f>IF(OR(A95="",F95="",J95=""),"",TEXT(A95,"yyyymmdd")&amp;"|"&amp;F95&amp;"|"&amp;J95)</f>
        <v/>
      </c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  <c r="J96">
        <f>IF(OR(A96="",F96=""),"",COUNTIFS($A$2:A96,A96,$F$2:F96,F96))</f>
        <v/>
      </c>
      <c r="K96">
        <f>IF(OR(A96="",F96="",J96=""),"",TEXT(A96,"yyyymmdd")&amp;"|"&amp;F96&amp;"|"&amp;J96)</f>
        <v/>
      </c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  <c r="J97">
        <f>IF(OR(A97="",F97=""),"",COUNTIFS($A$2:A97,A97,$F$2:F97,F97))</f>
        <v/>
      </c>
      <c r="K97">
        <f>IF(OR(A97="",F97="",J97=""),"",TEXT(A97,"yyyymmdd")&amp;"|"&amp;F97&amp;"|"&amp;J97)</f>
        <v/>
      </c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  <c r="J98">
        <f>IF(OR(A98="",F98=""),"",COUNTIFS($A$2:A98,A98,$F$2:F98,F98))</f>
        <v/>
      </c>
      <c r="K98">
        <f>IF(OR(A98="",F98="",J98=""),"",TEXT(A98,"yyyymmdd")&amp;"|"&amp;F98&amp;"|"&amp;J98)</f>
        <v/>
      </c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  <c r="J99">
        <f>IF(OR(A99="",F99=""),"",COUNTIFS($A$2:A99,A99,$F$2:F99,F99))</f>
        <v/>
      </c>
      <c r="K99">
        <f>IF(OR(A99="",F99="",J99=""),"",TEXT(A99,"yyyymmdd")&amp;"|"&amp;F99&amp;"|"&amp;J99)</f>
        <v/>
      </c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  <c r="J100">
        <f>IF(OR(A100="",F100=""),"",COUNTIFS($A$2:A100,A100,$F$2:F100,F100))</f>
        <v/>
      </c>
      <c r="K100">
        <f>IF(OR(A100="",F100="",J100=""),"",TEXT(A100,"yyyymmdd")&amp;"|"&amp;F100&amp;"|"&amp;J100)</f>
        <v/>
      </c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  <c r="J101">
        <f>IF(OR(A101="",F101=""),"",COUNTIFS($A$2:A101,A101,$F$2:F101,F101))</f>
        <v/>
      </c>
      <c r="K101">
        <f>IF(OR(A101="",F101="",J101=""),"",TEXT(A101,"yyyymmdd")&amp;"|"&amp;F101&amp;"|"&amp;J101)</f>
        <v/>
      </c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style="130" min="1" max="1"/>
    <col width="18" customWidth="1" style="130" min="2" max="2"/>
    <col width="14" customWidth="1" style="130" min="3" max="3"/>
    <col width="16" customWidth="1" style="130" min="4" max="4"/>
    <col width="14" customWidth="1" style="130" min="5" max="5"/>
    <col width="14" customWidth="1" style="130" min="6" max="6"/>
    <col width="18" customWidth="1" style="130" min="7" max="7"/>
    <col width="22" customWidth="1" style="130" min="8" max="8"/>
    <col width="40" customWidth="1" style="130" min="9" max="9"/>
  </cols>
  <sheetData>
    <row r="1">
      <c r="A1" s="236" t="inlineStr">
        <is>
          <t>Event Date</t>
        </is>
      </c>
      <c r="B1" s="236" t="inlineStr">
        <is>
          <t>NPO</t>
        </is>
      </c>
      <c r="C1" s="236" t="inlineStr">
        <is>
          <t>Sales Incentive</t>
        </is>
      </c>
      <c r="D1" s="236" t="inlineStr">
        <is>
          <t>Culinary - Cook Fee</t>
        </is>
      </c>
      <c r="E1" s="236" t="inlineStr">
        <is>
          <t>Minimum Donation</t>
        </is>
      </c>
      <c r="F1" s="236" t="inlineStr">
        <is>
          <t>Bonus (Other)</t>
        </is>
      </c>
      <c r="G1" s="236" t="inlineStr">
        <is>
          <t>Deductible POS Shortages</t>
        </is>
      </c>
      <c r="H1" s="236" t="inlineStr">
        <is>
          <t>Uniform / Staffing / Cleaning Fees</t>
        </is>
      </c>
      <c r="I1" s="236" t="inlineStr">
        <is>
          <t>Notes</t>
        </is>
      </c>
    </row>
    <row r="2">
      <c r="A2" s="237" t="n">
        <v>46270</v>
      </c>
      <c r="B2" t="inlineStr">
        <is>
          <t>ARVC</t>
        </is>
      </c>
      <c r="C2" s="238" t="n">
        <v>0</v>
      </c>
      <c r="D2" s="238" t="n">
        <v>0</v>
      </c>
      <c r="E2" s="238" t="n">
        <v>0</v>
      </c>
      <c r="F2" s="238" t="n">
        <v>250</v>
      </c>
      <c r="G2" s="238" t="n">
        <v>0</v>
      </c>
      <c r="H2" s="238" t="n">
        <v>0</v>
      </c>
      <c r="I2" t="inlineStr">
        <is>
          <t>Enter vendor-specific adjustments by Event + Payee. VENDOR PAYOUT reads these; it does not store them.</t>
        </is>
      </c>
    </row>
    <row r="3">
      <c r="A3" s="237" t="n">
        <v>46270</v>
      </c>
      <c r="B3" t="inlineStr">
        <is>
          <t>AIRFORCE</t>
        </is>
      </c>
      <c r="C3" s="238" t="n">
        <v>0</v>
      </c>
      <c r="D3" s="238" t="n">
        <v>0</v>
      </c>
      <c r="E3" s="238" t="n">
        <v>0</v>
      </c>
      <c r="F3" s="238" t="n">
        <v>0</v>
      </c>
      <c r="G3" s="238" t="n">
        <v>0</v>
      </c>
      <c r="H3" s="238" t="n">
        <v>0</v>
      </c>
    </row>
    <row r="4">
      <c r="A4" s="237" t="n">
        <v>46270</v>
      </c>
      <c r="B4" t="inlineStr">
        <is>
          <t>UNITED FIT</t>
        </is>
      </c>
      <c r="C4" s="238" t="n">
        <v>0</v>
      </c>
      <c r="D4" s="238" t="n">
        <v>0</v>
      </c>
      <c r="E4" s="238" t="n">
        <v>0</v>
      </c>
      <c r="F4" s="238" t="n">
        <v>0</v>
      </c>
      <c r="G4" s="238" t="n">
        <v>0</v>
      </c>
      <c r="H4" s="238" t="n">
        <v>0</v>
      </c>
    </row>
    <row r="5">
      <c r="A5" s="237" t="n">
        <v>46270</v>
      </c>
      <c r="B5" t="inlineStr">
        <is>
          <t>DCVA</t>
        </is>
      </c>
      <c r="C5" s="238" t="n">
        <v>0</v>
      </c>
      <c r="D5" s="238" t="n">
        <v>0</v>
      </c>
      <c r="E5" s="238" t="n">
        <v>0</v>
      </c>
      <c r="F5" s="238" t="n">
        <v>0</v>
      </c>
      <c r="G5" s="238" t="n">
        <v>0</v>
      </c>
      <c r="H5" s="238" t="n">
        <v>0</v>
      </c>
    </row>
    <row r="6">
      <c r="A6" s="237" t="n">
        <v>46270</v>
      </c>
      <c r="B6" t="inlineStr">
        <is>
          <t>DEL N CHEER</t>
        </is>
      </c>
      <c r="C6" s="238" t="n">
        <v>0</v>
      </c>
      <c r="D6" s="238" t="n">
        <v>0</v>
      </c>
      <c r="E6" s="238" t="n">
        <v>0</v>
      </c>
      <c r="F6" s="238" t="n">
        <v>0</v>
      </c>
      <c r="G6" s="238" t="n">
        <v>0</v>
      </c>
      <c r="H6" s="238" t="n">
        <v>0</v>
      </c>
    </row>
    <row r="7">
      <c r="A7" s="237" t="n">
        <v>46270</v>
      </c>
      <c r="B7" t="inlineStr">
        <is>
          <t>RIO GRANDE RGHS</t>
        </is>
      </c>
      <c r="C7" s="238" t="n">
        <v>0</v>
      </c>
      <c r="D7" s="238" t="n">
        <v>0</v>
      </c>
      <c r="E7" s="238" t="n">
        <v>0</v>
      </c>
      <c r="F7" s="238" t="n">
        <v>0</v>
      </c>
      <c r="G7" s="238" t="n">
        <v>0</v>
      </c>
      <c r="H7" s="238" t="n">
        <v>0</v>
      </c>
    </row>
    <row r="8">
      <c r="A8" s="237" t="n">
        <v>46270</v>
      </c>
      <c r="B8" t="inlineStr">
        <is>
          <t>VICTORY OUTREACH</t>
        </is>
      </c>
      <c r="C8" s="238" t="n">
        <v>0</v>
      </c>
      <c r="D8" s="238" t="n">
        <v>0</v>
      </c>
      <c r="E8" s="238" t="n">
        <v>0</v>
      </c>
      <c r="F8" s="238" t="n">
        <v>0</v>
      </c>
      <c r="G8" s="238" t="n">
        <v>0</v>
      </c>
      <c r="H8" s="238" t="n">
        <v>0</v>
      </c>
    </row>
  </sheetData>
  <dataValidations count="1">
    <dataValidation sqref="B2:B101" showDropDown="0" showInputMessage="0" showErrorMessage="0" allowBlank="1" type="list">
      <formula1>='SET-UP &amp; SUMMARY'!$A$12:$A$18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2026-09-18T00:51:13Z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