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520" tabRatio="699" firstSheet="0" activeTab="0" autoFilterDateGrouping="1"/>
  </bookViews>
  <sheets>
    <sheet name="SET-UP &amp; SUMMARY" sheetId="1" state="visible" r:id="rId1"/>
    <sheet name="NPO MASTER" sheetId="2" state="visible" r:id="rId2"/>
    <sheet name="VENDOR PAYOUT" sheetId="3" state="visible" r:id="rId3"/>
    <sheet name="MSR RAW" sheetId="4" state="visible" r:id="rId4"/>
    <sheet name="CATEGORY MAP" sheetId="5" state="visible" r:id="rId5"/>
    <sheet name="MSR DATA" sheetId="6" state="visible" r:id="rId6"/>
    <sheet name="CONTRACT CALC" sheetId="7" state="visible" r:id="rId7"/>
    <sheet name="EVENT ASSIGNMENT" sheetId="8" state="visible" r:id="rId8"/>
    <sheet name="TIPS DATA" sheetId="9" state="visible" r:id="rId9"/>
    <sheet name="SUPPLEMENTAL DATA" sheetId="10" state="visible" r:id="rId10"/>
  </sheets>
  <definedNames>
    <definedName name="_xlnm.Print_Area" localSheetId="2">'VENDOR PAYOUT'!$B$2:$I$46</definedName>
    <definedName name="_xlnm._FilterDatabase" localSheetId="3" hidden="1">'MSR RAW'!$A$1:$W$175</definedName>
    <definedName name="_xlnm._FilterDatabase" localSheetId="6" hidden="1">'CONTRACT CALC'!$A$12:$L$112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2">
    <numFmt numFmtId="164" formatCode="dddd"/>
    <numFmt numFmtId="165" formatCode="[$-F800]dddd&quot;, &quot;mmmm\ dd&quot;, &quot;yyyy"/>
    <numFmt numFmtId="166" formatCode="_(\$* #,##0.00_);_(\$* \(#,##0.00\);_(\$* \-??_);_(@_)"/>
    <numFmt numFmtId="167" formatCode="\$#,##0.00"/>
    <numFmt numFmtId="168" formatCode="0.0%"/>
    <numFmt numFmtId="169" formatCode="mm/dd/yyyy"/>
    <numFmt numFmtId="170" formatCode="mmmm\ d\,\ yyyy"/>
    <numFmt numFmtId="171" formatCode="\$#,##0.00;[Red]\(\$#,##0.00\);\-"/>
    <numFmt numFmtId="172" formatCode="&quot;$&quot;#,##0.00_);[Red]\(&quot;$&quot;#,##0.00\)"/>
    <numFmt numFmtId="173" formatCode="\$#,##0.00;\(\$#,##0.00\);\-"/>
    <numFmt numFmtId="174" formatCode="\$#,##0.00;[Red]\($#,##0.00\);\-"/>
    <numFmt numFmtId="175" formatCode="_($* #,##0.00_);_($* (#,##0.00);_($* -??_);_(@_)"/>
  </numFmts>
  <fonts count="57">
    <font>
      <name val="Arial"/>
      <charset val="1"/>
      <sz val="10"/>
    </font>
    <font>
      <name val="Calibri"/>
      <charset val="1"/>
      <family val="2"/>
      <color theme="1"/>
      <sz val="11"/>
    </font>
    <font>
      <name val="Arial"/>
      <charset val="1"/>
      <family val="2"/>
      <sz val="10"/>
    </font>
    <font>
      <name val="Arial"/>
      <charset val="1"/>
      <family val="2"/>
      <b val="1"/>
      <sz val="16"/>
    </font>
    <font>
      <name val="Arial"/>
      <charset val="1"/>
      <family val="2"/>
      <b val="1"/>
      <sz val="11"/>
    </font>
    <font>
      <name val="Arial"/>
      <charset val="1"/>
      <family val="2"/>
      <b val="1"/>
      <sz val="12"/>
    </font>
    <font>
      <name val="Arial"/>
      <charset val="1"/>
      <family val="2"/>
      <sz val="12"/>
    </font>
    <font>
      <name val="Cambria"/>
      <family val="1"/>
      <b val="1"/>
      <sz val="11"/>
    </font>
    <font>
      <name val="Aptos"/>
      <family val="2"/>
      <b val="1"/>
      <color rgb="FF163B5C"/>
      <sz val="24"/>
    </font>
    <font>
      <name val="Aptos"/>
      <family val="2"/>
      <b val="1"/>
      <color rgb="FF163B5C"/>
      <sz val="10"/>
    </font>
    <font>
      <name val="Aptos"/>
      <family val="2"/>
      <b val="1"/>
      <color rgb="FFFFFFFF"/>
      <sz val="8.5"/>
    </font>
    <font>
      <name val="Arial"/>
      <family val="2"/>
      <sz val="12"/>
    </font>
    <font>
      <name val="Aptos"/>
      <family val="2"/>
      <b val="1"/>
      <color rgb="FF5B6573"/>
      <sz val="12"/>
    </font>
    <font>
      <name val="Aptos"/>
      <family val="2"/>
      <b val="1"/>
      <color rgb="FF17365D"/>
      <sz val="12"/>
    </font>
    <font>
      <name val="Aptos"/>
      <family val="2"/>
      <b val="1"/>
      <color rgb="FFE4002B"/>
      <sz val="11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4"/>
    </font>
    <font>
      <name val="Arial"/>
      <family val="2"/>
      <b val="1"/>
      <sz val="10"/>
    </font>
    <font>
      <name val="Aptos"/>
      <family val="2"/>
      <b val="1"/>
      <color rgb="FF5B6573"/>
      <sz val="10"/>
    </font>
    <font>
      <name val="Aptos"/>
      <family val="2"/>
      <b val="1"/>
      <color theme="0" tint="-0.499984740745262"/>
      <sz val="8.5"/>
    </font>
    <font>
      <name val="Aptos"/>
      <family val="2"/>
      <b val="1"/>
      <sz val="10"/>
    </font>
    <font>
      <name val="Aptos"/>
      <family val="2"/>
      <b val="1"/>
      <color rgb="FFFFFFFF"/>
      <sz val="10"/>
    </font>
    <font>
      <name val="Aptos"/>
      <family val="2"/>
      <b val="1"/>
      <color rgb="FF17365D"/>
      <sz val="16"/>
    </font>
    <font>
      <name val="Aptos"/>
      <family val="2"/>
      <b val="1"/>
      <sz val="12"/>
    </font>
    <font>
      <name val="Aptos"/>
      <family val="2"/>
      <i val="1"/>
      <color rgb="FF666666"/>
      <sz val="8"/>
    </font>
    <font>
      <name val="Aptos"/>
      <family val="2"/>
      <b val="1"/>
      <sz val="20"/>
    </font>
    <font>
      <name val="Aptos"/>
      <family val="2"/>
      <b val="1"/>
      <sz val="14"/>
    </font>
    <font>
      <name val="Aptos"/>
      <family val="2"/>
      <b val="1"/>
      <color rgb="FFFFFFFF"/>
      <sz val="7.5"/>
    </font>
    <font>
      <name val="Aptos"/>
      <family val="2"/>
      <sz val="12"/>
    </font>
    <font>
      <name val="Aptos"/>
      <family val="2"/>
      <color rgb="FFAAAAAA"/>
      <sz val="8"/>
    </font>
    <font>
      <name val="Aptos"/>
      <family val="2"/>
      <sz val="8"/>
    </font>
    <font>
      <name val="Aptos"/>
      <family val="2"/>
      <b val="1"/>
      <sz val="8.5"/>
    </font>
    <font>
      <name val="Aptos"/>
      <family val="2"/>
      <b val="1"/>
      <color rgb="FF17365D"/>
      <sz val="12"/>
    </font>
    <font>
      <name val="Aptos"/>
      <family val="2"/>
      <b val="1"/>
      <color rgb="FFFFFFFF"/>
      <sz val="9"/>
    </font>
    <font>
      <name val="Arial"/>
      <family val="2"/>
      <b val="1"/>
      <color rgb="FFFFFFFF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10"/>
    </font>
    <font>
      <name val="Aptos"/>
      <family val="2"/>
      <i val="1"/>
      <sz val="10"/>
    </font>
    <font>
      <name val="Arial Black"/>
      <charset val="1"/>
      <family val="2"/>
      <color theme="0"/>
      <sz val="22"/>
    </font>
    <font>
      <name val="Aptos"/>
      <b val="1"/>
      <color rgb="FFFFFFFF"/>
      <sz val="10"/>
    </font>
    <font>
      <name val="Aptos"/>
      <i val="1"/>
      <color rgb="FF666666"/>
      <sz val="8"/>
    </font>
    <font>
      <name val="Aptos"/>
      <i val="1"/>
      <color rgb="FF17365D"/>
      <sz val="10"/>
    </font>
    <font>
      <name val="Aptos"/>
      <b val="1"/>
      <sz val="11"/>
    </font>
    <font>
      <name val="Aptos"/>
      <b val="1"/>
      <color rgb="FFFFFFFF"/>
      <sz val="9"/>
    </font>
    <font>
      <name val="Aptos"/>
      <b val="1"/>
      <sz val="10"/>
    </font>
    <font>
      <name val="Aptos"/>
      <sz val="12"/>
    </font>
    <font>
      <name val="Aptos"/>
      <color rgb="FF666666"/>
      <sz val="10"/>
    </font>
    <font>
      <name val="Aptos"/>
      <i val="1"/>
      <sz val="8"/>
    </font>
    <font>
      <name val="Aptos"/>
      <b val="1"/>
      <color rgb="FF990000"/>
      <sz val="10"/>
    </font>
    <font>
      <name val="Aptos"/>
      <sz val="11"/>
    </font>
    <font>
      <name val="Aptos"/>
      <b val="1"/>
      <sz val="8.5"/>
    </font>
    <font>
      <name val="Aptos"/>
      <b val="1"/>
      <sz val="12"/>
    </font>
    <font>
      <name val="Arial"/>
      <b val="1"/>
      <color rgb="FFFFFFFF"/>
      <sz val="9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99FFCC"/>
        <bgColor rgb="FF99FF99"/>
      </patternFill>
    </fill>
    <fill>
      <patternFill patternType="solid">
        <fgColor theme="0" tint="-0.1499984740745262"/>
        <bgColor rgb="FFDAE3F3"/>
      </patternFill>
    </fill>
    <fill>
      <patternFill patternType="solid">
        <fgColor theme="7" tint="0.7998901333658864"/>
        <bgColor rgb="FFFFFFCC"/>
      </patternFill>
    </fill>
    <fill>
      <patternFill patternType="solid">
        <fgColor theme="5" tint="0.5998718222602009"/>
        <bgColor rgb="FFD9D9D9"/>
      </patternFill>
    </fill>
    <fill>
      <patternFill patternType="solid">
        <fgColor rgb="FF99FF99"/>
        <bgColor rgb="FF99FFCC"/>
      </patternFill>
    </fill>
    <fill>
      <patternFill patternType="solid">
        <fgColor theme="4" tint="0.7998901333658864"/>
        <bgColor rgb="FFD9D9D9"/>
      </patternFill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F3F5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5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2CC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C9D0D7"/>
      </left>
      <right/>
      <top/>
      <bottom style="thin">
        <color rgb="FFC9D0D7"/>
      </bottom>
      <diagonal/>
    </border>
    <border>
      <left/>
      <right/>
      <top/>
      <bottom/>
      <diagonal/>
    </border>
    <border>
      <left/>
      <right/>
      <top/>
      <bottom style="hair">
        <color rgb="FFD9DEE5"/>
      </bottom>
      <diagonal/>
    </border>
    <border>
      <left/>
      <right/>
      <top/>
      <bottom style="hair">
        <color rgb="FFD9DEE5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D9DEE5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C9D0D7"/>
      </left>
      <right style="thin">
        <color rgb="FFC9D0D7"/>
      </right>
      <top style="thin">
        <color rgb="FFC9D0D7"/>
      </top>
      <bottom/>
      <diagonal/>
    </border>
    <border>
      <left style="thin">
        <color rgb="FFC9D0D7"/>
      </left>
      <right style="thin">
        <color rgb="FFC9D0D7"/>
      </right>
      <top/>
      <bottom style="thin">
        <color rgb="FFC9D0D7"/>
      </bottom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/>
      <top/>
      <bottom style="hair">
        <color rgb="FFD9DEE5"/>
      </bottom>
      <diagonal/>
    </border>
    <border>
      <left/>
      <right style="thin">
        <color rgb="FFC9D0D7"/>
      </right>
      <top style="thin">
        <color rgb="FFC9D0D7"/>
      </top>
      <bottom/>
      <diagonal/>
    </border>
    <border>
      <left/>
      <right style="thin">
        <color rgb="FFC9D0D7"/>
      </right>
      <top/>
      <bottom/>
      <diagonal/>
    </border>
    <border>
      <left/>
      <right style="thin">
        <color rgb="FFC9D0D7"/>
      </right>
      <top/>
      <bottom style="thin">
        <color rgb="FFC9D0D7"/>
      </bottom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rgb="FFD9DEE5"/>
      </top>
      <bottom/>
      <diagonal/>
    </border>
    <border>
      <left style="thin">
        <color rgb="FFC9D0D7"/>
      </left>
      <right/>
      <top/>
      <bottom/>
      <diagonal/>
    </border>
    <border>
      <left/>
      <right/>
      <top style="thin">
        <color rgb="FFC9D0D7"/>
      </top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</border>
    <border/>
    <border>
      <left style="thin">
        <color rgb="FFB0B7C3"/>
      </left>
      <right style="thin">
        <color rgb="FFB0B7C3"/>
      </right>
      <top style="thin">
        <color rgb="FFB0B7C3"/>
      </top>
      <bottom style="medium">
        <color rgb="FF17365D"/>
      </bottom>
    </border>
  </borders>
  <cellStyleXfs count="2">
    <xf numFmtId="0" fontId="0" fillId="0" borderId="25"/>
    <xf numFmtId="0" fontId="1" fillId="0" borderId="25"/>
  </cellStyleXfs>
  <cellXfs count="212">
    <xf numFmtId="0" fontId="0" fillId="0" borderId="0" pivotButton="0" quotePrefix="0" xfId="0"/>
    <xf numFmtId="14" fontId="2" fillId="0" borderId="0" applyAlignment="1" pivotButton="0" quotePrefix="0" xfId="0">
      <alignment horizontal="left"/>
    </xf>
    <xf numFmtId="0" fontId="4" fillId="0" borderId="1" pivotButton="0" quotePrefix="0" xfId="0"/>
    <xf numFmtId="14" fontId="5" fillId="3" borderId="1" applyAlignment="1" applyProtection="1" pivotButton="0" quotePrefix="0" xfId="0">
      <alignment horizontal="left"/>
      <protection locked="0" hidden="0"/>
    </xf>
    <xf numFmtId="14" fontId="5" fillId="0" borderId="0" applyProtection="1" pivotButton="0" quotePrefix="0" xfId="0">
      <protection locked="0" hidden="0"/>
    </xf>
    <xf numFmtId="0" fontId="4" fillId="0" borderId="2" pivotButton="0" quotePrefix="0" xfId="0"/>
    <xf numFmtId="164" fontId="5" fillId="3" borderId="2" applyAlignment="1" pivotButton="0" quotePrefix="0" xfId="0">
      <alignment horizontal="left"/>
    </xf>
    <xf numFmtId="49" fontId="5" fillId="0" borderId="0" applyAlignment="1" applyProtection="1" pivotButton="0" quotePrefix="0" xfId="0">
      <alignment horizontal="right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49" fontId="5" fillId="3" borderId="2" applyAlignment="1" applyProtection="1" pivotButton="0" quotePrefix="0" xfId="0">
      <alignment horizontal="left"/>
      <protection locked="0" hidden="0"/>
    </xf>
    <xf numFmtId="49" fontId="0" fillId="0" borderId="0" applyProtection="1" pivotButton="0" quotePrefix="0" xfId="0">
      <protection locked="0" hidden="0"/>
    </xf>
    <xf numFmtId="0" fontId="2" fillId="0" borderId="0" pivotButton="0" quotePrefix="0" xfId="0"/>
    <xf numFmtId="164" fontId="0" fillId="0" borderId="0" pivotButton="0" quotePrefix="0" xfId="0"/>
    <xf numFmtId="0" fontId="6" fillId="5" borderId="4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5" borderId="5" applyAlignment="1" pivotButton="0" quotePrefix="0" xfId="0">
      <alignment horizontal="left"/>
    </xf>
    <xf numFmtId="0" fontId="6" fillId="4" borderId="6" pivotButton="0" quotePrefix="0" xfId="0"/>
    <xf numFmtId="166" fontId="5" fillId="0" borderId="7" pivotButton="0" quotePrefix="0" xfId="0"/>
    <xf numFmtId="0" fontId="5" fillId="4" borderId="4" applyAlignment="1" pivotButton="0" quotePrefix="0" xfId="0">
      <alignment horizontal="center"/>
    </xf>
    <xf numFmtId="0" fontId="6" fillId="6" borderId="5" applyAlignment="1" pivotButton="0" quotePrefix="0" xfId="0">
      <alignment horizontal="right" vertical="center"/>
    </xf>
    <xf numFmtId="0" fontId="6" fillId="6" borderId="5" pivotButton="0" quotePrefix="0" xfId="0"/>
    <xf numFmtId="0" fontId="6" fillId="7" borderId="5" applyAlignment="1" pivotButton="0" quotePrefix="0" xfId="0">
      <alignment horizontal="right" vertical="center"/>
    </xf>
    <xf numFmtId="0" fontId="6" fillId="7" borderId="5" pivotButton="0" quotePrefix="0" xfId="0"/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/>
    </xf>
    <xf numFmtId="0" fontId="2" fillId="5" borderId="5" applyAlignment="1" pivotButton="0" quotePrefix="0" xfId="0">
      <alignment horizontal="left" vertical="center"/>
    </xf>
    <xf numFmtId="0" fontId="2" fillId="5" borderId="5" applyAlignment="1" pivotButton="0" quotePrefix="0" xfId="0">
      <alignment horizontal="left"/>
    </xf>
    <xf numFmtId="0" fontId="2" fillId="8" borderId="5" applyAlignment="1" pivotButton="0" quotePrefix="0" xfId="0">
      <alignment horizontal="left" vertical="center"/>
    </xf>
    <xf numFmtId="0" fontId="2" fillId="8" borderId="5" applyAlignment="1" pivotButton="0" quotePrefix="0" xfId="0">
      <alignment horizontal="left"/>
    </xf>
    <xf numFmtId="0" fontId="7" fillId="0" borderId="0" pivotButton="0" quotePrefix="0" xfId="0"/>
    <xf numFmtId="0" fontId="0" fillId="0" borderId="0" applyAlignment="1" pivotButton="0" quotePrefix="0" xfId="0">
      <alignment wrapText="1"/>
    </xf>
    <xf numFmtId="167" fontId="0" fillId="0" borderId="0" pivotButton="0" quotePrefix="0" xfId="0"/>
    <xf numFmtId="0" fontId="0" fillId="9" borderId="0" pivotButton="0" quotePrefix="0" xfId="0"/>
    <xf numFmtId="0" fontId="12" fillId="11" borderId="14" applyAlignment="1" pivotButton="0" quotePrefix="0" xfId="0">
      <alignment vertical="center"/>
    </xf>
    <xf numFmtId="0" fontId="12" fillId="11" borderId="14" applyAlignment="1" pivotButton="0" quotePrefix="0" xfId="0">
      <alignment horizontal="left" vertical="center"/>
    </xf>
    <xf numFmtId="0" fontId="13" fillId="0" borderId="15" applyAlignment="1" pivotButton="0" quotePrefix="0" xfId="0">
      <alignment horizontal="left" vertical="center"/>
    </xf>
    <xf numFmtId="0" fontId="11" fillId="0" borderId="15" pivotButton="0" quotePrefix="0" xfId="0"/>
    <xf numFmtId="0" fontId="0" fillId="0" borderId="11" pivotButton="0" quotePrefix="0" xfId="0"/>
    <xf numFmtId="0" fontId="15" fillId="13" borderId="19" applyAlignment="1" pivotButton="0" quotePrefix="0" xfId="0">
      <alignment horizontal="center" vertical="center" wrapText="1"/>
    </xf>
    <xf numFmtId="167" fontId="6" fillId="5" borderId="4" pivotButton="0" quotePrefix="0" xfId="0"/>
    <xf numFmtId="167" fontId="6" fillId="5" borderId="4" applyAlignment="1" pivotButton="0" quotePrefix="0" xfId="0">
      <alignment horizontal="center"/>
    </xf>
    <xf numFmtId="167" fontId="6" fillId="0" borderId="5" pivotButton="0" quotePrefix="0" xfId="0"/>
    <xf numFmtId="167" fontId="6" fillId="0" borderId="5" applyAlignment="1" pivotButton="0" quotePrefix="0" xfId="0">
      <alignment horizontal="center"/>
    </xf>
    <xf numFmtId="167" fontId="6" fillId="5" borderId="5" pivotButton="0" quotePrefix="0" xfId="0"/>
    <xf numFmtId="167" fontId="6" fillId="5" borderId="5" applyAlignment="1" pivotButton="0" quotePrefix="0" xfId="0">
      <alignment horizontal="center"/>
    </xf>
    <xf numFmtId="0" fontId="17" fillId="14" borderId="5" applyAlignment="1" pivotButton="0" quotePrefix="0" xfId="0">
      <alignment horizontal="left"/>
    </xf>
    <xf numFmtId="167" fontId="17" fillId="14" borderId="5" pivotButton="0" quotePrefix="0" xfId="0"/>
    <xf numFmtId="167" fontId="17" fillId="14" borderId="5" applyAlignment="1" pivotButton="0" quotePrefix="0" xfId="0">
      <alignment horizontal="center"/>
    </xf>
    <xf numFmtId="0" fontId="17" fillId="0" borderId="0" pivotButton="0" quotePrefix="0" xfId="0"/>
    <xf numFmtId="168" fontId="0" fillId="0" borderId="0" pivotButton="0" quotePrefix="0" xfId="0"/>
    <xf numFmtId="167" fontId="15" fillId="13" borderId="19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169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7" fontId="7" fillId="0" borderId="0" applyAlignment="1" pivotButton="0" quotePrefix="0" xfId="0">
      <alignment vertical="top" wrapText="1"/>
    </xf>
    <xf numFmtId="168" fontId="7" fillId="0" borderId="0" applyAlignment="1" pivotButton="0" quotePrefix="0" xfId="0">
      <alignment vertical="top" wrapText="1"/>
    </xf>
    <xf numFmtId="169" fontId="0" fillId="0" borderId="11" applyAlignment="1" pivotButton="0" quotePrefix="0" xfId="0">
      <alignment vertical="top" wrapText="1"/>
    </xf>
    <xf numFmtId="0" fontId="17" fillId="14" borderId="0" pivotButton="0" quotePrefix="0" xfId="0"/>
    <xf numFmtId="167" fontId="17" fillId="14" borderId="0" pivotButton="0" quotePrefix="0" xfId="0"/>
    <xf numFmtId="169" fontId="0" fillId="0" borderId="19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168" fontId="0" fillId="0" borderId="19" applyAlignment="1" pivotButton="0" quotePrefix="0" xfId="0">
      <alignment vertical="top" wrapText="1"/>
    </xf>
    <xf numFmtId="169" fontId="0" fillId="0" borderId="0" pivotButton="0" quotePrefix="0" xfId="0"/>
    <xf numFmtId="0" fontId="0" fillId="9" borderId="11" pivotButton="0" quotePrefix="0" xfId="0"/>
    <xf numFmtId="0" fontId="10" fillId="12" borderId="11" applyAlignment="1" pivotButton="0" quotePrefix="0" xfId="0">
      <alignment vertical="center"/>
    </xf>
    <xf numFmtId="0" fontId="18" fillId="0" borderId="13" applyAlignment="1" pivotButton="0" quotePrefix="0" xfId="0">
      <alignment vertical="center"/>
    </xf>
    <xf numFmtId="0" fontId="18" fillId="0" borderId="13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2" fillId="15" borderId="14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170" fontId="23" fillId="17" borderId="15" applyAlignment="1" pivotButton="0" quotePrefix="0" xfId="0">
      <alignment horizontal="left" vertical="center"/>
    </xf>
    <xf numFmtId="0" fontId="24" fillId="9" borderId="0" pivotButton="0" quotePrefix="0" xfId="0"/>
    <xf numFmtId="167" fontId="26" fillId="0" borderId="13" applyAlignment="1" pivotButton="0" quotePrefix="0" xfId="0">
      <alignment horizontal="left" vertical="center"/>
    </xf>
    <xf numFmtId="167" fontId="26" fillId="0" borderId="12" applyAlignment="1" pivotButton="0" quotePrefix="0" xfId="0">
      <alignment horizontal="left" vertical="center"/>
    </xf>
    <xf numFmtId="167" fontId="26" fillId="0" borderId="20" applyAlignment="1" pivotButton="0" quotePrefix="0" xfId="0">
      <alignment horizontal="left" vertical="center"/>
    </xf>
    <xf numFmtId="0" fontId="27" fillId="12" borderId="0" pivotButton="0" quotePrefix="0" xfId="0"/>
    <xf numFmtId="0" fontId="27" fillId="12" borderId="24" applyAlignment="1" pivotButton="0" quotePrefix="0" xfId="0">
      <alignment horizontal="center" vertical="center" wrapText="1"/>
    </xf>
    <xf numFmtId="0" fontId="27" fillId="12" borderId="24" applyAlignment="1" pivotButton="0" quotePrefix="1" xfId="0">
      <alignment horizontal="center" vertical="center" wrapText="1"/>
    </xf>
    <xf numFmtId="0" fontId="29" fillId="9" borderId="25" applyAlignment="1" pivotButton="0" quotePrefix="0" xfId="0">
      <alignment vertical="center"/>
    </xf>
    <xf numFmtId="0" fontId="30" fillId="0" borderId="24" applyAlignment="1" pivotButton="0" quotePrefix="0" xfId="0">
      <alignment vertical="center"/>
    </xf>
    <xf numFmtId="171" fontId="28" fillId="0" borderId="24" applyAlignment="1" pivotButton="0" quotePrefix="0" xfId="0">
      <alignment vertical="center"/>
    </xf>
    <xf numFmtId="0" fontId="29" fillId="0" borderId="25" applyAlignment="1" pivotButton="0" quotePrefix="0" xfId="0">
      <alignment vertical="center"/>
    </xf>
    <xf numFmtId="0" fontId="31" fillId="11" borderId="24" pivotButton="0" quotePrefix="0" xfId="0"/>
    <xf numFmtId="171" fontId="23" fillId="11" borderId="24" pivotButton="0" quotePrefix="0" xfId="0"/>
    <xf numFmtId="0" fontId="20" fillId="0" borderId="0" pivotButton="0" quotePrefix="0" xfId="0"/>
    <xf numFmtId="171" fontId="28" fillId="0" borderId="24" pivotButton="0" quotePrefix="0" xfId="0"/>
    <xf numFmtId="172" fontId="2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166" fontId="37" fillId="0" borderId="0" pivotButton="0" quotePrefix="0" xfId="0"/>
    <xf numFmtId="0" fontId="21" fillId="12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19" fillId="15" borderId="16" applyAlignment="1" pivotButton="0" quotePrefix="0" xfId="0">
      <alignment horizontal="left" vertical="center"/>
    </xf>
    <xf numFmtId="0" fontId="0" fillId="0" borderId="0" pivotButton="0" quotePrefix="0" xfId="0"/>
    <xf numFmtId="173" fontId="25" fillId="10" borderId="18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0" pivotButton="0" quotePrefix="0" xfId="0"/>
    <xf numFmtId="0" fontId="0" fillId="0" borderId="23" pivotButton="0" quotePrefix="0" xfId="0"/>
    <xf numFmtId="0" fontId="8" fillId="9" borderId="11" applyAlignment="1" pivotButton="0" quotePrefix="0" xfId="0">
      <alignment horizontal="left" vertical="center"/>
    </xf>
    <xf numFmtId="0" fontId="13" fillId="11" borderId="11" applyAlignment="1" pivotButton="0" quotePrefix="0" xfId="0">
      <alignment horizontal="left" vertical="center"/>
    </xf>
    <xf numFmtId="0" fontId="23" fillId="10" borderId="1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1" pivotButton="0" quotePrefix="0" xfId="0"/>
    <xf numFmtId="0" fontId="33" fillId="12" borderId="11" pivotButton="0" quotePrefix="0" xfId="0"/>
    <xf numFmtId="0" fontId="34" fillId="12" borderId="11" pivotButton="0" quotePrefix="0" xfId="0"/>
    <xf numFmtId="0" fontId="23" fillId="17" borderId="15" applyAlignment="1" pivotButton="0" quotePrefix="0" xfId="0">
      <alignment horizontal="left" vertical="center"/>
    </xf>
    <xf numFmtId="0" fontId="0" fillId="0" borderId="15" pivotButton="0" quotePrefix="0" xfId="0"/>
    <xf numFmtId="0" fontId="24" fillId="0" borderId="11" pivotButton="0" quotePrefix="0" xfId="0"/>
    <xf numFmtId="0" fontId="32" fillId="11" borderId="11" pivotButton="0" quotePrefix="0" xfId="0"/>
    <xf numFmtId="0" fontId="22" fillId="9" borderId="11" applyAlignment="1" pivotButton="0" quotePrefix="0" xfId="0">
      <alignment horizontal="left" vertical="center"/>
    </xf>
    <xf numFmtId="0" fontId="12" fillId="11" borderId="14" applyAlignment="1" pivotButton="0" quotePrefix="0" xfId="0">
      <alignment horizontal="left" vertical="center"/>
    </xf>
    <xf numFmtId="0" fontId="0" fillId="0" borderId="14" pivotButton="0" quotePrefix="0" xfId="0"/>
    <xf numFmtId="0" fontId="23" fillId="11" borderId="14" applyAlignment="1" pivotButton="0" quotePrefix="0" xfId="0">
      <alignment horizontal="left" vertical="center"/>
    </xf>
    <xf numFmtId="0" fontId="20" fillId="0" borderId="11" pivotButton="0" quotePrefix="0" xfId="0"/>
    <xf numFmtId="0" fontId="14" fillId="9" borderId="11" applyAlignment="1" pivotButton="0" quotePrefix="0" xfId="0">
      <alignment horizontal="left" vertical="center"/>
    </xf>
    <xf numFmtId="0" fontId="3" fillId="2" borderId="11" applyAlignment="1" pivotButton="0" quotePrefix="0" xfId="0">
      <alignment horizontal="left"/>
    </xf>
    <xf numFmtId="0" fontId="17" fillId="2" borderId="3" applyAlignment="1" pivotButton="0" quotePrefix="0" xfId="0">
      <alignment horizontal="left"/>
    </xf>
    <xf numFmtId="0" fontId="3" fillId="2" borderId="8" applyAlignment="1" pivotButton="0" quotePrefix="0" xfId="0">
      <alignment horizontal="left"/>
    </xf>
    <xf numFmtId="0" fontId="16" fillId="13" borderId="11" pivotButton="0" quotePrefix="0" xfId="0"/>
    <xf numFmtId="49" fontId="9" fillId="9" borderId="11" applyAlignment="1" pivotButton="0" quotePrefix="0" xfId="0">
      <alignment horizontal="left" vertical="center"/>
    </xf>
    <xf numFmtId="0" fontId="38" fillId="0" borderId="1" pivotButton="0" quotePrefix="0" xfId="0"/>
    <xf numFmtId="14" fontId="0" fillId="0" borderId="0" pivotButton="0" quotePrefix="0" xfId="0"/>
    <xf numFmtId="0" fontId="0" fillId="0" borderId="0" pivotButton="0" quotePrefix="0" xfId="0"/>
    <xf numFmtId="0" fontId="27" fillId="16" borderId="24" applyAlignment="1" pivotButton="0" quotePrefix="0" xfId="0">
      <alignment horizontal="center" vertical="center" wrapText="1"/>
    </xf>
    <xf numFmtId="0" fontId="39" fillId="16" borderId="11" applyAlignment="1" pivotButton="0" quotePrefix="0" xfId="0">
      <alignment horizontal="center"/>
    </xf>
    <xf numFmtId="0" fontId="15" fillId="16" borderId="19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39" fillId="16" borderId="25" applyAlignment="1" pivotButton="0" quotePrefix="0" xfId="0">
      <alignment horizontal="center"/>
    </xf>
    <xf numFmtId="0" fontId="3" fillId="2" borderId="25" applyAlignment="1" pivotButton="0" quotePrefix="0" xfId="0">
      <alignment horizontal="left"/>
    </xf>
    <xf numFmtId="0" fontId="0" fillId="0" borderId="3" pivotButton="0" quotePrefix="0" xfId="0"/>
    <xf numFmtId="0" fontId="41" fillId="0" borderId="27" applyAlignment="1" pivotButton="0" quotePrefix="0" xfId="0">
      <alignment wrapText="1"/>
    </xf>
    <xf numFmtId="0" fontId="0" fillId="0" borderId="9" pivotButton="0" quotePrefix="0" xfId="0"/>
    <xf numFmtId="0" fontId="0" fillId="0" borderId="1" pivotButton="0" quotePrefix="0" xfId="0"/>
    <xf numFmtId="0" fontId="0" fillId="0" borderId="8" pivotButton="0" quotePrefix="0" xfId="0"/>
    <xf numFmtId="0" fontId="40" fillId="12" borderId="0" applyAlignment="1" pivotButton="0" quotePrefix="0" xfId="0">
      <alignment vertical="center" wrapText="1"/>
    </xf>
    <xf numFmtId="0" fontId="41" fillId="0" borderId="0" applyAlignment="1" pivotButton="0" quotePrefix="0" xfId="0">
      <alignment wrapText="1"/>
    </xf>
    <xf numFmtId="0" fontId="8" fillId="9" borderId="25" applyAlignment="1" pivotButton="0" quotePrefix="0" xfId="0">
      <alignment horizontal="left" vertical="center"/>
    </xf>
    <xf numFmtId="0" fontId="14" fillId="9" borderId="25" applyAlignment="1" pivotButton="0" quotePrefix="0" xfId="0">
      <alignment horizontal="left" vertical="center"/>
    </xf>
    <xf numFmtId="0" fontId="22" fillId="9" borderId="25" applyAlignment="1" pivotButton="0" quotePrefix="0" xfId="0">
      <alignment horizontal="left" vertical="center"/>
    </xf>
    <xf numFmtId="49" fontId="9" fillId="9" borderId="25" applyAlignment="1" pivotButton="0" quotePrefix="0" xfId="0">
      <alignment horizontal="left" vertical="center"/>
    </xf>
    <xf numFmtId="173" fontId="25" fillId="10" borderId="18" applyAlignment="1" pivotButton="0" quotePrefix="0" xfId="0">
      <alignment horizontal="center" vertical="center"/>
    </xf>
    <xf numFmtId="0" fontId="42" fillId="9" borderId="0" pivotButton="0" quotePrefix="0" xfId="0"/>
    <xf numFmtId="170" fontId="23" fillId="17" borderId="15" applyAlignment="1" pivotButton="0" quotePrefix="0" xfId="0">
      <alignment horizontal="left" vertical="center"/>
    </xf>
    <xf numFmtId="0" fontId="43" fillId="11" borderId="15" applyAlignment="1" pivotButton="0" quotePrefix="0" xfId="0">
      <alignment horizontal="left" vertical="center"/>
    </xf>
    <xf numFmtId="0" fontId="41" fillId="9" borderId="0" applyAlignment="1" pivotButton="0" quotePrefix="0" xfId="0">
      <alignment wrapText="1"/>
    </xf>
    <xf numFmtId="0" fontId="13" fillId="11" borderId="25" applyAlignment="1" pivotButton="0" quotePrefix="0" xfId="0">
      <alignment horizontal="left" vertical="center"/>
    </xf>
    <xf numFmtId="171" fontId="28" fillId="0" borderId="24" applyAlignment="1" pivotButton="0" quotePrefix="0" xfId="0">
      <alignment vertical="center"/>
    </xf>
    <xf numFmtId="171" fontId="23" fillId="11" borderId="24" pivotButton="0" quotePrefix="0" xfId="0"/>
    <xf numFmtId="0" fontId="24" fillId="0" borderId="25" pivotButton="0" quotePrefix="0" xfId="0"/>
    <xf numFmtId="0" fontId="44" fillId="12" borderId="25" applyAlignment="1" pivotButton="0" quotePrefix="0" xfId="0">
      <alignment horizontal="center" vertical="center" wrapText="1"/>
    </xf>
    <xf numFmtId="0" fontId="44" fillId="12" borderId="0" applyAlignment="1" pivotButton="0" quotePrefix="0" xfId="0">
      <alignment horizontal="center" vertical="center" wrapText="1"/>
    </xf>
    <xf numFmtId="0" fontId="44" fillId="12" borderId="25" pivotButton="0" quotePrefix="0" xfId="0"/>
    <xf numFmtId="0" fontId="45" fillId="0" borderId="0" pivotButton="0" quotePrefix="0" xfId="0"/>
    <xf numFmtId="174" fontId="46" fillId="17" borderId="31" pivotButton="0" quotePrefix="0" xfId="0"/>
    <xf numFmtId="174" fontId="47" fillId="11" borderId="31" pivotButton="0" quotePrefix="0" xfId="0"/>
    <xf numFmtId="0" fontId="0" fillId="17" borderId="25" applyAlignment="1" pivotButton="0" quotePrefix="0" xfId="0">
      <alignment vertical="top" wrapText="1"/>
    </xf>
    <xf numFmtId="0" fontId="48" fillId="0" borderId="0" pivotButton="0" quotePrefix="0" xfId="0"/>
    <xf numFmtId="174" fontId="23" fillId="0" borderId="0" pivotButton="0" quotePrefix="0" xfId="0"/>
    <xf numFmtId="0" fontId="33" fillId="12" borderId="25" pivotButton="0" quotePrefix="0" xfId="0"/>
    <xf numFmtId="0" fontId="34" fillId="12" borderId="25" pivotButton="0" quotePrefix="0" xfId="0"/>
    <xf numFmtId="0" fontId="49" fillId="0" borderId="0" pivotButton="0" quotePrefix="0" xfId="0"/>
    <xf numFmtId="0" fontId="16" fillId="13" borderId="25" pivotButton="0" quotePrefix="0" xfId="0"/>
    <xf numFmtId="0" fontId="0" fillId="0" borderId="25" pivotButton="0" quotePrefix="0" xfId="0"/>
    <xf numFmtId="168" fontId="0" fillId="0" borderId="0" pivotButton="0" quotePrefix="0" xfId="0"/>
    <xf numFmtId="169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169" fontId="7" fillId="0" borderId="0" applyAlignment="1" pivotButton="0" quotePrefix="0" xfId="0">
      <alignment vertical="top" wrapText="1"/>
    </xf>
    <xf numFmtId="168" fontId="7" fillId="0" borderId="0" applyAlignment="1" pivotButton="0" quotePrefix="0" xfId="0">
      <alignment vertical="top" wrapText="1"/>
    </xf>
    <xf numFmtId="169" fontId="0" fillId="0" borderId="11" applyAlignment="1" pivotButton="0" quotePrefix="0" xfId="0">
      <alignment vertical="top" wrapText="1"/>
    </xf>
    <xf numFmtId="169" fontId="0" fillId="0" borderId="19" applyAlignment="1" pivotButton="0" quotePrefix="0" xfId="0">
      <alignment vertical="top" wrapText="1"/>
    </xf>
    <xf numFmtId="168" fontId="0" fillId="0" borderId="19" applyAlignment="1" pivotButton="0" quotePrefix="0" xfId="0">
      <alignment vertical="top" wrapText="1"/>
    </xf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0" fontId="30" fillId="0" borderId="31" applyAlignment="1" pivotButton="0" quotePrefix="0" xfId="0">
      <alignment vertical="center"/>
    </xf>
    <xf numFmtId="171" fontId="28" fillId="0" borderId="31" applyAlignment="1" pivotButton="0" quotePrefix="0" xfId="0">
      <alignment vertical="center"/>
    </xf>
    <xf numFmtId="0" fontId="50" fillId="0" borderId="32" applyAlignment="1" pivotButton="0" quotePrefix="0" xfId="0">
      <alignment vertical="center"/>
    </xf>
    <xf numFmtId="0" fontId="51" fillId="11" borderId="33" applyAlignment="1" pivotButton="0" quotePrefix="0" xfId="0">
      <alignment vertical="center"/>
    </xf>
    <xf numFmtId="174" fontId="52" fillId="11" borderId="33" applyAlignment="1" pivotButton="0" quotePrefix="0" xfId="0">
      <alignment vertical="center"/>
    </xf>
    <xf numFmtId="0" fontId="50" fillId="0" borderId="32" pivotButton="0" quotePrefix="0" xfId="0"/>
    <xf numFmtId="0" fontId="41" fillId="0" borderId="32" applyAlignment="1" pivotButton="0" quotePrefix="0" xfId="0">
      <alignment vertical="center"/>
    </xf>
    <xf numFmtId="171" fontId="50" fillId="0" borderId="32" applyAlignment="1" pivotButton="0" quotePrefix="0" xfId="0">
      <alignment vertical="center"/>
    </xf>
    <xf numFmtId="171" fontId="44" fillId="12" borderId="32" applyAlignment="1" pivotButton="0" quotePrefix="0" xfId="0">
      <alignment horizontal="center" vertical="center" wrapText="1"/>
    </xf>
    <xf numFmtId="0" fontId="44" fillId="12" borderId="32" applyAlignment="1" pivotButton="0" quotePrefix="0" xfId="0">
      <alignment vertical="center"/>
    </xf>
    <xf numFmtId="171" fontId="45" fillId="0" borderId="32" applyAlignment="1" pivotButton="0" quotePrefix="0" xfId="0">
      <alignment vertical="center"/>
    </xf>
    <xf numFmtId="174" fontId="46" fillId="17" borderId="31" applyAlignment="1" pivotButton="0" quotePrefix="0" xfId="0">
      <alignment vertical="center"/>
    </xf>
    <xf numFmtId="174" fontId="47" fillId="11" borderId="31" applyAlignment="1" pivotButton="0" quotePrefix="0" xfId="0">
      <alignment vertical="center"/>
    </xf>
    <xf numFmtId="0" fontId="50" fillId="17" borderId="32" applyAlignment="1" pivotButton="0" quotePrefix="0" xfId="0">
      <alignment vertical="top" wrapText="1"/>
    </xf>
    <xf numFmtId="171" fontId="50" fillId="0" borderId="32" pivotButton="0" quotePrefix="0" xfId="0"/>
    <xf numFmtId="171" fontId="45" fillId="0" borderId="32" pivotButton="0" quotePrefix="0" xfId="0"/>
    <xf numFmtId="0" fontId="45" fillId="0" borderId="32" pivotButton="0" quotePrefix="0" xfId="0"/>
    <xf numFmtId="0" fontId="45" fillId="0" borderId="32" applyAlignment="1" pivotButton="0" quotePrefix="0" xfId="0">
      <alignment horizontal="center" vertical="center" wrapText="1"/>
    </xf>
    <xf numFmtId="174" fontId="46" fillId="17" borderId="31" applyAlignment="1" pivotButton="0" quotePrefix="0" xfId="0">
      <alignment horizontal="center" vertical="center" wrapText="1"/>
    </xf>
    <xf numFmtId="174" fontId="47" fillId="11" borderId="31" applyAlignment="1" pivotButton="0" quotePrefix="0" xfId="0">
      <alignment horizontal="center" vertical="center" wrapText="1"/>
    </xf>
    <xf numFmtId="0" fontId="50" fillId="0" borderId="32" applyAlignment="1" pivotButton="0" quotePrefix="0" xfId="0">
      <alignment vertical="top" wrapText="1"/>
    </xf>
    <xf numFmtId="174" fontId="48" fillId="0" borderId="32" pivotButton="0" quotePrefix="0" xfId="0"/>
    <xf numFmtId="174" fontId="52" fillId="0" borderId="32" pivotButton="0" quotePrefix="0" xfId="0"/>
    <xf numFmtId="0" fontId="41" fillId="0" borderId="32" applyAlignment="1" pivotButton="0" quotePrefix="0" xfId="0">
      <alignment wrapText="1"/>
    </xf>
    <xf numFmtId="174" fontId="50" fillId="0" borderId="32" pivotButton="0" quotePrefix="0" xfId="0"/>
    <xf numFmtId="0" fontId="44" fillId="12" borderId="32" pivotButton="0" quotePrefix="0" xfId="0"/>
    <xf numFmtId="0" fontId="53" fillId="12" borderId="32" pivotButton="0" quotePrefix="0" xfId="0"/>
    <xf numFmtId="0" fontId="54" fillId="0" borderId="32" pivotButton="0" quotePrefix="0" xfId="0"/>
    <xf numFmtId="0" fontId="55" fillId="0" borderId="32" pivotButton="0" quotePrefix="0" xfId="0"/>
    <xf numFmtId="175" fontId="56" fillId="0" borderId="32" pivotButton="0" quotePrefix="0" xfId="0"/>
    <xf numFmtId="0" fontId="45" fillId="0" borderId="32" applyAlignment="1" pivotButton="0" quotePrefix="0" xfId="0">
      <alignment wrapText="1"/>
    </xf>
    <xf numFmtId="14" fontId="50" fillId="0" borderId="32" pivotButton="0" quotePrefix="0" xfId="0"/>
    <xf numFmtId="166" fontId="50" fillId="0" borderId="32" pivotButton="0" quotePrefix="0" xfId="0"/>
  </cellXfs>
  <cellStyles count="2">
    <cellStyle name="Normal" xfId="0" builtinId="0"/>
    <cellStyle name="Normal 2" xfId="1"/>
  </cellStyles>
  <tableStyles count="1" defaultTableStyle="TableStyleMedium2" defaultPivotStyle="PivotStyleLight16">
    <tableStyle name="Invisible" pivot="0" table="0" count="0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4002B"/>
      <rgbColor rgb="FF008000"/>
      <rgbColor rgb="FF000080"/>
      <rgbColor rgb="FF808000"/>
      <rgbColor rgb="FF800080"/>
      <rgbColor rgb="FF008080"/>
      <rgbColor rgb="FF99FF99"/>
      <rgbColor rgb="FF808080"/>
      <rgbColor rgb="FF9999FF"/>
      <rgbColor rgb="FF993366"/>
      <rgbColor rgb="FFFFFFCC"/>
      <rgbColor rgb="FFDAE3F3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FFCC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CategoryMap" displayName="CategoryMap" ref="A1:C9" headerRowCount="1" totalsRowShown="0">
  <autoFilter ref="A1:C9"/>
  <tableColumns count="3">
    <tableColumn id="1" name="MyVenue Product Code"/>
    <tableColumn id="2" name="Contract Class"/>
    <tableColumn id="3" name="Description / Rul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MSRData" displayName="MSRData" ref="A1:I1000" headerRowCount="1" totalsRowShown="0">
  <autoFilter ref="A1:I1000"/>
  <tableColumns count="9">
    <tableColumn id="1" name="Raw Row"/>
    <tableColumn id="2" name="Event"/>
    <tableColumn id="3" name="Department"/>
    <tableColumn id="4" name="Location"/>
    <tableColumn id="5" name="Product Code"/>
    <tableColumn id="6" name="Product Name"/>
    <tableColumn id="7" name="Contract Class"/>
    <tableColumn id="8" name="Gross Amt"/>
    <tableColumn id="9" name="Ne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EventAssignment" displayName="EventAssignment" ref="A1:I101" headerRowCount="1">
  <autoFilter ref="A1:I101"/>
  <tableColumns count="9">
    <tableColumn id="1" name="Event Date"/>
    <tableColumn id="2" name="Event Description"/>
    <tableColumn id="3" name="Location ID"/>
    <tableColumn id="4" name="Location Description"/>
    <tableColumn id="5" name="MSR Location"/>
    <tableColumn id="6" name="NPO"/>
    <tableColumn id="7" name="Allocation %"/>
    <tableColumn id="8" name="Assignment Status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psData" displayName="TipsData" ref="A1:J101" headerRowCount="1">
  <autoFilter ref="A1:J101"/>
  <tableColumns count="10">
    <tableColumn id="1" name="Event Date"/>
    <tableColumn id="2" name="Event Description"/>
    <tableColumn id="3" name="NPO"/>
    <tableColumn id="4" name="Location ID"/>
    <tableColumn id="5" name="Location Description"/>
    <tableColumn id="6" name="Gross Tips"/>
    <tableColumn id="7" name="Allocation %"/>
    <tableColumn id="8" name="Allocated Tips"/>
    <tableColumn id="9" name="Source"/>
    <tableColumn id="10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FF6B7280"/>
    <outlinePr summaryBelow="1" summaryRight="1"/>
    <pageSetUpPr fitToPage="1"/>
  </sheetPr>
  <dimension ref="A1:E80"/>
  <sheetViews>
    <sheetView showGridLines="0" tabSelected="1" zoomScaleNormal="100" workbookViewId="0">
      <selection activeCell="I28" sqref="I28"/>
    </sheetView>
  </sheetViews>
  <sheetFormatPr baseColWidth="8" defaultColWidth="8.7109375" defaultRowHeight="12.75" customHeight="1"/>
  <cols>
    <col width="21" customWidth="1" style="126" min="1" max="1"/>
    <col width="29.140625" customWidth="1" style="126" min="2" max="2"/>
    <col width="23" customWidth="1" style="126" min="3" max="3"/>
    <col width="22.5703125" customWidth="1" style="126" min="4" max="4"/>
    <col width="16.140625" customWidth="1" style="126" min="5" max="5"/>
    <col width="15.85546875" customWidth="1" style="126" min="6" max="6"/>
    <col width="15.42578125" customWidth="1" style="126" min="7" max="8"/>
  </cols>
  <sheetData>
    <row r="1" ht="33.75" customHeight="1" s="126">
      <c r="A1" s="132" t="inlineStr">
        <is>
          <t>SUMMARY - NPO PAYOUT - AP</t>
        </is>
      </c>
    </row>
    <row r="2" ht="12.75" customHeight="1" s="126">
      <c r="A2" s="1" t="n"/>
    </row>
    <row r="3" ht="20.25" customHeight="1" s="126">
      <c r="A3" s="133" t="inlineStr">
        <is>
          <t>PAYOUT EVENT DETAILS - SETUP</t>
        </is>
      </c>
    </row>
    <row r="4" ht="15.75" customHeight="1" s="126">
      <c r="A4" s="2" t="inlineStr">
        <is>
          <t>Event Date:</t>
        </is>
      </c>
      <c r="B4" s="3" t="n">
        <v>46270</v>
      </c>
      <c r="C4" s="4" t="n"/>
      <c r="D4" s="4" t="n"/>
    </row>
    <row r="5" ht="15.75" customHeight="1" s="126">
      <c r="A5" s="5" t="inlineStr">
        <is>
          <t>Event Day of  Week:</t>
        </is>
      </c>
      <c r="B5" s="6">
        <f>B4</f>
        <v/>
      </c>
      <c r="C5" s="7" t="n"/>
      <c r="D5" s="8" t="n"/>
    </row>
    <row r="6" ht="15.75" customHeight="1" s="126">
      <c r="A6" s="5" t="inlineStr">
        <is>
          <t>Event Description:</t>
        </is>
      </c>
      <c r="B6" s="9" t="inlineStr">
        <is>
          <t>Football</t>
        </is>
      </c>
      <c r="C6" s="10" t="n"/>
      <c r="D6" s="10" t="n"/>
    </row>
    <row r="7" ht="12.75" customHeight="1" s="126">
      <c r="A7" s="11" t="n"/>
      <c r="D7" s="12" t="n"/>
    </row>
    <row r="8" ht="12.75" customHeight="1" s="126">
      <c r="A8" s="11" t="n"/>
    </row>
    <row r="9" ht="12.75" customHeight="1" s="126">
      <c r="A9" s="11" t="n"/>
    </row>
    <row r="10" ht="21" customHeight="1" s="126" thickBot="1">
      <c r="A10" s="120" t="inlineStr">
        <is>
          <t>SUMMARY REPORT — ASSIGNMENT-DRIVEN</t>
        </is>
      </c>
      <c r="B10" s="134" t="n"/>
      <c r="C10" s="134" t="n"/>
      <c r="D10" s="134" t="n"/>
      <c r="E10" s="134" t="n"/>
    </row>
    <row r="11" ht="32.25" customHeight="1" s="126">
      <c r="A11" s="129" t="inlineStr">
        <is>
          <t>NPO</t>
        </is>
      </c>
      <c r="B11" s="129" t="inlineStr">
        <is>
          <t>ASSIGNMENT SALES</t>
        </is>
      </c>
      <c r="C11" s="129" t="inlineStr">
        <is>
          <t>CONTRACT DONATION</t>
        </is>
      </c>
      <c r="D11" s="129" t="inlineStr">
        <is>
          <t>TIPS</t>
        </is>
      </c>
      <c r="E11" s="129" t="inlineStr">
        <is>
          <t>TOTAL PAYOUT*</t>
        </is>
      </c>
    </row>
    <row r="12" ht="15" customHeight="1" s="126">
      <c r="A12" s="13" t="inlineStr">
        <is>
          <t>ARVC</t>
        </is>
      </c>
      <c r="B12" s="39">
        <f>SUMIFS('CONTRACT CALC'!$J$13:$J$112,'CONTRACT CALC'!$B$13:$B$112,A12)</f>
        <v/>
      </c>
      <c r="C12" s="39">
        <f>SUMIFS('CONTRACT CALC'!$K$13:$K$112,'CONTRACT CALC'!$B$13:$B$112,A12)</f>
        <v/>
      </c>
      <c r="D12" s="40">
        <f>SUMIFS('TIPS DATA'!$H$2:$H$101,'TIPS DATA'!$C$2:$C$101,A12)</f>
        <v/>
      </c>
      <c r="E12" s="39">
        <f>C12+D12</f>
        <v/>
      </c>
    </row>
    <row r="13" ht="15" customHeight="1" s="126">
      <c r="A13" s="14" t="inlineStr">
        <is>
          <t>AIRFORCE</t>
        </is>
      </c>
      <c r="B13" s="41">
        <f>SUMIFS('CONTRACT CALC'!$J$13:$J$112,'CONTRACT CALC'!$B$13:$B$112,A13)</f>
        <v/>
      </c>
      <c r="C13" s="41">
        <f>SUMIFS('CONTRACT CALC'!$K$13:$K$112,'CONTRACT CALC'!$B$13:$B$112,A13)</f>
        <v/>
      </c>
      <c r="D13" s="42">
        <f>SUMIFS('TIPS DATA'!$H$2:$H$101,'TIPS DATA'!$C$2:$C$101,A13)</f>
        <v/>
      </c>
      <c r="E13" s="41">
        <f>C13+D13</f>
        <v/>
      </c>
    </row>
    <row r="14" ht="15" customHeight="1" s="126">
      <c r="A14" s="15" t="inlineStr">
        <is>
          <t>UNITED FIT</t>
        </is>
      </c>
      <c r="B14" s="43">
        <f>SUMIFS('CONTRACT CALC'!$J$13:$J$112,'CONTRACT CALC'!$B$13:$B$112,A14)</f>
        <v/>
      </c>
      <c r="C14" s="43">
        <f>SUMIFS('CONTRACT CALC'!$K$13:$K$112,'CONTRACT CALC'!$B$13:$B$112,A14)</f>
        <v/>
      </c>
      <c r="D14" s="44">
        <f>SUMIFS('TIPS DATA'!$H$2:$H$101,'TIPS DATA'!$C$2:$C$101,A14)</f>
        <v/>
      </c>
      <c r="E14" s="43">
        <f>C14+D14</f>
        <v/>
      </c>
    </row>
    <row r="15" ht="15" customHeight="1" s="126">
      <c r="A15" s="14" t="inlineStr">
        <is>
          <t>DCVA</t>
        </is>
      </c>
      <c r="B15" s="41">
        <f>SUMIFS('CONTRACT CALC'!$J$13:$J$112,'CONTRACT CALC'!$B$13:$B$112,A15)</f>
        <v/>
      </c>
      <c r="C15" s="41">
        <f>SUMIFS('CONTRACT CALC'!$K$13:$K$112,'CONTRACT CALC'!$B$13:$B$112,A15)</f>
        <v/>
      </c>
      <c r="D15" s="42">
        <f>SUMIFS('TIPS DATA'!$H$2:$H$101,'TIPS DATA'!$C$2:$C$101,A15)</f>
        <v/>
      </c>
      <c r="E15" s="41">
        <f>C15+D15</f>
        <v/>
      </c>
    </row>
    <row r="16" ht="15" customHeight="1" s="126">
      <c r="A16" s="15" t="inlineStr">
        <is>
          <t>DEL N CHEER</t>
        </is>
      </c>
      <c r="B16" s="43">
        <f>SUMIFS('CONTRACT CALC'!$J$13:$J$112,'CONTRACT CALC'!$B$13:$B$112,A16)</f>
        <v/>
      </c>
      <c r="C16" s="43">
        <f>SUMIFS('CONTRACT CALC'!$K$13:$K$112,'CONTRACT CALC'!$B$13:$B$112,A16)</f>
        <v/>
      </c>
      <c r="D16" s="44">
        <f>SUMIFS('TIPS DATA'!$H$2:$H$101,'TIPS DATA'!$C$2:$C$101,A16)</f>
        <v/>
      </c>
      <c r="E16" s="43">
        <f>C16+D16</f>
        <v/>
      </c>
    </row>
    <row r="17" ht="15" customHeight="1" s="126">
      <c r="A17" s="14" t="inlineStr">
        <is>
          <t>RIO GRANDE RGHS</t>
        </is>
      </c>
      <c r="B17" s="41">
        <f>SUMIFS('CONTRACT CALC'!$J$13:$J$112,'CONTRACT CALC'!$B$13:$B$112,A17)</f>
        <v/>
      </c>
      <c r="C17" s="41">
        <f>SUMIFS('CONTRACT CALC'!$K$13:$K$112,'CONTRACT CALC'!$B$13:$B$112,A17)</f>
        <v/>
      </c>
      <c r="D17" s="42">
        <f>SUMIFS('TIPS DATA'!$H$2:$H$101,'TIPS DATA'!$C$2:$C$101,A17)</f>
        <v/>
      </c>
      <c r="E17" s="41">
        <f>C17+D17</f>
        <v/>
      </c>
    </row>
    <row r="18" ht="15" customHeight="1" s="126">
      <c r="A18" s="15" t="inlineStr">
        <is>
          <t>VICTORY OUTREACH</t>
        </is>
      </c>
      <c r="B18" s="43">
        <f>SUMIFS('CONTRACT CALC'!$J$13:$J$112,'CONTRACT CALC'!$B$13:$B$112,A18)</f>
        <v/>
      </c>
      <c r="C18" s="43">
        <f>SUMIFS('CONTRACT CALC'!$K$13:$K$112,'CONTRACT CALC'!$B$13:$B$112,A18)</f>
        <v/>
      </c>
      <c r="D18" s="44">
        <f>SUMIFS('TIPS DATA'!$H$2:$H$101,'TIPS DATA'!$C$2:$C$101,A18)</f>
        <v/>
      </c>
      <c r="E18" s="43">
        <f>C18+D18</f>
        <v/>
      </c>
    </row>
    <row r="19" ht="15.75" customHeight="1" s="126" thickBot="1">
      <c r="A19" s="45" t="inlineStr">
        <is>
          <t>TOTAL</t>
        </is>
      </c>
      <c r="B19" s="46">
        <f>SUM(B12:B18)</f>
        <v/>
      </c>
      <c r="C19" s="46">
        <f>SUM(C12:C18)</f>
        <v/>
      </c>
      <c r="D19" s="47">
        <f>SUM(D12:D18)</f>
        <v/>
      </c>
      <c r="E19" s="46">
        <f>SUM(E12:E18)</f>
        <v/>
      </c>
    </row>
    <row r="20" ht="16.5" customHeight="1" s="126" thickBot="1">
      <c r="A20" s="16" t="n"/>
      <c r="B20" s="16" t="n"/>
      <c r="C20" s="16" t="n"/>
      <c r="D20" s="16" t="n"/>
      <c r="E20" s="17" t="n"/>
    </row>
    <row r="21">
      <c r="A21" s="135" t="inlineStr">
        <is>
          <t>VENDOR PAYOUT = one reusable statement. NPO MASTER = vendor identity (SAP/BSS/Alias). SUPPLEMENTAL DATA = optional saved bonus/fees by Event+Payee. Yellow cells on VENDOR PAYOUT are this document’s personal adjustments for review/PDF. CATEGORY MAP is required for food vs alcohol classification.</t>
        </is>
      </c>
      <c r="B21" s="136" t="n"/>
      <c r="C21" s="136" t="n"/>
      <c r="D21" s="136" t="n"/>
      <c r="E21" s="136" t="n"/>
    </row>
    <row r="22">
      <c r="A22" s="137" t="n"/>
      <c r="B22" s="137" t="n"/>
      <c r="C22" s="137" t="n"/>
      <c r="D22" s="137" t="n"/>
      <c r="E22" s="137" t="n"/>
    </row>
    <row r="23" ht="21" customHeight="1" s="126" thickBot="1">
      <c r="A23" s="121" t="inlineStr">
        <is>
          <t>SETUP - STAND LOCATIONS</t>
        </is>
      </c>
      <c r="B23" s="138" t="n"/>
      <c r="C23" s="138" t="n"/>
      <c r="D23" s="138" t="n"/>
      <c r="E23" s="138" t="n"/>
    </row>
    <row r="24" ht="16.5" customHeight="1" s="126">
      <c r="A24" s="18" t="inlineStr">
        <is>
          <t>STAND ID</t>
        </is>
      </c>
      <c r="B24" s="18" t="inlineStr">
        <is>
          <t>STAND DESCRIPTION</t>
        </is>
      </c>
    </row>
    <row r="25" ht="15" customHeight="1" s="126">
      <c r="A25" s="19" t="inlineStr">
        <is>
          <t>BASEBALL</t>
        </is>
      </c>
      <c r="B25" s="20" t="inlineStr">
        <is>
          <t>TRAILER</t>
        </is>
      </c>
      <c r="C25" s="11" t="inlineStr">
        <is>
          <t>baseball</t>
        </is>
      </c>
    </row>
    <row r="26" ht="15" customHeight="1" s="126">
      <c r="A26" s="19" t="inlineStr">
        <is>
          <t>207 - PREM</t>
        </is>
      </c>
      <c r="B26" s="20" t="inlineStr">
        <is>
          <t>DESSERT CART</t>
        </is>
      </c>
      <c r="C26" s="11" t="inlineStr">
        <is>
          <t>PIT</t>
        </is>
      </c>
    </row>
    <row r="27" ht="15.75" customHeight="1" s="126">
      <c r="A27" s="21" t="inlineStr">
        <is>
          <t>PREM 000</t>
        </is>
      </c>
      <c r="B27" s="22" t="inlineStr">
        <is>
          <t>PREMIUM BANQUET</t>
        </is>
      </c>
      <c r="C27" s="11" t="inlineStr">
        <is>
          <t>PIT</t>
        </is>
      </c>
    </row>
    <row r="28" ht="12.75" customHeight="1" s="126">
      <c r="A28" s="23" t="inlineStr">
        <is>
          <t xml:space="preserve">FB 100 </t>
        </is>
      </c>
      <c r="B28" s="24" t="inlineStr">
        <is>
          <t xml:space="preserve"> TRAILER N CONCOURSE</t>
        </is>
      </c>
      <c r="C28" s="11" t="inlineStr">
        <is>
          <t>FB</t>
        </is>
      </c>
    </row>
    <row r="29" ht="12.75" customHeight="1" s="126">
      <c r="A29" s="25" t="inlineStr">
        <is>
          <t xml:space="preserve">FB 100B </t>
        </is>
      </c>
      <c r="B29" s="26" t="inlineStr">
        <is>
          <t xml:space="preserve"> MBP TRAILER N CONCOURSE</t>
        </is>
      </c>
      <c r="C29" s="11" t="inlineStr">
        <is>
          <t>FB</t>
        </is>
      </c>
    </row>
    <row r="30" ht="13.5" customHeight="1" s="126">
      <c r="A30" s="23" t="inlineStr">
        <is>
          <t xml:space="preserve">FB 101 </t>
        </is>
      </c>
      <c r="B30" s="24" t="inlineStr">
        <is>
          <t xml:space="preserve"> STADIUM SIPS SHACK SW</t>
        </is>
      </c>
      <c r="C30" s="11" t="inlineStr">
        <is>
          <t>FB</t>
        </is>
      </c>
    </row>
    <row r="31" ht="12.75" customHeight="1" s="126">
      <c r="A31" s="25" t="inlineStr">
        <is>
          <t xml:space="preserve">FB 102 </t>
        </is>
      </c>
      <c r="B31" s="26" t="inlineStr">
        <is>
          <t xml:space="preserve"> TOWER SOUTH</t>
        </is>
      </c>
      <c r="C31" s="11" t="inlineStr">
        <is>
          <t>FB</t>
        </is>
      </c>
    </row>
    <row r="32" ht="15.75" customHeight="1" s="126">
      <c r="A32" s="23" t="inlineStr">
        <is>
          <t xml:space="preserve">FB 103 </t>
        </is>
      </c>
      <c r="B32" s="24" t="inlineStr">
        <is>
          <t xml:space="preserve"> TOWER NORTH</t>
        </is>
      </c>
      <c r="C32" s="11" t="inlineStr">
        <is>
          <t>FB</t>
        </is>
      </c>
    </row>
    <row r="33" ht="12.75" customHeight="1" s="126">
      <c r="A33" s="25" t="inlineStr">
        <is>
          <t xml:space="preserve">FB 104 </t>
        </is>
      </c>
      <c r="B33" s="26" t="inlineStr">
        <is>
          <t xml:space="preserve"> RED RALLY NORTH WEST</t>
        </is>
      </c>
      <c r="C33" s="11" t="inlineStr">
        <is>
          <t>FB</t>
        </is>
      </c>
    </row>
    <row r="34" ht="12.75" customHeight="1" s="126">
      <c r="A34" s="23" t="inlineStr">
        <is>
          <t xml:space="preserve">FB 105 </t>
        </is>
      </c>
      <c r="B34" s="24" t="inlineStr">
        <is>
          <t xml:space="preserve"> NW SPECIALTY DAWG 2.0</t>
        </is>
      </c>
      <c r="C34" s="11" t="inlineStr">
        <is>
          <t>FB</t>
        </is>
      </c>
    </row>
    <row r="35" ht="12.75" customHeight="1" s="126">
      <c r="A35" s="25" t="inlineStr">
        <is>
          <t xml:space="preserve">FB 106 </t>
        </is>
      </c>
      <c r="B35" s="26" t="inlineStr">
        <is>
          <t>RED RALLY NORTH EAST</t>
        </is>
      </c>
      <c r="C35" s="11" t="inlineStr">
        <is>
          <t>FB</t>
        </is>
      </c>
    </row>
    <row r="36" ht="15.75" customHeight="1" s="126">
      <c r="A36" s="23" t="inlineStr">
        <is>
          <t xml:space="preserve">FB 107 </t>
        </is>
      </c>
      <c r="B36" s="24" t="inlineStr">
        <is>
          <t>NE SPECIALTY DAWG O.G.</t>
        </is>
      </c>
      <c r="C36" s="11" t="inlineStr">
        <is>
          <t>FB</t>
        </is>
      </c>
    </row>
    <row r="37" ht="12.75" customHeight="1" s="126">
      <c r="A37" s="25" t="inlineStr">
        <is>
          <t xml:space="preserve">FB 108 </t>
        </is>
      </c>
      <c r="B37" s="26" t="inlineStr">
        <is>
          <t xml:space="preserve"> GRAB N GO  NW</t>
        </is>
      </c>
      <c r="C37" s="11" t="inlineStr">
        <is>
          <t>FB</t>
        </is>
      </c>
    </row>
    <row r="38" ht="12.75" customHeight="1" s="126">
      <c r="A38" s="23" t="inlineStr">
        <is>
          <t xml:space="preserve">FB 109 </t>
        </is>
      </c>
      <c r="B38" s="24" t="inlineStr">
        <is>
          <t xml:space="preserve"> MBP  NORTH EAST</t>
        </is>
      </c>
      <c r="C38" s="11" t="inlineStr">
        <is>
          <t>FB</t>
        </is>
      </c>
    </row>
    <row r="39" ht="12.75" customHeight="1" s="126">
      <c r="A39" s="25" t="inlineStr">
        <is>
          <t xml:space="preserve">FB 109B </t>
        </is>
      </c>
      <c r="B39" s="26" t="inlineStr">
        <is>
          <t xml:space="preserve"> MBP  NORTH EAST 2.0 POLE</t>
        </is>
      </c>
      <c r="C39" s="11" t="inlineStr">
        <is>
          <t>FB</t>
        </is>
      </c>
    </row>
    <row r="40" ht="12.75" customHeight="1" s="126">
      <c r="A40" s="23" t="inlineStr">
        <is>
          <t xml:space="preserve">FB 110 </t>
        </is>
      </c>
      <c r="B40" s="24" t="inlineStr">
        <is>
          <t xml:space="preserve"> MBP  SHIVERS (NW)</t>
        </is>
      </c>
      <c r="C40" s="11" t="inlineStr">
        <is>
          <t>FB</t>
        </is>
      </c>
    </row>
    <row r="41" ht="12.75" customHeight="1" s="126">
      <c r="A41" s="25" t="inlineStr">
        <is>
          <t xml:space="preserve">FB 111 </t>
        </is>
      </c>
      <c r="B41" s="26" t="inlineStr">
        <is>
          <t xml:space="preserve"> MBP  NE PEPSI TRAILER</t>
        </is>
      </c>
      <c r="C41" s="11" t="inlineStr">
        <is>
          <t>FB</t>
        </is>
      </c>
    </row>
    <row r="42" ht="12.75" customHeight="1" s="126">
      <c r="A42" s="23" t="inlineStr">
        <is>
          <t xml:space="preserve">FB 112 </t>
        </is>
      </c>
      <c r="B42" s="24" t="inlineStr">
        <is>
          <t xml:space="preserve"> MBP  STUDENT ZONE (SE)</t>
        </is>
      </c>
      <c r="C42" s="11" t="inlineStr">
        <is>
          <t>FB</t>
        </is>
      </c>
    </row>
    <row r="43" ht="12.75" customHeight="1" s="126">
      <c r="A43" s="25" t="inlineStr">
        <is>
          <t xml:space="preserve">FB 113 </t>
        </is>
      </c>
      <c r="B43" s="26" t="inlineStr">
        <is>
          <t xml:space="preserve"> MBP  MINI MELTS (NW)</t>
        </is>
      </c>
      <c r="C43" s="11" t="inlineStr">
        <is>
          <t>FB</t>
        </is>
      </c>
    </row>
    <row r="44" ht="12.75" customHeight="1" s="126">
      <c r="A44" s="23" t="inlineStr">
        <is>
          <t xml:space="preserve">FB 113B </t>
        </is>
      </c>
      <c r="B44" s="24" t="inlineStr">
        <is>
          <t xml:space="preserve"> MBP  MINI MELTS (NE)</t>
        </is>
      </c>
      <c r="C44" s="11" t="inlineStr">
        <is>
          <t>FB</t>
        </is>
      </c>
    </row>
    <row r="45" ht="12.75" customHeight="1" s="126">
      <c r="A45" s="25" t="inlineStr">
        <is>
          <t xml:space="preserve">FB 114 </t>
        </is>
      </c>
      <c r="B45" s="26" t="inlineStr">
        <is>
          <t xml:space="preserve"> MBP  WATER (SE)</t>
        </is>
      </c>
      <c r="C45" s="11" t="inlineStr">
        <is>
          <t>FB</t>
        </is>
      </c>
    </row>
    <row r="46" ht="12.75" customHeight="1" s="126">
      <c r="A46" s="23" t="inlineStr">
        <is>
          <t xml:space="preserve">FB 115 </t>
        </is>
      </c>
      <c r="B46" s="24" t="inlineStr">
        <is>
          <t xml:space="preserve"> MBP  WATER (NE)</t>
        </is>
      </c>
      <c r="C46" s="11" t="inlineStr">
        <is>
          <t>FB</t>
        </is>
      </c>
    </row>
    <row r="47" ht="12.75" customHeight="1" s="126">
      <c r="A47" s="25" t="inlineStr">
        <is>
          <t xml:space="preserve">FB 116 </t>
        </is>
      </c>
      <c r="B47" s="26" t="inlineStr">
        <is>
          <t xml:space="preserve"> MBP  NORTH WEST</t>
        </is>
      </c>
      <c r="C47" s="11" t="inlineStr">
        <is>
          <t>FB</t>
        </is>
      </c>
    </row>
    <row r="48" ht="12.75" customHeight="1" s="126">
      <c r="A48" s="23" t="inlineStr">
        <is>
          <t xml:space="preserve">FB 116B </t>
        </is>
      </c>
      <c r="B48" s="24" t="inlineStr">
        <is>
          <t xml:space="preserve"> MBP  NORTH WEST 2.0 POLE</t>
        </is>
      </c>
      <c r="C48" s="11" t="inlineStr">
        <is>
          <t>FB</t>
        </is>
      </c>
    </row>
    <row r="49" ht="12.75" customHeight="1" s="126">
      <c r="A49" s="25" t="inlineStr">
        <is>
          <t xml:space="preserve">FB 117 </t>
        </is>
      </c>
      <c r="B49" s="26" t="inlineStr">
        <is>
          <t xml:space="preserve"> MBP ELOTICO CART (NW)</t>
        </is>
      </c>
      <c r="C49" s="11" t="inlineStr">
        <is>
          <t>FB</t>
        </is>
      </c>
    </row>
    <row r="50" ht="12.75" customHeight="1" s="126">
      <c r="A50" s="23" t="inlineStr">
        <is>
          <t xml:space="preserve">FB 118 </t>
        </is>
      </c>
      <c r="B50" s="24" t="inlineStr">
        <is>
          <t xml:space="preserve"> MBP ELOTICO CART (SE)</t>
        </is>
      </c>
      <c r="C50" s="11" t="inlineStr">
        <is>
          <t>FB</t>
        </is>
      </c>
    </row>
    <row r="51" ht="12.75" customHeight="1" s="126">
      <c r="A51" s="25" t="inlineStr">
        <is>
          <t xml:space="preserve">FB 119 </t>
        </is>
      </c>
      <c r="B51" s="26" t="inlineStr">
        <is>
          <t xml:space="preserve"> HAWK VENDORS</t>
        </is>
      </c>
      <c r="C51" s="11" t="inlineStr">
        <is>
          <t>FB</t>
        </is>
      </c>
    </row>
    <row r="52" ht="12.75" customHeight="1" s="126">
      <c r="A52" s="23" t="inlineStr">
        <is>
          <t xml:space="preserve">FB 120 </t>
        </is>
      </c>
      <c r="B52" s="24" t="inlineStr">
        <is>
          <t xml:space="preserve"> MBP N. SCOREBOARD</t>
        </is>
      </c>
      <c r="C52" s="11" t="inlineStr">
        <is>
          <t>FB</t>
        </is>
      </c>
    </row>
    <row r="53" ht="12.75" customHeight="1" s="126">
      <c r="A53" s="25" t="inlineStr">
        <is>
          <t xml:space="preserve">FB 151 </t>
        </is>
      </c>
      <c r="B53" s="26" t="inlineStr">
        <is>
          <t xml:space="preserve"> SUB SUGAR SHIVERS</t>
        </is>
      </c>
      <c r="C53" s="11" t="inlineStr">
        <is>
          <t>FB</t>
        </is>
      </c>
    </row>
    <row r="54" ht="12.75" customHeight="1" s="126">
      <c r="A54" s="23" t="inlineStr">
        <is>
          <t>BB 100</t>
        </is>
      </c>
      <c r="B54" s="24" t="inlineStr">
        <is>
          <t>BASEBALL TRAILER</t>
        </is>
      </c>
      <c r="C54" s="11" t="inlineStr">
        <is>
          <t>BB</t>
        </is>
      </c>
    </row>
    <row r="55" ht="12.75" customHeight="1" s="126">
      <c r="A55" s="27" t="inlineStr">
        <is>
          <t>PIT 100</t>
        </is>
      </c>
      <c r="B55" s="28" t="inlineStr">
        <is>
          <t>VENDING (HAWK)</t>
        </is>
      </c>
      <c r="C55" s="11" t="inlineStr">
        <is>
          <t>PIT</t>
        </is>
      </c>
    </row>
    <row r="56" ht="12.75" customHeight="1" s="126">
      <c r="A56" s="23" t="inlineStr">
        <is>
          <t>PIT 101</t>
        </is>
      </c>
      <c r="B56" s="24" t="inlineStr">
        <is>
          <t>A - POP &amp; POUR</t>
        </is>
      </c>
      <c r="C56" s="11" t="inlineStr">
        <is>
          <t>PIT</t>
        </is>
      </c>
    </row>
    <row r="57" ht="12.75" customHeight="1" s="126">
      <c r="A57" s="27" t="inlineStr">
        <is>
          <t>PIT 101</t>
        </is>
      </c>
      <c r="B57" s="28" t="inlineStr">
        <is>
          <t>B -  NACHOMAMA</t>
        </is>
      </c>
      <c r="C57" s="11" t="inlineStr">
        <is>
          <t>PIT</t>
        </is>
      </c>
    </row>
    <row r="58" ht="12.75" customHeight="1" s="126">
      <c r="A58" s="23" t="inlineStr">
        <is>
          <t>PIT 102</t>
        </is>
      </c>
      <c r="B58" s="24" t="inlineStr">
        <is>
          <t>THE PIT STOP (U)</t>
        </is>
      </c>
      <c r="C58" s="11" t="inlineStr">
        <is>
          <t>PIT</t>
        </is>
      </c>
    </row>
    <row r="59" ht="12.75" customHeight="1" s="126">
      <c r="A59" s="27" t="inlineStr">
        <is>
          <t>PIT 103</t>
        </is>
      </c>
      <c r="B59" s="28" t="inlineStr">
        <is>
          <t>SUB SUGAR SHIVERS (V)</t>
        </is>
      </c>
      <c r="C59" s="11" t="inlineStr">
        <is>
          <t>PIT</t>
        </is>
      </c>
    </row>
    <row r="60" ht="12.75" customHeight="1" s="126">
      <c r="A60" s="23" t="inlineStr">
        <is>
          <t>PIT 104</t>
        </is>
      </c>
      <c r="B60" s="24" t="inlineStr">
        <is>
          <t>BURQUE BREWS (W)</t>
        </is>
      </c>
      <c r="C60" s="11" t="inlineStr">
        <is>
          <t>PIT</t>
        </is>
      </c>
    </row>
    <row r="61" ht="12.75" customHeight="1" s="126">
      <c r="A61" s="27" t="inlineStr">
        <is>
          <t>PIT 105</t>
        </is>
      </c>
      <c r="B61" s="28" t="inlineStr">
        <is>
          <t>HOWL VODKA LEMONADE (Z)</t>
        </is>
      </c>
      <c r="C61" s="11" t="inlineStr">
        <is>
          <t>PIT</t>
        </is>
      </c>
    </row>
    <row r="62" ht="12.75" customHeight="1" s="126">
      <c r="A62" s="23" t="inlineStr">
        <is>
          <t>PIT 106</t>
        </is>
      </c>
      <c r="B62" s="24" t="inlineStr">
        <is>
          <t>LOUIE'S DAWG HOUSE (C)</t>
        </is>
      </c>
      <c r="C62" s="11" t="inlineStr">
        <is>
          <t>PIT</t>
        </is>
      </c>
    </row>
    <row r="63" ht="12.75" customHeight="1" s="126">
      <c r="A63" s="27" t="inlineStr">
        <is>
          <t>PIT 107</t>
        </is>
      </c>
      <c r="B63" s="28" t="inlineStr">
        <is>
          <t>SUB - LAGUNA BURGER (G)</t>
        </is>
      </c>
      <c r="C63" s="11" t="inlineStr">
        <is>
          <t>PIT</t>
        </is>
      </c>
    </row>
    <row r="64" ht="12.75" customHeight="1" s="126">
      <c r="A64" s="23" t="inlineStr">
        <is>
          <t>PIT 108</t>
        </is>
      </c>
      <c r="B64" s="24" t="inlineStr">
        <is>
          <t>HOOP &amp; GO (J)</t>
        </is>
      </c>
      <c r="C64" s="11" t="inlineStr">
        <is>
          <t>PIT</t>
        </is>
      </c>
    </row>
    <row r="65" ht="12.75" customHeight="1" s="126">
      <c r="A65" s="27" t="inlineStr">
        <is>
          <t>PIT 109</t>
        </is>
      </c>
      <c r="B65" s="28" t="inlineStr">
        <is>
          <t>ALLEYOOP (L)</t>
        </is>
      </c>
      <c r="C65" s="11" t="inlineStr">
        <is>
          <t>PIT</t>
        </is>
      </c>
    </row>
    <row r="66" ht="12.75" customHeight="1" s="126">
      <c r="A66" s="23" t="inlineStr">
        <is>
          <t>PIT 110</t>
        </is>
      </c>
      <c r="B66" s="24" t="inlineStr">
        <is>
          <t>PAPITAS (M)</t>
        </is>
      </c>
      <c r="C66" s="11" t="inlineStr">
        <is>
          <t>PIT</t>
        </is>
      </c>
    </row>
    <row r="67" ht="12.75" customHeight="1" s="126">
      <c r="A67" s="27" t="inlineStr">
        <is>
          <t>PIT 111</t>
        </is>
      </c>
      <c r="B67" s="28" t="inlineStr">
        <is>
          <t>MBP ELEVATOR (Q)</t>
        </is>
      </c>
      <c r="C67" s="11" t="inlineStr">
        <is>
          <t>PIT</t>
        </is>
      </c>
    </row>
    <row r="68" ht="12.75" customHeight="1" s="126">
      <c r="A68" s="23" t="inlineStr">
        <is>
          <t>PIT 112</t>
        </is>
      </c>
      <c r="B68" s="24" t="inlineStr">
        <is>
          <t>MBP NACHOMAMA (R)</t>
        </is>
      </c>
      <c r="C68" s="11" t="inlineStr">
        <is>
          <t>PIT</t>
        </is>
      </c>
    </row>
    <row r="69" ht="12.75" customHeight="1" s="126">
      <c r="A69" s="27" t="inlineStr">
        <is>
          <t>PIT 113</t>
        </is>
      </c>
      <c r="B69" s="28" t="inlineStr">
        <is>
          <t>MBP SUGAR SHIVERS (V)</t>
        </is>
      </c>
      <c r="C69" s="11" t="inlineStr">
        <is>
          <t>PIT</t>
        </is>
      </c>
    </row>
    <row r="70" ht="12.75" customHeight="1" s="126">
      <c r="A70" s="23" t="inlineStr">
        <is>
          <t>PIT 114</t>
        </is>
      </c>
      <c r="B70" s="24" t="inlineStr">
        <is>
          <t>MBP SUGAR SHIVERS (V) 2.0</t>
        </is>
      </c>
      <c r="C70" s="11" t="inlineStr">
        <is>
          <t>PIT</t>
        </is>
      </c>
    </row>
    <row r="71" ht="12.75" customHeight="1" s="126">
      <c r="A71" s="27" t="inlineStr">
        <is>
          <t>PIT 115</t>
        </is>
      </c>
      <c r="B71" s="28" t="inlineStr">
        <is>
          <t>MBP THE DAWG HOUSE (C)</t>
        </is>
      </c>
      <c r="C71" s="11" t="inlineStr">
        <is>
          <t>PIT</t>
        </is>
      </c>
    </row>
    <row r="72" ht="12.75" customHeight="1" s="126">
      <c r="A72" s="23" t="inlineStr">
        <is>
          <t>PIT 116</t>
        </is>
      </c>
      <c r="B72" s="24" t="inlineStr">
        <is>
          <t>MBP LAGUNA (G)</t>
        </is>
      </c>
      <c r="C72" s="11" t="inlineStr">
        <is>
          <t>PIT</t>
        </is>
      </c>
    </row>
    <row r="73" ht="12.75" customHeight="1" s="126">
      <c r="A73" s="27" t="inlineStr">
        <is>
          <t>PIT 117</t>
        </is>
      </c>
      <c r="B73" s="28" t="inlineStr">
        <is>
          <t>MBP J/L CORNER (J/L)</t>
        </is>
      </c>
      <c r="C73" s="11" t="inlineStr">
        <is>
          <t>PIT</t>
        </is>
      </c>
    </row>
    <row r="74" ht="12.75" customHeight="1" s="126">
      <c r="A74" s="23" t="inlineStr">
        <is>
          <t>PIT 118</t>
        </is>
      </c>
      <c r="B74" s="24" t="inlineStr">
        <is>
          <t>MBP PRETZEL CART</t>
        </is>
      </c>
      <c r="C74" s="11" t="inlineStr">
        <is>
          <t>PIT</t>
        </is>
      </c>
    </row>
    <row r="75" ht="12.75" customHeight="1" s="126">
      <c r="A75" s="27" t="inlineStr">
        <is>
          <t>PIT 119</t>
        </is>
      </c>
      <c r="B75" s="28" t="inlineStr">
        <is>
          <t>MBP NACHO HANDICAP (R)</t>
        </is>
      </c>
      <c r="C75" s="11" t="inlineStr">
        <is>
          <t>PIT</t>
        </is>
      </c>
    </row>
    <row r="76" ht="12.75" customHeight="1" s="126">
      <c r="A76" s="23" t="inlineStr">
        <is>
          <t>PIT 120</t>
        </is>
      </c>
      <c r="B76" s="24" t="inlineStr">
        <is>
          <t>MBP DAWG HOUSE HANDICAP (C)</t>
        </is>
      </c>
      <c r="C76" s="11" t="inlineStr">
        <is>
          <t>PIT</t>
        </is>
      </c>
    </row>
    <row r="77" ht="12.75" customHeight="1" s="126">
      <c r="A77" s="27" t="inlineStr">
        <is>
          <t>PIT 121</t>
        </is>
      </c>
      <c r="B77" s="28" t="inlineStr">
        <is>
          <t>MBP LAGUNA HANDICAP (G)</t>
        </is>
      </c>
      <c r="C77" s="11" t="inlineStr">
        <is>
          <t>PIT</t>
        </is>
      </c>
    </row>
    <row r="78" ht="12.75" customHeight="1" s="126">
      <c r="A78" s="23" t="inlineStr">
        <is>
          <t>PIT 122</t>
        </is>
      </c>
      <c r="B78" s="24" t="inlineStr">
        <is>
          <t>MBP COMMAND POST (U)</t>
        </is>
      </c>
      <c r="C78" s="11" t="inlineStr">
        <is>
          <t>PIT</t>
        </is>
      </c>
    </row>
    <row r="79" ht="12.75" customHeight="1" s="126">
      <c r="A79" s="27" t="inlineStr">
        <is>
          <t>PIT 123</t>
        </is>
      </c>
      <c r="B79" s="28" t="inlineStr">
        <is>
          <t>MBP MAIN ENTRANCE (A)</t>
        </is>
      </c>
      <c r="C79" s="11" t="inlineStr">
        <is>
          <t>PIT</t>
        </is>
      </c>
    </row>
    <row r="80" ht="12.75" customHeight="1" s="126">
      <c r="A80" s="23" t="inlineStr">
        <is>
          <t>PIT CU1</t>
        </is>
      </c>
      <c r="B80" s="24" t="inlineStr">
        <is>
          <t>CULINARY SUPPORT</t>
        </is>
      </c>
      <c r="C80" s="11" t="inlineStr">
        <is>
          <t>PIT</t>
        </is>
      </c>
    </row>
  </sheetData>
  <mergeCells count="5">
    <mergeCell ref="A10:E10"/>
    <mergeCell ref="A1:E1"/>
    <mergeCell ref="A23:E23"/>
    <mergeCell ref="A21:E22"/>
    <mergeCell ref="A3:E3"/>
  </mergeCells>
  <dataValidations count="3">
    <dataValidation sqref="C5:D5" showDropDown="0" showInputMessage="1" showErrorMessage="1" allowBlank="1" type="list">
      <formula1>"MON,TUE,WED,THUR,FRI,SAT,SUN"</formula1>
      <formula2>0</formula2>
    </dataValidation>
    <dataValidation sqref="C6:D6" showDropDown="0" showInputMessage="1" showErrorMessage="1" allowBlank="1" type="list">
      <formula1>"MBB,WBB,DBL-BBALL,FB,UNM,PBR,NMAA,OTHER,MISC"</formula1>
      <formula2>0</formula2>
    </dataValidation>
    <dataValidation sqref="B6" showDropDown="0" showInputMessage="1" showErrorMessage="1" allowBlank="1" type="list">
      <formula1>"Men's Basketball,Women's Basketball,NM BOWL,BBALL-T,UNM-GRAD,Football,UNM,PBR,NMAA,OTHER,MISC"</formula1>
      <formula2>0</formula2>
    </dataValidation>
  </dataValidations>
  <pageMargins left="0.25" right="0.25" top="0.3" bottom="0.3" header="0.1" footer="0.15"/>
  <pageSetup orientation="landscape" horizontalDpi="300" verticalDpi="300"/>
  <headerFooter>
    <oddHeader/>
    <oddFooter>&amp;C&amp;P of &amp;N&amp;R&amp;D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26" min="1" max="1"/>
    <col width="36" customWidth="1" style="126" min="2" max="2"/>
    <col width="12" customWidth="1" style="126" min="3" max="3"/>
    <col width="12" customWidth="1" style="126" min="4" max="4"/>
    <col width="18" customWidth="1" style="126" min="5" max="5"/>
    <col width="14" customWidth="1" style="126" min="6" max="6"/>
    <col width="24" customWidth="1" style="126" min="7" max="7"/>
    <col width="22" customWidth="1" style="126" min="8" max="8"/>
    <col width="8" customWidth="1" style="126" min="9" max="9"/>
    <col width="28" customWidth="1" style="126" min="10" max="10"/>
  </cols>
  <sheetData>
    <row r="1" ht="30" customHeight="1" s="126">
      <c r="A1" s="139" t="inlineStr">
        <is>
          <t>Alias (Payee Key)</t>
        </is>
      </c>
      <c r="B1" s="139" t="inlineStr">
        <is>
          <t>Legal / Full Name</t>
        </is>
      </c>
      <c r="C1" s="139" t="inlineStr">
        <is>
          <t>SAP ID</t>
        </is>
      </c>
      <c r="D1" s="139" t="inlineStr">
        <is>
          <t>BSS ID</t>
        </is>
      </c>
      <c r="E1" s="139" t="inlineStr">
        <is>
          <t>Primary Contact</t>
        </is>
      </c>
      <c r="F1" s="139" t="inlineStr">
        <is>
          <t>Phone</t>
        </is>
      </c>
      <c r="G1" s="139" t="inlineStr">
        <is>
          <t>Email</t>
        </is>
      </c>
      <c r="H1" s="139" t="inlineStr">
        <is>
          <t>Check Payable To</t>
        </is>
      </c>
      <c r="I1" s="139" t="inlineStr">
        <is>
          <t>Active</t>
        </is>
      </c>
      <c r="J1" s="139" t="inlineStr">
        <is>
          <t>Standing Notes</t>
        </is>
      </c>
      <c r="L1" t="inlineStr">
        <is>
          <t>PURPOSE</t>
        </is>
      </c>
    </row>
    <row r="2">
      <c r="A2" t="inlineStr">
        <is>
          <t>ARVC</t>
        </is>
      </c>
      <c r="B2" t="inlineStr">
        <is>
          <t>Albuquerque Rugby Volleyball Club</t>
        </is>
      </c>
      <c r="H2" t="inlineStr">
        <is>
          <t>ARVC</t>
        </is>
      </c>
      <c r="I2" t="inlineStr">
        <is>
          <t>Y</t>
        </is>
      </c>
      <c r="L2" s="140" t="inlineStr">
        <is>
          <t>One row per NPO/vendor group. Alias must match EVENT ASSIGNMENT NPO and VENDOR PAYOUT Payee. SAP/BSS fill the settlement header automatically. Standing Notes are permanent group info — not event-specific settlement notes.</t>
        </is>
      </c>
    </row>
    <row r="3">
      <c r="A3" t="inlineStr">
        <is>
          <t>AIRFORCE</t>
        </is>
      </c>
      <c r="B3" t="inlineStr">
        <is>
          <t>Air Force Association / Support Group</t>
        </is>
      </c>
      <c r="H3" t="inlineStr">
        <is>
          <t>AIRFORCE</t>
        </is>
      </c>
      <c r="I3" t="inlineStr">
        <is>
          <t>Y</t>
        </is>
      </c>
    </row>
    <row r="4">
      <c r="A4" t="inlineStr">
        <is>
          <t>UNITED FIT</t>
        </is>
      </c>
      <c r="B4" t="inlineStr">
        <is>
          <t>United Fitness / Booster Group</t>
        </is>
      </c>
      <c r="H4" t="inlineStr">
        <is>
          <t>UNITED FIT</t>
        </is>
      </c>
      <c r="I4" t="inlineStr">
        <is>
          <t>Y</t>
        </is>
      </c>
    </row>
    <row r="5">
      <c r="A5" t="inlineStr">
        <is>
          <t>DCVA</t>
        </is>
      </c>
      <c r="B5" t="inlineStr">
        <is>
          <t>Duke City Volleyball Association</t>
        </is>
      </c>
      <c r="H5" t="inlineStr">
        <is>
          <t>DCVA</t>
        </is>
      </c>
      <c r="I5" t="inlineStr">
        <is>
          <t>Y</t>
        </is>
      </c>
    </row>
    <row r="6">
      <c r="A6" t="inlineStr">
        <is>
          <t>DEL N CHEER</t>
        </is>
      </c>
      <c r="B6" t="inlineStr">
        <is>
          <t>Del Norte Cheer</t>
        </is>
      </c>
      <c r="H6" t="inlineStr">
        <is>
          <t>DEL N CHEER</t>
        </is>
      </c>
      <c r="I6" t="inlineStr">
        <is>
          <t>Y</t>
        </is>
      </c>
    </row>
    <row r="7">
      <c r="A7" t="inlineStr">
        <is>
          <t>RIO GRANDE RGHS</t>
        </is>
      </c>
      <c r="B7" t="inlineStr">
        <is>
          <t>Rio Grande High School</t>
        </is>
      </c>
      <c r="H7" t="inlineStr">
        <is>
          <t>RIO GRANDE RGHS</t>
        </is>
      </c>
      <c r="I7" t="inlineStr">
        <is>
          <t>Y</t>
        </is>
      </c>
    </row>
    <row r="8">
      <c r="A8" t="inlineStr">
        <is>
          <t>VICTORY OUTREACH</t>
        </is>
      </c>
      <c r="B8" t="inlineStr">
        <is>
          <t>Victory Outreach Albuquerque</t>
        </is>
      </c>
      <c r="H8" t="inlineStr">
        <is>
          <t>VICTORY OUTREACH</t>
        </is>
      </c>
      <c r="I8" t="inlineStr">
        <is>
          <t>Y</t>
        </is>
      </c>
    </row>
  </sheetData>
  <mergeCells count="1">
    <mergeCell ref="L2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4002B"/>
    <outlinePr summaryBelow="1" summaryRight="1"/>
    <pageSetUpPr fitToPage="1"/>
  </sheetPr>
  <dimension ref="A1:K79"/>
  <sheetViews>
    <sheetView showGridLines="0" zoomScaleNormal="100" workbookViewId="0">
      <selection activeCell="E17" sqref="E17"/>
    </sheetView>
  </sheetViews>
  <sheetFormatPr baseColWidth="8" defaultRowHeight="12.75"/>
  <cols>
    <col width="6" customWidth="1" style="126" min="1" max="1"/>
    <col width="24" customWidth="1" style="126" min="2" max="2"/>
    <col width="15" customWidth="1" style="126" min="3" max="3"/>
    <col width="17" bestFit="1" customWidth="1" style="126" min="4" max="4"/>
    <col width="19" bestFit="1" customWidth="1" style="126" min="5" max="5"/>
    <col width="19.85546875" customWidth="1" style="126" min="6" max="6"/>
    <col width="19" bestFit="1" customWidth="1" style="126" min="7" max="7"/>
    <col width="17" customWidth="1" style="126" min="8" max="8"/>
    <col width="15" customWidth="1" style="126" min="9" max="9"/>
  </cols>
  <sheetData>
    <row r="1" ht="12" customHeight="1" s="126">
      <c r="A1" s="32" t="n"/>
      <c r="B1" s="32" t="n"/>
      <c r="C1" s="32" t="n"/>
      <c r="D1" s="32" t="n"/>
      <c r="E1" s="32" t="n"/>
      <c r="F1" s="32" t="n"/>
      <c r="G1" s="32" t="n"/>
      <c r="H1" s="66" t="n"/>
      <c r="I1" s="66" t="n"/>
    </row>
    <row r="2" ht="21.95" customHeight="1" s="126">
      <c r="A2" s="32" t="n"/>
      <c r="B2" s="32" t="n"/>
      <c r="C2" s="141" t="inlineStr">
        <is>
          <t>SETTLEMENT STATEMENT</t>
        </is>
      </c>
      <c r="H2" s="106" t="n"/>
      <c r="I2" s="106" t="n"/>
    </row>
    <row r="3" ht="18" customHeight="1" s="126">
      <c r="A3" s="32" t="n"/>
      <c r="B3" s="32" t="n"/>
      <c r="C3" s="142" t="inlineStr">
        <is>
          <t>LEVY • UNM ATHLETICS</t>
        </is>
      </c>
      <c r="H3" s="106" t="n"/>
    </row>
    <row r="4" ht="9" customHeight="1" s="126">
      <c r="A4" s="32" t="n"/>
      <c r="B4" s="32" t="n"/>
      <c r="C4" s="32" t="n"/>
      <c r="D4" s="32" t="n"/>
      <c r="E4" s="32" t="n"/>
      <c r="F4" s="32" t="n"/>
      <c r="G4" s="32" t="n"/>
      <c r="H4" s="66" t="n"/>
    </row>
    <row r="5" ht="20.1" customHeight="1" s="126">
      <c r="A5" s="32" t="n"/>
      <c r="B5" s="143">
        <f>$E$10</f>
        <v/>
      </c>
      <c r="G5" s="104" t="inlineStr">
        <is>
          <t>TOTAL PAYABLE</t>
        </is>
      </c>
      <c r="H5" s="105" t="n"/>
    </row>
    <row r="6" ht="18" customHeight="1" s="126">
      <c r="A6" s="32" t="n"/>
      <c r="B6" s="144">
        <f>'SET-UP &amp; SUMMARY'!B6</f>
        <v/>
      </c>
      <c r="G6" s="145">
        <f>SUM(H28,I28,H31,H32,H33,H34,H35,H36)</f>
        <v/>
      </c>
      <c r="H6" s="99" t="n"/>
    </row>
    <row r="7">
      <c r="A7" s="32" t="n"/>
      <c r="B7" s="146">
        <f>IFERROR(VLOOKUP($E$10,'NPO MASTER'!$A$2:$B$50,2,FALSE),"")</f>
        <v/>
      </c>
      <c r="C7" s="32" t="n"/>
      <c r="D7" s="32" t="n"/>
      <c r="E7" s="32" t="n"/>
      <c r="F7" s="32" t="n"/>
      <c r="G7" s="100" t="n"/>
      <c r="H7" s="101" t="n"/>
    </row>
    <row r="8" ht="9.949999999999999" customHeight="1" s="126">
      <c r="A8" s="32" t="n"/>
      <c r="B8" s="32" t="n"/>
      <c r="C8" s="32" t="n"/>
      <c r="D8" s="32" t="n"/>
      <c r="E8" s="32" t="n"/>
      <c r="F8" s="32" t="n"/>
      <c r="G8" s="32" t="n"/>
      <c r="H8" s="66" t="n"/>
    </row>
    <row r="9" ht="15" customHeight="1" s="126">
      <c r="A9" s="32" t="n"/>
      <c r="B9" s="33" t="inlineStr">
        <is>
          <t>EVENT DATE</t>
        </is>
      </c>
      <c r="C9" s="114" t="inlineStr">
        <is>
          <t>INVOICE</t>
        </is>
      </c>
      <c r="D9" s="115" t="n"/>
      <c r="E9" s="116" t="inlineStr">
        <is>
          <t>PAYEE / NPO</t>
        </is>
      </c>
      <c r="F9" s="115" t="n"/>
      <c r="G9" s="71" t="inlineStr">
        <is>
          <t>SAP ID</t>
        </is>
      </c>
      <c r="H9" s="114" t="inlineStr">
        <is>
          <t>BSS ID</t>
        </is>
      </c>
    </row>
    <row r="10" ht="18" customHeight="1" s="126" thickBot="1">
      <c r="A10" s="32" t="n"/>
      <c r="B10" s="147" t="n">
        <v>46270</v>
      </c>
      <c r="C10" s="35">
        <f>CONCATENATE("UNM-",TEXT(B10,"MMDDYY-"),E10)</f>
        <v/>
      </c>
      <c r="D10" s="36" t="n"/>
      <c r="E10" s="109" t="inlineStr">
        <is>
          <t>ARVC</t>
        </is>
      </c>
      <c r="F10" s="110" t="n"/>
      <c r="G10" s="148">
        <f>IFERROR(VLOOKUP($E$10,'NPO MASTER'!$A$2:$D$50,3,FALSE),"")</f>
        <v/>
      </c>
      <c r="H10" s="148">
        <f>IFERROR(VLOOKUP($E$10,'NPO MASTER'!$A$2:$D$50,4,FALSE),"")</f>
        <v/>
      </c>
    </row>
    <row r="11" ht="36" customHeight="1" s="126">
      <c r="A11" s="32" t="n"/>
      <c r="B11" s="149" t="inlineStr">
        <is>
          <t>Review flow: select Event + Payee → confirm locations/commission → edit yellow THIS STATEMENT bonus/notes → Export PDF → zero yellow supplemental before next Payee (or copy into SUPPLEMENTAL DATA to remember). SAP/BSS come from NPO MASTER. Sales always from source/calc — never type those.</t>
        </is>
      </c>
      <c r="C11" s="32" t="n"/>
      <c r="D11" s="32" t="n"/>
      <c r="E11" s="32" t="n"/>
      <c r="F11" s="32" t="n"/>
      <c r="G11" s="32" t="n"/>
      <c r="H11" s="66" t="n"/>
    </row>
    <row r="12" ht="18.95" customHeight="1" s="126">
      <c r="A12" s="32" t="n"/>
      <c r="B12" s="67" t="inlineStr">
        <is>
          <t>SALES COMMISSION (DONATION TO NPO): POS SALES</t>
        </is>
      </c>
      <c r="C12" s="67" t="n"/>
      <c r="D12" s="67" t="n"/>
      <c r="E12" s="96" t="inlineStr">
        <is>
          <t>NON-CALCULATED SALES DATA</t>
        </is>
      </c>
    </row>
    <row r="13" ht="17.1" customHeight="1" s="126">
      <c r="A13" s="32" t="n"/>
      <c r="B13" s="68" t="inlineStr">
        <is>
          <t>FOOD / NON-ALCOHOLIC</t>
        </is>
      </c>
      <c r="C13" s="69" t="inlineStr">
        <is>
          <t>ALCOHOL</t>
        </is>
      </c>
      <c r="D13" s="70" t="inlineStr">
        <is>
          <t>GROUP NET</t>
        </is>
      </c>
      <c r="E13" s="72" t="inlineStr">
        <is>
          <t>SALES TAX</t>
        </is>
      </c>
      <c r="F13" s="70" t="inlineStr">
        <is>
          <t>GROSS SALES</t>
        </is>
      </c>
      <c r="H13" s="106" t="n"/>
    </row>
    <row r="14" ht="24" customHeight="1" s="126">
      <c r="A14" s="32" t="n"/>
      <c r="B14" s="75">
        <f>D28</f>
        <v/>
      </c>
      <c r="C14" s="75">
        <f>F28</f>
        <v/>
      </c>
      <c r="D14" s="76">
        <f>C28</f>
        <v/>
      </c>
      <c r="E14" s="77">
        <f>D28</f>
        <v/>
      </c>
      <c r="F14" s="76">
        <f>E28</f>
        <v/>
      </c>
      <c r="H14" s="106" t="n"/>
    </row>
    <row r="15" ht="21.95" customHeight="1" s="126">
      <c r="A15" s="32" t="n"/>
    </row>
    <row r="16" ht="20.1" customHeight="1" s="126">
      <c r="A16" s="32" t="n"/>
      <c r="B16" s="150" t="inlineStr">
        <is>
          <t>LOCATION SERVICE DETAIL</t>
        </is>
      </c>
    </row>
    <row r="17" ht="33.95" customHeight="1" s="126">
      <c r="A17" s="78" t="inlineStr">
        <is>
          <t>#</t>
        </is>
      </c>
      <c r="B17" s="79" t="inlineStr">
        <is>
          <t>SERVICE AREA</t>
        </is>
      </c>
      <c r="C17" s="79" t="inlineStr">
        <is>
          <t>NET SALES</t>
        </is>
      </c>
      <c r="D17" s="79" t="inlineStr">
        <is>
          <t>FOOD / NON-ALC
NET SALES</t>
        </is>
      </c>
      <c r="E17" s="127" t="inlineStr">
        <is>
          <t>10% FOOD / NON-ALC
COMMISSION</t>
        </is>
      </c>
      <c r="F17" s="79" t="inlineStr">
        <is>
          <t>ALCOHOL
NET SALES</t>
        </is>
      </c>
      <c r="G17" s="80" t="inlineStr">
        <is>
          <t>8% ALCOHOL
COMMISSION</t>
        </is>
      </c>
      <c r="H17" s="80" t="inlineStr">
        <is>
          <t>TOTAL
COMMISSION</t>
        </is>
      </c>
      <c r="I17" s="80" t="inlineStr">
        <is>
          <t>GRATUITIES</t>
        </is>
      </c>
    </row>
    <row r="18" ht="18.95" customHeight="1" s="126">
      <c r="A18" s="81">
        <f>IFERROR(MATCH(TEXT($B$10,"yyyymmdd")&amp;"|"&amp;$E$10&amp;"|1",'EVENT ASSIGNMENT'!$K$2:$K$101,0),"")</f>
        <v/>
      </c>
      <c r="B18" s="179">
        <f>IF(IFERROR(MATCH(TEXT($B$10,"yyyymmdd")&amp;"|"&amp;$E$10&amp;"|1",'EVENT ASSIGNMENT'!$K$2:$K$101,0),"")="","",IFERROR(INDEX('EVENT ASSIGNMENT'!$D$2:$D$101,IFERROR(MATCH(TEXT($B$10,"yyyymmdd")&amp;"|"&amp;$E$10&amp;"|1",'EVENT ASSIGNMENT'!$K$2:$K$101,0),"")),""))</f>
        <v/>
      </c>
      <c r="C18" s="180">
        <f>IF(OR(IFERROR(MATCH(TEXT($B$10,"yyyymmdd")&amp;"|"&amp;$E$10&amp;"|1",'EVENT ASSIGNMENT'!$K$2:$K$101,0),"")="",B18=""),"",IFERROR(INDEX('CONTRACT CALC'!$G$13:$G$112,IFERROR(MATCH(TEXT($B$10,"yyyymmdd")&amp;"|"&amp;$E$10&amp;"|1",'EVENT ASSIGNMENT'!$K$2:$K$101,0),""))*INDEX('CONTRACT CALC'!$F$13:$F$112,IFERROR(MATCH(TEXT($B$10,"yyyymmdd")&amp;"|"&amp;$E$10&amp;"|1",'EVENT ASSIGNMENT'!$K$2:$K$101,0),"")),""))</f>
        <v/>
      </c>
      <c r="D18" s="180">
        <f>IF(OR(IFERROR(MATCH(TEXT($B$10,"yyyymmdd")&amp;"|"&amp;$E$10&amp;"|1",'EVENT ASSIGNMENT'!$K$2:$K$101,0),"")="",B18=""),"",IFERROR(INDEX('CONTRACT CALC'!$I$13:$I$112,IFERROR(MATCH(TEXT($B$10,"yyyymmdd")&amp;"|"&amp;$E$10&amp;"|1",'EVENT ASSIGNMENT'!$K$2:$K$101,0),""))*INDEX('CONTRACT CALC'!$F$13:$F$112,IFERROR(MATCH(TEXT($B$10,"yyyymmdd")&amp;"|"&amp;$E$10&amp;"|1",'EVENT ASSIGNMENT'!$K$2:$K$101,0),"")),""))</f>
        <v/>
      </c>
      <c r="E18" s="180">
        <f>IF(D18="","",D18*'CONTRACT CALC'!$B$4)</f>
        <v/>
      </c>
      <c r="F18" s="180">
        <f>IF(OR(IFERROR(MATCH(TEXT($B$10,"yyyymmdd")&amp;"|"&amp;$E$10&amp;"|1",'EVENT ASSIGNMENT'!$K$2:$K$101,0),"")="",B18=""),"",IFERROR(INDEX('CONTRACT CALC'!$H$13:$H$112,IFERROR(MATCH(TEXT($B$10,"yyyymmdd")&amp;"|"&amp;$E$10&amp;"|1",'EVENT ASSIGNMENT'!$K$2:$K$101,0),""))*INDEX('CONTRACT CALC'!$F$13:$F$112,IFERROR(MATCH(TEXT($B$10,"yyyymmdd")&amp;"|"&amp;$E$10&amp;"|1",'EVENT ASSIGNMENT'!$K$2:$K$101,0),"")),""))</f>
        <v/>
      </c>
      <c r="G18" s="180">
        <f>IF(F18="","",F18*'CONTRACT CALC'!$B$5)</f>
        <v/>
      </c>
      <c r="H18" s="180">
        <f>IF(B18="","",N(E18)+N(G18))</f>
        <v/>
      </c>
      <c r="I18" s="180">
        <f>IF(OR(IFERROR(MATCH(TEXT($B$10,"yyyymmdd")&amp;"|"&amp;$E$10&amp;"|1",'EVENT ASSIGNMENT'!$K$2:$K$101,0),"")="",B18=""),"",IF(COUNTIFS('TIPS DATA'!$A$2:$A$101,$B$10,'TIPS DATA'!$C$2:$C$101,$E$10,'TIPS DATA'!$D$2:$D$101,INDEX('EVENT ASSIGNMENT'!$C$2:$C$101,IFERROR(MATCH(TEXT($B$10,"yyyymmdd")&amp;"|"&amp;$E$10&amp;"|1",'EVENT ASSIGNMENT'!$K$2:$K$101,0),"")))&gt;0,SUMIFS('TIPS DATA'!$H$2:$H$101,'TIPS DATA'!$A$2:$A$101,$B$10,'TIPS DATA'!$C$2:$C$101,$E$10,'TIPS DATA'!$D$2:$D$101,INDEX('EVENT ASSIGNMENT'!$C$2:$C$101,IFERROR(MATCH(TEXT($B$10,"yyyymmdd")&amp;"|"&amp;$E$10&amp;"|1",'EVENT ASSIGNMENT'!$K$2:$K$101,0),""))),SUMIFS('TIPS DATA'!$H$2:$H$101,'TIPS DATA'!$A$2:$A$101,$B$10,'TIPS DATA'!$C$2:$C$101,$E$10,'TIPS DATA'!$E$2:$E$101,INDEX('EVENT ASSIGNMENT'!$D$2:$D$101,IFERROR(MATCH(TEXT($B$10,"yyyymmdd")&amp;"|"&amp;$E$10&amp;"|1",'EVENT ASSIGNMENT'!$K$2:$K$101,0),"")))))</f>
        <v/>
      </c>
    </row>
    <row r="19" ht="18.95" customHeight="1" s="126">
      <c r="A19" s="81">
        <f>IFERROR(MATCH(TEXT($B$10,"yyyymmdd")&amp;"|"&amp;$E$10&amp;"|2",'EVENT ASSIGNMENT'!$K$2:$K$101,0),"")</f>
        <v/>
      </c>
      <c r="B19" s="179">
        <f>IF(IFERROR(MATCH(TEXT($B$10,"yyyymmdd")&amp;"|"&amp;$E$10&amp;"|2",'EVENT ASSIGNMENT'!$K$2:$K$101,0),"")="","",IFERROR(INDEX('EVENT ASSIGNMENT'!$D$2:$D$101,IFERROR(MATCH(TEXT($B$10,"yyyymmdd")&amp;"|"&amp;$E$10&amp;"|2",'EVENT ASSIGNMENT'!$K$2:$K$101,0),"")),""))</f>
        <v/>
      </c>
      <c r="C19" s="180">
        <f>IF(OR(IFERROR(MATCH(TEXT($B$10,"yyyymmdd")&amp;"|"&amp;$E$10&amp;"|2",'EVENT ASSIGNMENT'!$K$2:$K$101,0),"")="",B19=""),"",IFERROR(INDEX('CONTRACT CALC'!$G$13:$G$112,IFERROR(MATCH(TEXT($B$10,"yyyymmdd")&amp;"|"&amp;$E$10&amp;"|2",'EVENT ASSIGNMENT'!$K$2:$K$101,0),""))*INDEX('CONTRACT CALC'!$F$13:$F$112,IFERROR(MATCH(TEXT($B$10,"yyyymmdd")&amp;"|"&amp;$E$10&amp;"|2",'EVENT ASSIGNMENT'!$K$2:$K$101,0),"")),""))</f>
        <v/>
      </c>
      <c r="D19" s="180">
        <f>IF(OR(IFERROR(MATCH(TEXT($B$10,"yyyymmdd")&amp;"|"&amp;$E$10&amp;"|2",'EVENT ASSIGNMENT'!$K$2:$K$101,0),"")="",B19=""),"",IFERROR(INDEX('CONTRACT CALC'!$I$13:$I$112,IFERROR(MATCH(TEXT($B$10,"yyyymmdd")&amp;"|"&amp;$E$10&amp;"|2",'EVENT ASSIGNMENT'!$K$2:$K$101,0),""))*INDEX('CONTRACT CALC'!$F$13:$F$112,IFERROR(MATCH(TEXT($B$10,"yyyymmdd")&amp;"|"&amp;$E$10&amp;"|2",'EVENT ASSIGNMENT'!$K$2:$K$101,0),"")),""))</f>
        <v/>
      </c>
      <c r="E19" s="180">
        <f>IF(D19="","",D19*'CONTRACT CALC'!$B$4)</f>
        <v/>
      </c>
      <c r="F19" s="180">
        <f>IF(OR(IFERROR(MATCH(TEXT($B$10,"yyyymmdd")&amp;"|"&amp;$E$10&amp;"|2",'EVENT ASSIGNMENT'!$K$2:$K$101,0),"")="",B19=""),"",IFERROR(INDEX('CONTRACT CALC'!$H$13:$H$112,IFERROR(MATCH(TEXT($B$10,"yyyymmdd")&amp;"|"&amp;$E$10&amp;"|2",'EVENT ASSIGNMENT'!$K$2:$K$101,0),""))*INDEX('CONTRACT CALC'!$F$13:$F$112,IFERROR(MATCH(TEXT($B$10,"yyyymmdd")&amp;"|"&amp;$E$10&amp;"|2",'EVENT ASSIGNMENT'!$K$2:$K$101,0),"")),""))</f>
        <v/>
      </c>
      <c r="G19" s="180">
        <f>IF(F19="","",F19*'CONTRACT CALC'!$B$5)</f>
        <v/>
      </c>
      <c r="H19" s="180">
        <f>IF(B19="","",N(E19)+N(G19))</f>
        <v/>
      </c>
      <c r="I19" s="180">
        <f>IF(OR(IFERROR(MATCH(TEXT($B$10,"yyyymmdd")&amp;"|"&amp;$E$10&amp;"|2",'EVENT ASSIGNMENT'!$K$2:$K$101,0),"")="",B19=""),"",IF(COUNTIFS('TIPS DATA'!$A$2:$A$101,$B$10,'TIPS DATA'!$C$2:$C$101,$E$10,'TIPS DATA'!$D$2:$D$101,INDEX('EVENT ASSIGNMENT'!$C$2:$C$101,IFERROR(MATCH(TEXT($B$10,"yyyymmdd")&amp;"|"&amp;$E$10&amp;"|2",'EVENT ASSIGNMENT'!$K$2:$K$101,0),"")))&gt;0,SUMIFS('TIPS DATA'!$H$2:$H$101,'TIPS DATA'!$A$2:$A$101,$B$10,'TIPS DATA'!$C$2:$C$101,$E$10,'TIPS DATA'!$D$2:$D$101,INDEX('EVENT ASSIGNMENT'!$C$2:$C$101,IFERROR(MATCH(TEXT($B$10,"yyyymmdd")&amp;"|"&amp;$E$10&amp;"|2",'EVENT ASSIGNMENT'!$K$2:$K$101,0),""))),SUMIFS('TIPS DATA'!$H$2:$H$101,'TIPS DATA'!$A$2:$A$101,$B$10,'TIPS DATA'!$C$2:$C$101,$E$10,'TIPS DATA'!$E$2:$E$101,INDEX('EVENT ASSIGNMENT'!$D$2:$D$101,IFERROR(MATCH(TEXT($B$10,"yyyymmdd")&amp;"|"&amp;$E$10&amp;"|2",'EVENT ASSIGNMENT'!$K$2:$K$101,0),"")))))</f>
        <v/>
      </c>
    </row>
    <row r="20" ht="18.95" customHeight="1" s="126">
      <c r="A20" s="81">
        <f>IFERROR(MATCH(TEXT($B$10,"yyyymmdd")&amp;"|"&amp;$E$10&amp;"|3",'EVENT ASSIGNMENT'!$K$2:$K$101,0),"")</f>
        <v/>
      </c>
      <c r="B20" s="179">
        <f>IF(IFERROR(MATCH(TEXT($B$10,"yyyymmdd")&amp;"|"&amp;$E$10&amp;"|3",'EVENT ASSIGNMENT'!$K$2:$K$101,0),"")="","",IFERROR(INDEX('EVENT ASSIGNMENT'!$D$2:$D$101,IFERROR(MATCH(TEXT($B$10,"yyyymmdd")&amp;"|"&amp;$E$10&amp;"|3",'EVENT ASSIGNMENT'!$K$2:$K$101,0),"")),""))</f>
        <v/>
      </c>
      <c r="C20" s="180">
        <f>IF(OR(IFERROR(MATCH(TEXT($B$10,"yyyymmdd")&amp;"|"&amp;$E$10&amp;"|3",'EVENT ASSIGNMENT'!$K$2:$K$101,0),"")="",B20=""),"",IFERROR(INDEX('CONTRACT CALC'!$G$13:$G$112,IFERROR(MATCH(TEXT($B$10,"yyyymmdd")&amp;"|"&amp;$E$10&amp;"|3",'EVENT ASSIGNMENT'!$K$2:$K$101,0),""))*INDEX('CONTRACT CALC'!$F$13:$F$112,IFERROR(MATCH(TEXT($B$10,"yyyymmdd")&amp;"|"&amp;$E$10&amp;"|3",'EVENT ASSIGNMENT'!$K$2:$K$101,0),"")),""))</f>
        <v/>
      </c>
      <c r="D20" s="180">
        <f>IF(OR(IFERROR(MATCH(TEXT($B$10,"yyyymmdd")&amp;"|"&amp;$E$10&amp;"|3",'EVENT ASSIGNMENT'!$K$2:$K$101,0),"")="",B20=""),"",IFERROR(INDEX('CONTRACT CALC'!$I$13:$I$112,IFERROR(MATCH(TEXT($B$10,"yyyymmdd")&amp;"|"&amp;$E$10&amp;"|3",'EVENT ASSIGNMENT'!$K$2:$K$101,0),""))*INDEX('CONTRACT CALC'!$F$13:$F$112,IFERROR(MATCH(TEXT($B$10,"yyyymmdd")&amp;"|"&amp;$E$10&amp;"|3",'EVENT ASSIGNMENT'!$K$2:$K$101,0),"")),""))</f>
        <v/>
      </c>
      <c r="E20" s="180">
        <f>IF(D20="","",D20*'CONTRACT CALC'!$B$4)</f>
        <v/>
      </c>
      <c r="F20" s="180">
        <f>IF(OR(IFERROR(MATCH(TEXT($B$10,"yyyymmdd")&amp;"|"&amp;$E$10&amp;"|3",'EVENT ASSIGNMENT'!$K$2:$K$101,0),"")="",B20=""),"",IFERROR(INDEX('CONTRACT CALC'!$H$13:$H$112,IFERROR(MATCH(TEXT($B$10,"yyyymmdd")&amp;"|"&amp;$E$10&amp;"|3",'EVENT ASSIGNMENT'!$K$2:$K$101,0),""))*INDEX('CONTRACT CALC'!$F$13:$F$112,IFERROR(MATCH(TEXT($B$10,"yyyymmdd")&amp;"|"&amp;$E$10&amp;"|3",'EVENT ASSIGNMENT'!$K$2:$K$101,0),"")),""))</f>
        <v/>
      </c>
      <c r="G20" s="180">
        <f>IF(F20="","",F20*'CONTRACT CALC'!$B$5)</f>
        <v/>
      </c>
      <c r="H20" s="180">
        <f>IF(B20="","",N(E20)+N(G20))</f>
        <v/>
      </c>
      <c r="I20" s="180">
        <f>IF(OR(IFERROR(MATCH(TEXT($B$10,"yyyymmdd")&amp;"|"&amp;$E$10&amp;"|3",'EVENT ASSIGNMENT'!$K$2:$K$101,0),"")="",B20=""),"",IF(COUNTIFS('TIPS DATA'!$A$2:$A$101,$B$10,'TIPS DATA'!$C$2:$C$101,$E$10,'TIPS DATA'!$D$2:$D$101,INDEX('EVENT ASSIGNMENT'!$C$2:$C$101,IFERROR(MATCH(TEXT($B$10,"yyyymmdd")&amp;"|"&amp;$E$10&amp;"|3",'EVENT ASSIGNMENT'!$K$2:$K$101,0),"")))&gt;0,SUMIFS('TIPS DATA'!$H$2:$H$101,'TIPS DATA'!$A$2:$A$101,$B$10,'TIPS DATA'!$C$2:$C$101,$E$10,'TIPS DATA'!$D$2:$D$101,INDEX('EVENT ASSIGNMENT'!$C$2:$C$101,IFERROR(MATCH(TEXT($B$10,"yyyymmdd")&amp;"|"&amp;$E$10&amp;"|3",'EVENT ASSIGNMENT'!$K$2:$K$101,0),""))),SUMIFS('TIPS DATA'!$H$2:$H$101,'TIPS DATA'!$A$2:$A$101,$B$10,'TIPS DATA'!$C$2:$C$101,$E$10,'TIPS DATA'!$E$2:$E$101,INDEX('EVENT ASSIGNMENT'!$D$2:$D$101,IFERROR(MATCH(TEXT($B$10,"yyyymmdd")&amp;"|"&amp;$E$10&amp;"|3",'EVENT ASSIGNMENT'!$K$2:$K$101,0),"")))))</f>
        <v/>
      </c>
    </row>
    <row r="21" ht="18.95" customHeight="1" s="126">
      <c r="A21" s="81">
        <f>IFERROR(MATCH(TEXT($B$10,"yyyymmdd")&amp;"|"&amp;$E$10&amp;"|4",'EVENT ASSIGNMENT'!$K$2:$K$101,0),"")</f>
        <v/>
      </c>
      <c r="B21" s="179">
        <f>IF(IFERROR(MATCH(TEXT($B$10,"yyyymmdd")&amp;"|"&amp;$E$10&amp;"|4",'EVENT ASSIGNMENT'!$K$2:$K$101,0),"")="","",IFERROR(INDEX('EVENT ASSIGNMENT'!$D$2:$D$101,IFERROR(MATCH(TEXT($B$10,"yyyymmdd")&amp;"|"&amp;$E$10&amp;"|4",'EVENT ASSIGNMENT'!$K$2:$K$101,0),"")),""))</f>
        <v/>
      </c>
      <c r="C21" s="180">
        <f>IF(OR(IFERROR(MATCH(TEXT($B$10,"yyyymmdd")&amp;"|"&amp;$E$10&amp;"|4",'EVENT ASSIGNMENT'!$K$2:$K$101,0),"")="",B21=""),"",IFERROR(INDEX('CONTRACT CALC'!$G$13:$G$112,IFERROR(MATCH(TEXT($B$10,"yyyymmdd")&amp;"|"&amp;$E$10&amp;"|4",'EVENT ASSIGNMENT'!$K$2:$K$101,0),""))*INDEX('CONTRACT CALC'!$F$13:$F$112,IFERROR(MATCH(TEXT($B$10,"yyyymmdd")&amp;"|"&amp;$E$10&amp;"|4",'EVENT ASSIGNMENT'!$K$2:$K$101,0),"")),""))</f>
        <v/>
      </c>
      <c r="D21" s="180">
        <f>IF(OR(IFERROR(MATCH(TEXT($B$10,"yyyymmdd")&amp;"|"&amp;$E$10&amp;"|4",'EVENT ASSIGNMENT'!$K$2:$K$101,0),"")="",B21=""),"",IFERROR(INDEX('CONTRACT CALC'!$I$13:$I$112,IFERROR(MATCH(TEXT($B$10,"yyyymmdd")&amp;"|"&amp;$E$10&amp;"|4",'EVENT ASSIGNMENT'!$K$2:$K$101,0),""))*INDEX('CONTRACT CALC'!$F$13:$F$112,IFERROR(MATCH(TEXT($B$10,"yyyymmdd")&amp;"|"&amp;$E$10&amp;"|4",'EVENT ASSIGNMENT'!$K$2:$K$101,0),"")),""))</f>
        <v/>
      </c>
      <c r="E21" s="180">
        <f>IF(D21="","",D21*'CONTRACT CALC'!$B$4)</f>
        <v/>
      </c>
      <c r="F21" s="180">
        <f>IF(OR(IFERROR(MATCH(TEXT($B$10,"yyyymmdd")&amp;"|"&amp;$E$10&amp;"|4",'EVENT ASSIGNMENT'!$K$2:$K$101,0),"")="",B21=""),"",IFERROR(INDEX('CONTRACT CALC'!$H$13:$H$112,IFERROR(MATCH(TEXT($B$10,"yyyymmdd")&amp;"|"&amp;$E$10&amp;"|4",'EVENT ASSIGNMENT'!$K$2:$K$101,0),""))*INDEX('CONTRACT CALC'!$F$13:$F$112,IFERROR(MATCH(TEXT($B$10,"yyyymmdd")&amp;"|"&amp;$E$10&amp;"|4",'EVENT ASSIGNMENT'!$K$2:$K$101,0),"")),""))</f>
        <v/>
      </c>
      <c r="G21" s="180">
        <f>IF(F21="","",F21*'CONTRACT CALC'!$B$5)</f>
        <v/>
      </c>
      <c r="H21" s="180">
        <f>IF(B21="","",N(E21)+N(G21))</f>
        <v/>
      </c>
      <c r="I21" s="180">
        <f>IF(OR(IFERROR(MATCH(TEXT($B$10,"yyyymmdd")&amp;"|"&amp;$E$10&amp;"|4",'EVENT ASSIGNMENT'!$K$2:$K$101,0),"")="",B21=""),"",IF(COUNTIFS('TIPS DATA'!$A$2:$A$101,$B$10,'TIPS DATA'!$C$2:$C$101,$E$10,'TIPS DATA'!$D$2:$D$101,INDEX('EVENT ASSIGNMENT'!$C$2:$C$101,IFERROR(MATCH(TEXT($B$10,"yyyymmdd")&amp;"|"&amp;$E$10&amp;"|4",'EVENT ASSIGNMENT'!$K$2:$K$101,0),"")))&gt;0,SUMIFS('TIPS DATA'!$H$2:$H$101,'TIPS DATA'!$A$2:$A$101,$B$10,'TIPS DATA'!$C$2:$C$101,$E$10,'TIPS DATA'!$D$2:$D$101,INDEX('EVENT ASSIGNMENT'!$C$2:$C$101,IFERROR(MATCH(TEXT($B$10,"yyyymmdd")&amp;"|"&amp;$E$10&amp;"|4",'EVENT ASSIGNMENT'!$K$2:$K$101,0),""))),SUMIFS('TIPS DATA'!$H$2:$H$101,'TIPS DATA'!$A$2:$A$101,$B$10,'TIPS DATA'!$C$2:$C$101,$E$10,'TIPS DATA'!$E$2:$E$101,INDEX('EVENT ASSIGNMENT'!$D$2:$D$101,IFERROR(MATCH(TEXT($B$10,"yyyymmdd")&amp;"|"&amp;$E$10&amp;"|4",'EVENT ASSIGNMENT'!$K$2:$K$101,0),"")))))</f>
        <v/>
      </c>
    </row>
    <row r="22" ht="18.95" customHeight="1" s="126">
      <c r="A22" s="81">
        <f>IFERROR(MATCH(TEXT($B$10,"yyyymmdd")&amp;"|"&amp;$E$10&amp;"|5",'EVENT ASSIGNMENT'!$K$2:$K$101,0),"")</f>
        <v/>
      </c>
      <c r="B22" s="179">
        <f>IF(IFERROR(MATCH(TEXT($B$10,"yyyymmdd")&amp;"|"&amp;$E$10&amp;"|5",'EVENT ASSIGNMENT'!$K$2:$K$101,0),"")="","",IFERROR(INDEX('EVENT ASSIGNMENT'!$D$2:$D$101,IFERROR(MATCH(TEXT($B$10,"yyyymmdd")&amp;"|"&amp;$E$10&amp;"|5",'EVENT ASSIGNMENT'!$K$2:$K$101,0),"")),""))</f>
        <v/>
      </c>
      <c r="C22" s="180">
        <f>IF(OR(IFERROR(MATCH(TEXT($B$10,"yyyymmdd")&amp;"|"&amp;$E$10&amp;"|5",'EVENT ASSIGNMENT'!$K$2:$K$101,0),"")="",B22=""),"",IFERROR(INDEX('CONTRACT CALC'!$G$13:$G$112,IFERROR(MATCH(TEXT($B$10,"yyyymmdd")&amp;"|"&amp;$E$10&amp;"|5",'EVENT ASSIGNMENT'!$K$2:$K$101,0),""))*INDEX('CONTRACT CALC'!$F$13:$F$112,IFERROR(MATCH(TEXT($B$10,"yyyymmdd")&amp;"|"&amp;$E$10&amp;"|5",'EVENT ASSIGNMENT'!$K$2:$K$101,0),"")),""))</f>
        <v/>
      </c>
      <c r="D22" s="180">
        <f>IF(OR(IFERROR(MATCH(TEXT($B$10,"yyyymmdd")&amp;"|"&amp;$E$10&amp;"|5",'EVENT ASSIGNMENT'!$K$2:$K$101,0),"")="",B22=""),"",IFERROR(INDEX('CONTRACT CALC'!$I$13:$I$112,IFERROR(MATCH(TEXT($B$10,"yyyymmdd")&amp;"|"&amp;$E$10&amp;"|5",'EVENT ASSIGNMENT'!$K$2:$K$101,0),""))*INDEX('CONTRACT CALC'!$F$13:$F$112,IFERROR(MATCH(TEXT($B$10,"yyyymmdd")&amp;"|"&amp;$E$10&amp;"|5",'EVENT ASSIGNMENT'!$K$2:$K$101,0),"")),""))</f>
        <v/>
      </c>
      <c r="E22" s="180">
        <f>IF(D22="","",D22*'CONTRACT CALC'!$B$4)</f>
        <v/>
      </c>
      <c r="F22" s="180">
        <f>IF(OR(IFERROR(MATCH(TEXT($B$10,"yyyymmdd")&amp;"|"&amp;$E$10&amp;"|5",'EVENT ASSIGNMENT'!$K$2:$K$101,0),"")="",B22=""),"",IFERROR(INDEX('CONTRACT CALC'!$H$13:$H$112,IFERROR(MATCH(TEXT($B$10,"yyyymmdd")&amp;"|"&amp;$E$10&amp;"|5",'EVENT ASSIGNMENT'!$K$2:$K$101,0),""))*INDEX('CONTRACT CALC'!$F$13:$F$112,IFERROR(MATCH(TEXT($B$10,"yyyymmdd")&amp;"|"&amp;$E$10&amp;"|5",'EVENT ASSIGNMENT'!$K$2:$K$101,0),"")),""))</f>
        <v/>
      </c>
      <c r="G22" s="180">
        <f>IF(F22="","",F22*'CONTRACT CALC'!$B$5)</f>
        <v/>
      </c>
      <c r="H22" s="180">
        <f>IF(B22="","",N(E22)+N(G22))</f>
        <v/>
      </c>
      <c r="I22" s="180">
        <f>IF(OR(IFERROR(MATCH(TEXT($B$10,"yyyymmdd")&amp;"|"&amp;$E$10&amp;"|5",'EVENT ASSIGNMENT'!$K$2:$K$101,0),"")="",B22=""),"",IF(COUNTIFS('TIPS DATA'!$A$2:$A$101,$B$10,'TIPS DATA'!$C$2:$C$101,$E$10,'TIPS DATA'!$D$2:$D$101,INDEX('EVENT ASSIGNMENT'!$C$2:$C$101,IFERROR(MATCH(TEXT($B$10,"yyyymmdd")&amp;"|"&amp;$E$10&amp;"|5",'EVENT ASSIGNMENT'!$K$2:$K$101,0),"")))&gt;0,SUMIFS('TIPS DATA'!$H$2:$H$101,'TIPS DATA'!$A$2:$A$101,$B$10,'TIPS DATA'!$C$2:$C$101,$E$10,'TIPS DATA'!$D$2:$D$101,INDEX('EVENT ASSIGNMENT'!$C$2:$C$101,IFERROR(MATCH(TEXT($B$10,"yyyymmdd")&amp;"|"&amp;$E$10&amp;"|5",'EVENT ASSIGNMENT'!$K$2:$K$101,0),""))),SUMIFS('TIPS DATA'!$H$2:$H$101,'TIPS DATA'!$A$2:$A$101,$B$10,'TIPS DATA'!$C$2:$C$101,$E$10,'TIPS DATA'!$E$2:$E$101,INDEX('EVENT ASSIGNMENT'!$D$2:$D$101,IFERROR(MATCH(TEXT($B$10,"yyyymmdd")&amp;"|"&amp;$E$10&amp;"|5",'EVENT ASSIGNMENT'!$K$2:$K$101,0),"")))))</f>
        <v/>
      </c>
    </row>
    <row r="23" ht="20.1" customHeight="1" s="126">
      <c r="A23" s="81">
        <f>IFERROR(MATCH(TEXT($B$10,"yyyymmdd")&amp;"|"&amp;$E$10&amp;"|6",'EVENT ASSIGNMENT'!$K$2:$K$101,0),"")</f>
        <v/>
      </c>
      <c r="B23" s="179">
        <f>IF(IFERROR(MATCH(TEXT($B$10,"yyyymmdd")&amp;"|"&amp;$E$10&amp;"|6",'EVENT ASSIGNMENT'!$K$2:$K$101,0),"")="","",IFERROR(INDEX('EVENT ASSIGNMENT'!$D$2:$D$101,IFERROR(MATCH(TEXT($B$10,"yyyymmdd")&amp;"|"&amp;$E$10&amp;"|6",'EVENT ASSIGNMENT'!$K$2:$K$101,0),"")),""))</f>
        <v/>
      </c>
      <c r="C23" s="180">
        <f>IF(OR(IFERROR(MATCH(TEXT($B$10,"yyyymmdd")&amp;"|"&amp;$E$10&amp;"|6",'EVENT ASSIGNMENT'!$K$2:$K$101,0),"")="",B23=""),"",IFERROR(INDEX('CONTRACT CALC'!$G$13:$G$112,IFERROR(MATCH(TEXT($B$10,"yyyymmdd")&amp;"|"&amp;$E$10&amp;"|6",'EVENT ASSIGNMENT'!$K$2:$K$101,0),""))*INDEX('CONTRACT CALC'!$F$13:$F$112,IFERROR(MATCH(TEXT($B$10,"yyyymmdd")&amp;"|"&amp;$E$10&amp;"|6",'EVENT ASSIGNMENT'!$K$2:$K$101,0),"")),""))</f>
        <v/>
      </c>
      <c r="D23" s="180">
        <f>IF(OR(IFERROR(MATCH(TEXT($B$10,"yyyymmdd")&amp;"|"&amp;$E$10&amp;"|6",'EVENT ASSIGNMENT'!$K$2:$K$101,0),"")="",B23=""),"",IFERROR(INDEX('CONTRACT CALC'!$I$13:$I$112,IFERROR(MATCH(TEXT($B$10,"yyyymmdd")&amp;"|"&amp;$E$10&amp;"|6",'EVENT ASSIGNMENT'!$K$2:$K$101,0),""))*INDEX('CONTRACT CALC'!$F$13:$F$112,IFERROR(MATCH(TEXT($B$10,"yyyymmdd")&amp;"|"&amp;$E$10&amp;"|6",'EVENT ASSIGNMENT'!$K$2:$K$101,0),"")),""))</f>
        <v/>
      </c>
      <c r="E23" s="180">
        <f>IF(D23="","",D23*'CONTRACT CALC'!$B$4)</f>
        <v/>
      </c>
      <c r="F23" s="180">
        <f>IF(OR(IFERROR(MATCH(TEXT($B$10,"yyyymmdd")&amp;"|"&amp;$E$10&amp;"|6",'EVENT ASSIGNMENT'!$K$2:$K$101,0),"")="",B23=""),"",IFERROR(INDEX('CONTRACT CALC'!$H$13:$H$112,IFERROR(MATCH(TEXT($B$10,"yyyymmdd")&amp;"|"&amp;$E$10&amp;"|6",'EVENT ASSIGNMENT'!$K$2:$K$101,0),""))*INDEX('CONTRACT CALC'!$F$13:$F$112,IFERROR(MATCH(TEXT($B$10,"yyyymmdd")&amp;"|"&amp;$E$10&amp;"|6",'EVENT ASSIGNMENT'!$K$2:$K$101,0),"")),""))</f>
        <v/>
      </c>
      <c r="G23" s="180">
        <f>IF(F23="","",F23*'CONTRACT CALC'!$B$5)</f>
        <v/>
      </c>
      <c r="H23" s="180">
        <f>IF(B23="","",N(E23)+N(G23))</f>
        <v/>
      </c>
      <c r="I23" s="180">
        <f>IF(OR(IFERROR(MATCH(TEXT($B$10,"yyyymmdd")&amp;"|"&amp;$E$10&amp;"|6",'EVENT ASSIGNMENT'!$K$2:$K$101,0),"")="",B23=""),"",IF(COUNTIFS('TIPS DATA'!$A$2:$A$101,$B$10,'TIPS DATA'!$C$2:$C$101,$E$10,'TIPS DATA'!$D$2:$D$101,INDEX('EVENT ASSIGNMENT'!$C$2:$C$101,IFERROR(MATCH(TEXT($B$10,"yyyymmdd")&amp;"|"&amp;$E$10&amp;"|6",'EVENT ASSIGNMENT'!$K$2:$K$101,0),"")))&gt;0,SUMIFS('TIPS DATA'!$H$2:$H$101,'TIPS DATA'!$A$2:$A$101,$B$10,'TIPS DATA'!$C$2:$C$101,$E$10,'TIPS DATA'!$D$2:$D$101,INDEX('EVENT ASSIGNMENT'!$C$2:$C$101,IFERROR(MATCH(TEXT($B$10,"yyyymmdd")&amp;"|"&amp;$E$10&amp;"|6",'EVENT ASSIGNMENT'!$K$2:$K$101,0),""))),SUMIFS('TIPS DATA'!$H$2:$H$101,'TIPS DATA'!$A$2:$A$101,$B$10,'TIPS DATA'!$C$2:$C$101,$E$10,'TIPS DATA'!$E$2:$E$101,INDEX('EVENT ASSIGNMENT'!$D$2:$D$101,IFERROR(MATCH(TEXT($B$10,"yyyymmdd")&amp;"|"&amp;$E$10&amp;"|6",'EVENT ASSIGNMENT'!$K$2:$K$101,0),"")))))</f>
        <v/>
      </c>
    </row>
    <row r="24" ht="17.1" customHeight="1" s="126">
      <c r="A24" s="81">
        <f>IFERROR(MATCH(TEXT($B$10,"yyyymmdd")&amp;"|"&amp;$E$10&amp;"|7",'EVENT ASSIGNMENT'!$K$2:$K$101,0),"")</f>
        <v/>
      </c>
      <c r="B24" s="179">
        <f>IF(IFERROR(MATCH(TEXT($B$10,"yyyymmdd")&amp;"|"&amp;$E$10&amp;"|7",'EVENT ASSIGNMENT'!$K$2:$K$101,0),"")="","",IFERROR(INDEX('EVENT ASSIGNMENT'!$D$2:$D$101,IFERROR(MATCH(TEXT($B$10,"yyyymmdd")&amp;"|"&amp;$E$10&amp;"|7",'EVENT ASSIGNMENT'!$K$2:$K$101,0),"")),""))</f>
        <v/>
      </c>
      <c r="C24" s="180">
        <f>IF(OR(IFERROR(MATCH(TEXT($B$10,"yyyymmdd")&amp;"|"&amp;$E$10&amp;"|7",'EVENT ASSIGNMENT'!$K$2:$K$101,0),"")="",B24=""),"",IFERROR(INDEX('CONTRACT CALC'!$G$13:$G$112,IFERROR(MATCH(TEXT($B$10,"yyyymmdd")&amp;"|"&amp;$E$10&amp;"|7",'EVENT ASSIGNMENT'!$K$2:$K$101,0),""))*INDEX('CONTRACT CALC'!$F$13:$F$112,IFERROR(MATCH(TEXT($B$10,"yyyymmdd")&amp;"|"&amp;$E$10&amp;"|7",'EVENT ASSIGNMENT'!$K$2:$K$101,0),"")),""))</f>
        <v/>
      </c>
      <c r="D24" s="180">
        <f>IF(OR(IFERROR(MATCH(TEXT($B$10,"yyyymmdd")&amp;"|"&amp;$E$10&amp;"|7",'EVENT ASSIGNMENT'!$K$2:$K$101,0),"")="",B24=""),"",IFERROR(INDEX('CONTRACT CALC'!$I$13:$I$112,IFERROR(MATCH(TEXT($B$10,"yyyymmdd")&amp;"|"&amp;$E$10&amp;"|7",'EVENT ASSIGNMENT'!$K$2:$K$101,0),""))*INDEX('CONTRACT CALC'!$F$13:$F$112,IFERROR(MATCH(TEXT($B$10,"yyyymmdd")&amp;"|"&amp;$E$10&amp;"|7",'EVENT ASSIGNMENT'!$K$2:$K$101,0),"")),""))</f>
        <v/>
      </c>
      <c r="E24" s="180">
        <f>IF(D24="","",D24*'CONTRACT CALC'!$B$4)</f>
        <v/>
      </c>
      <c r="F24" s="180">
        <f>IF(OR(IFERROR(MATCH(TEXT($B$10,"yyyymmdd")&amp;"|"&amp;$E$10&amp;"|7",'EVENT ASSIGNMENT'!$K$2:$K$101,0),"")="",B24=""),"",IFERROR(INDEX('CONTRACT CALC'!$H$13:$H$112,IFERROR(MATCH(TEXT($B$10,"yyyymmdd")&amp;"|"&amp;$E$10&amp;"|7",'EVENT ASSIGNMENT'!$K$2:$K$101,0),""))*INDEX('CONTRACT CALC'!$F$13:$F$112,IFERROR(MATCH(TEXT($B$10,"yyyymmdd")&amp;"|"&amp;$E$10&amp;"|7",'EVENT ASSIGNMENT'!$K$2:$K$101,0),"")),""))</f>
        <v/>
      </c>
      <c r="G24" s="180">
        <f>IF(F24="","",F24*'CONTRACT CALC'!$B$5)</f>
        <v/>
      </c>
      <c r="H24" s="180">
        <f>IF(B24="","",N(E24)+N(G24))</f>
        <v/>
      </c>
      <c r="I24" s="180">
        <f>IF(OR(IFERROR(MATCH(TEXT($B$10,"yyyymmdd")&amp;"|"&amp;$E$10&amp;"|7",'EVENT ASSIGNMENT'!$K$2:$K$101,0),"")="",B24=""),"",IF(COUNTIFS('TIPS DATA'!$A$2:$A$101,$B$10,'TIPS DATA'!$C$2:$C$101,$E$10,'TIPS DATA'!$D$2:$D$101,INDEX('EVENT ASSIGNMENT'!$C$2:$C$101,IFERROR(MATCH(TEXT($B$10,"yyyymmdd")&amp;"|"&amp;$E$10&amp;"|7",'EVENT ASSIGNMENT'!$K$2:$K$101,0),"")))&gt;0,SUMIFS('TIPS DATA'!$H$2:$H$101,'TIPS DATA'!$A$2:$A$101,$B$10,'TIPS DATA'!$C$2:$C$101,$E$10,'TIPS DATA'!$D$2:$D$101,INDEX('EVENT ASSIGNMENT'!$C$2:$C$101,IFERROR(MATCH(TEXT($B$10,"yyyymmdd")&amp;"|"&amp;$E$10&amp;"|7",'EVENT ASSIGNMENT'!$K$2:$K$101,0),""))),SUMIFS('TIPS DATA'!$H$2:$H$101,'TIPS DATA'!$A$2:$A$101,$B$10,'TIPS DATA'!$C$2:$C$101,$E$10,'TIPS DATA'!$E$2:$E$101,INDEX('EVENT ASSIGNMENT'!$D$2:$D$101,IFERROR(MATCH(TEXT($B$10,"yyyymmdd")&amp;"|"&amp;$E$10&amp;"|7",'EVENT ASSIGNMENT'!$K$2:$K$101,0),"")))))</f>
        <v/>
      </c>
    </row>
    <row r="25" ht="20.1" customHeight="1" s="126">
      <c r="A25" s="81">
        <f>IFERROR(MATCH(TEXT($B$10,"yyyymmdd")&amp;"|"&amp;$E$10&amp;"|8",'EVENT ASSIGNMENT'!$K$2:$K$101,0),"")</f>
        <v/>
      </c>
      <c r="B25" s="179">
        <f>IF(IFERROR(MATCH(TEXT($B$10,"yyyymmdd")&amp;"|"&amp;$E$10&amp;"|8",'EVENT ASSIGNMENT'!$K$2:$K$101,0),"")="","",IFERROR(INDEX('EVENT ASSIGNMENT'!$D$2:$D$101,IFERROR(MATCH(TEXT($B$10,"yyyymmdd")&amp;"|"&amp;$E$10&amp;"|8",'EVENT ASSIGNMENT'!$K$2:$K$101,0),"")),""))</f>
        <v/>
      </c>
      <c r="C25" s="180">
        <f>IF(OR(IFERROR(MATCH(TEXT($B$10,"yyyymmdd")&amp;"|"&amp;$E$10&amp;"|8",'EVENT ASSIGNMENT'!$K$2:$K$101,0),"")="",B25=""),"",IFERROR(INDEX('CONTRACT CALC'!$G$13:$G$112,IFERROR(MATCH(TEXT($B$10,"yyyymmdd")&amp;"|"&amp;$E$10&amp;"|8",'EVENT ASSIGNMENT'!$K$2:$K$101,0),""))*INDEX('CONTRACT CALC'!$F$13:$F$112,IFERROR(MATCH(TEXT($B$10,"yyyymmdd")&amp;"|"&amp;$E$10&amp;"|8",'EVENT ASSIGNMENT'!$K$2:$K$101,0),"")),""))</f>
        <v/>
      </c>
      <c r="D25" s="180">
        <f>IF(OR(IFERROR(MATCH(TEXT($B$10,"yyyymmdd")&amp;"|"&amp;$E$10&amp;"|8",'EVENT ASSIGNMENT'!$K$2:$K$101,0),"")="",B25=""),"",IFERROR(INDEX('CONTRACT CALC'!$I$13:$I$112,IFERROR(MATCH(TEXT($B$10,"yyyymmdd")&amp;"|"&amp;$E$10&amp;"|8",'EVENT ASSIGNMENT'!$K$2:$K$101,0),""))*INDEX('CONTRACT CALC'!$F$13:$F$112,IFERROR(MATCH(TEXT($B$10,"yyyymmdd")&amp;"|"&amp;$E$10&amp;"|8",'EVENT ASSIGNMENT'!$K$2:$K$101,0),"")),""))</f>
        <v/>
      </c>
      <c r="E25" s="180">
        <f>IF(D25="","",D25*'CONTRACT CALC'!$B$4)</f>
        <v/>
      </c>
      <c r="F25" s="180">
        <f>IF(OR(IFERROR(MATCH(TEXT($B$10,"yyyymmdd")&amp;"|"&amp;$E$10&amp;"|8",'EVENT ASSIGNMENT'!$K$2:$K$101,0),"")="",B25=""),"",IFERROR(INDEX('CONTRACT CALC'!$H$13:$H$112,IFERROR(MATCH(TEXT($B$10,"yyyymmdd")&amp;"|"&amp;$E$10&amp;"|8",'EVENT ASSIGNMENT'!$K$2:$K$101,0),""))*INDEX('CONTRACT CALC'!$F$13:$F$112,IFERROR(MATCH(TEXT($B$10,"yyyymmdd")&amp;"|"&amp;$E$10&amp;"|8",'EVENT ASSIGNMENT'!$K$2:$K$101,0),"")),""))</f>
        <v/>
      </c>
      <c r="G25" s="180">
        <f>IF(F25="","",F25*'CONTRACT CALC'!$B$5)</f>
        <v/>
      </c>
      <c r="H25" s="180">
        <f>IF(B25="","",N(E25)+N(G25))</f>
        <v/>
      </c>
      <c r="I25" s="180">
        <f>IF(OR(IFERROR(MATCH(TEXT($B$10,"yyyymmdd")&amp;"|"&amp;$E$10&amp;"|8",'EVENT ASSIGNMENT'!$K$2:$K$101,0),"")="",B25=""),"",IF(COUNTIFS('TIPS DATA'!$A$2:$A$101,$B$10,'TIPS DATA'!$C$2:$C$101,$E$10,'TIPS DATA'!$D$2:$D$101,INDEX('EVENT ASSIGNMENT'!$C$2:$C$101,IFERROR(MATCH(TEXT($B$10,"yyyymmdd")&amp;"|"&amp;$E$10&amp;"|8",'EVENT ASSIGNMENT'!$K$2:$K$101,0),"")))&gt;0,SUMIFS('TIPS DATA'!$H$2:$H$101,'TIPS DATA'!$A$2:$A$101,$B$10,'TIPS DATA'!$C$2:$C$101,$E$10,'TIPS DATA'!$D$2:$D$101,INDEX('EVENT ASSIGNMENT'!$C$2:$C$101,IFERROR(MATCH(TEXT($B$10,"yyyymmdd")&amp;"|"&amp;$E$10&amp;"|8",'EVENT ASSIGNMENT'!$K$2:$K$101,0),""))),SUMIFS('TIPS DATA'!$H$2:$H$101,'TIPS DATA'!$A$2:$A$101,$B$10,'TIPS DATA'!$C$2:$C$101,$E$10,'TIPS DATA'!$E$2:$E$101,INDEX('EVENT ASSIGNMENT'!$D$2:$D$101,IFERROR(MATCH(TEXT($B$10,"yyyymmdd")&amp;"|"&amp;$E$10&amp;"|8",'EVENT ASSIGNMENT'!$K$2:$K$101,0),"")))))</f>
        <v/>
      </c>
    </row>
    <row r="26" ht="18" customHeight="1" s="126">
      <c r="A26" s="81">
        <f>IFERROR(MATCH(TEXT($B$10,"yyyymmdd")&amp;"|"&amp;$E$10&amp;"|9",'EVENT ASSIGNMENT'!$K$2:$K$101,0),"")</f>
        <v/>
      </c>
      <c r="B26" s="179">
        <f>IF(IFERROR(MATCH(TEXT($B$10,"yyyymmdd")&amp;"|"&amp;$E$10&amp;"|9",'EVENT ASSIGNMENT'!$K$2:$K$101,0),"")="","",IFERROR(INDEX('EVENT ASSIGNMENT'!$D$2:$D$101,IFERROR(MATCH(TEXT($B$10,"yyyymmdd")&amp;"|"&amp;$E$10&amp;"|9",'EVENT ASSIGNMENT'!$K$2:$K$101,0),"")),""))</f>
        <v/>
      </c>
      <c r="C26" s="180">
        <f>IF(OR(IFERROR(MATCH(TEXT($B$10,"yyyymmdd")&amp;"|"&amp;$E$10&amp;"|9",'EVENT ASSIGNMENT'!$K$2:$K$101,0),"")="",B26=""),"",IFERROR(INDEX('CONTRACT CALC'!$G$13:$G$112,IFERROR(MATCH(TEXT($B$10,"yyyymmdd")&amp;"|"&amp;$E$10&amp;"|9",'EVENT ASSIGNMENT'!$K$2:$K$101,0),""))*INDEX('CONTRACT CALC'!$F$13:$F$112,IFERROR(MATCH(TEXT($B$10,"yyyymmdd")&amp;"|"&amp;$E$10&amp;"|9",'EVENT ASSIGNMENT'!$K$2:$K$101,0),"")),""))</f>
        <v/>
      </c>
      <c r="D26" s="180">
        <f>IF(OR(IFERROR(MATCH(TEXT($B$10,"yyyymmdd")&amp;"|"&amp;$E$10&amp;"|9",'EVENT ASSIGNMENT'!$K$2:$K$101,0),"")="",B26=""),"",IFERROR(INDEX('CONTRACT CALC'!$I$13:$I$112,IFERROR(MATCH(TEXT($B$10,"yyyymmdd")&amp;"|"&amp;$E$10&amp;"|9",'EVENT ASSIGNMENT'!$K$2:$K$101,0),""))*INDEX('CONTRACT CALC'!$F$13:$F$112,IFERROR(MATCH(TEXT($B$10,"yyyymmdd")&amp;"|"&amp;$E$10&amp;"|9",'EVENT ASSIGNMENT'!$K$2:$K$101,0),"")),""))</f>
        <v/>
      </c>
      <c r="E26" s="180">
        <f>IF(D26="","",D26*'CONTRACT CALC'!$B$4)</f>
        <v/>
      </c>
      <c r="F26" s="180">
        <f>IF(OR(IFERROR(MATCH(TEXT($B$10,"yyyymmdd")&amp;"|"&amp;$E$10&amp;"|9",'EVENT ASSIGNMENT'!$K$2:$K$101,0),"")="",B26=""),"",IFERROR(INDEX('CONTRACT CALC'!$H$13:$H$112,IFERROR(MATCH(TEXT($B$10,"yyyymmdd")&amp;"|"&amp;$E$10&amp;"|9",'EVENT ASSIGNMENT'!$K$2:$K$101,0),""))*INDEX('CONTRACT CALC'!$F$13:$F$112,IFERROR(MATCH(TEXT($B$10,"yyyymmdd")&amp;"|"&amp;$E$10&amp;"|9",'EVENT ASSIGNMENT'!$K$2:$K$101,0),"")),""))</f>
        <v/>
      </c>
      <c r="G26" s="180">
        <f>IF(F26="","",F26*'CONTRACT CALC'!$B$5)</f>
        <v/>
      </c>
      <c r="H26" s="180">
        <f>IF(B26="","",N(E26)+N(G26))</f>
        <v/>
      </c>
      <c r="I26" s="180">
        <f>IF(OR(IFERROR(MATCH(TEXT($B$10,"yyyymmdd")&amp;"|"&amp;$E$10&amp;"|9",'EVENT ASSIGNMENT'!$K$2:$K$101,0),"")="",B26=""),"",IF(COUNTIFS('TIPS DATA'!$A$2:$A$101,$B$10,'TIPS DATA'!$C$2:$C$101,$E$10,'TIPS DATA'!$D$2:$D$101,INDEX('EVENT ASSIGNMENT'!$C$2:$C$101,IFERROR(MATCH(TEXT($B$10,"yyyymmdd")&amp;"|"&amp;$E$10&amp;"|9",'EVENT ASSIGNMENT'!$K$2:$K$101,0),"")))&gt;0,SUMIFS('TIPS DATA'!$H$2:$H$101,'TIPS DATA'!$A$2:$A$101,$B$10,'TIPS DATA'!$C$2:$C$101,$E$10,'TIPS DATA'!$D$2:$D$101,INDEX('EVENT ASSIGNMENT'!$C$2:$C$101,IFERROR(MATCH(TEXT($B$10,"yyyymmdd")&amp;"|"&amp;$E$10&amp;"|9",'EVENT ASSIGNMENT'!$K$2:$K$101,0),""))),SUMIFS('TIPS DATA'!$H$2:$H$101,'TIPS DATA'!$A$2:$A$101,$B$10,'TIPS DATA'!$C$2:$C$101,$E$10,'TIPS DATA'!$E$2:$E$101,INDEX('EVENT ASSIGNMENT'!$D$2:$D$101,IFERROR(MATCH(TEXT($B$10,"yyyymmdd")&amp;"|"&amp;$E$10&amp;"|9",'EVENT ASSIGNMENT'!$K$2:$K$101,0),"")))))</f>
        <v/>
      </c>
    </row>
    <row r="27" ht="18" customHeight="1" s="126">
      <c r="A27" s="81">
        <f>IFERROR(MATCH(TEXT($B$10,"yyyymmdd")&amp;"|"&amp;$E$10&amp;"|10",'EVENT ASSIGNMENT'!$K$2:$K$101,0),"")</f>
        <v/>
      </c>
      <c r="B27" s="179">
        <f>IF(IFERROR(MATCH(TEXT($B$10,"yyyymmdd")&amp;"|"&amp;$E$10&amp;"|10",'EVENT ASSIGNMENT'!$K$2:$K$101,0),"")="","",IFERROR(INDEX('EVENT ASSIGNMENT'!$D$2:$D$101,IFERROR(MATCH(TEXT($B$10,"yyyymmdd")&amp;"|"&amp;$E$10&amp;"|10",'EVENT ASSIGNMENT'!$K$2:$K$101,0),"")),""))</f>
        <v/>
      </c>
      <c r="C27" s="180">
        <f>IF(OR(IFERROR(MATCH(TEXT($B$10,"yyyymmdd")&amp;"|"&amp;$E$10&amp;"|10",'EVENT ASSIGNMENT'!$K$2:$K$101,0),"")="",B27=""),"",IFERROR(INDEX('CONTRACT CALC'!$G$13:$G$112,IFERROR(MATCH(TEXT($B$10,"yyyymmdd")&amp;"|"&amp;$E$10&amp;"|10",'EVENT ASSIGNMENT'!$K$2:$K$101,0),""))*INDEX('CONTRACT CALC'!$F$13:$F$112,IFERROR(MATCH(TEXT($B$10,"yyyymmdd")&amp;"|"&amp;$E$10&amp;"|10",'EVENT ASSIGNMENT'!$K$2:$K$101,0),"")),""))</f>
        <v/>
      </c>
      <c r="D27" s="180">
        <f>IF(OR(IFERROR(MATCH(TEXT($B$10,"yyyymmdd")&amp;"|"&amp;$E$10&amp;"|10",'EVENT ASSIGNMENT'!$K$2:$K$101,0),"")="",B27=""),"",IFERROR(INDEX('CONTRACT CALC'!$I$13:$I$112,IFERROR(MATCH(TEXT($B$10,"yyyymmdd")&amp;"|"&amp;$E$10&amp;"|10",'EVENT ASSIGNMENT'!$K$2:$K$101,0),""))*INDEX('CONTRACT CALC'!$F$13:$F$112,IFERROR(MATCH(TEXT($B$10,"yyyymmdd")&amp;"|"&amp;$E$10&amp;"|10",'EVENT ASSIGNMENT'!$K$2:$K$101,0),"")),""))</f>
        <v/>
      </c>
      <c r="E27" s="180">
        <f>IF(D27="","",D27*'CONTRACT CALC'!$B$4)</f>
        <v/>
      </c>
      <c r="F27" s="180">
        <f>IF(OR(IFERROR(MATCH(TEXT($B$10,"yyyymmdd")&amp;"|"&amp;$E$10&amp;"|10",'EVENT ASSIGNMENT'!$K$2:$K$101,0),"")="",B27=""),"",IFERROR(INDEX('CONTRACT CALC'!$H$13:$H$112,IFERROR(MATCH(TEXT($B$10,"yyyymmdd")&amp;"|"&amp;$E$10&amp;"|10",'EVENT ASSIGNMENT'!$K$2:$K$101,0),""))*INDEX('CONTRACT CALC'!$F$13:$F$112,IFERROR(MATCH(TEXT($B$10,"yyyymmdd")&amp;"|"&amp;$E$10&amp;"|10",'EVENT ASSIGNMENT'!$K$2:$K$101,0),"")),""))</f>
        <v/>
      </c>
      <c r="G27" s="180">
        <f>IF(F27="","",F27*'CONTRACT CALC'!$B$5)</f>
        <v/>
      </c>
      <c r="H27" s="180">
        <f>IF(B27="","",N(E27)+N(G27))</f>
        <v/>
      </c>
      <c r="I27" s="180">
        <f>IF(OR(IFERROR(MATCH(TEXT($B$10,"yyyymmdd")&amp;"|"&amp;$E$10&amp;"|10",'EVENT ASSIGNMENT'!$K$2:$K$101,0),"")="",B27=""),"",IF(COUNTIFS('TIPS DATA'!$A$2:$A$101,$B$10,'TIPS DATA'!$C$2:$C$101,$E$10,'TIPS DATA'!$D$2:$D$101,INDEX('EVENT ASSIGNMENT'!$C$2:$C$101,IFERROR(MATCH(TEXT($B$10,"yyyymmdd")&amp;"|"&amp;$E$10&amp;"|10",'EVENT ASSIGNMENT'!$K$2:$K$101,0),"")))&gt;0,SUMIFS('TIPS DATA'!$H$2:$H$101,'TIPS DATA'!$A$2:$A$101,$B$10,'TIPS DATA'!$C$2:$C$101,$E$10,'TIPS DATA'!$D$2:$D$101,INDEX('EVENT ASSIGNMENT'!$C$2:$C$101,IFERROR(MATCH(TEXT($B$10,"yyyymmdd")&amp;"|"&amp;$E$10&amp;"|10",'EVENT ASSIGNMENT'!$K$2:$K$101,0),""))),SUMIFS('TIPS DATA'!$H$2:$H$101,'TIPS DATA'!$A$2:$A$101,$B$10,'TIPS DATA'!$C$2:$C$101,$E$10,'TIPS DATA'!$E$2:$E$101,INDEX('EVENT ASSIGNMENT'!$D$2:$D$101,IFERROR(MATCH(TEXT($B$10,"yyyymmdd")&amp;"|"&amp;$E$10&amp;"|10",'EVENT ASSIGNMENT'!$K$2:$K$101,0),"")))))</f>
        <v/>
      </c>
    </row>
    <row r="28" ht="18" customHeight="1" s="126">
      <c r="A28" s="181" t="n"/>
      <c r="B28" s="182" t="inlineStr">
        <is>
          <t>TOTAL</t>
        </is>
      </c>
      <c r="C28" s="183">
        <f>SUM(C18:C27)</f>
        <v/>
      </c>
      <c r="D28" s="183">
        <f>SUM(D18:D27)</f>
        <v/>
      </c>
      <c r="E28" s="183">
        <f>SUM(E18:E27)</f>
        <v/>
      </c>
      <c r="F28" s="183">
        <f>SUM(F18:F27)</f>
        <v/>
      </c>
      <c r="G28" s="183">
        <f>SUM(G18:G27)</f>
        <v/>
      </c>
      <c r="H28" s="183">
        <f>SUM(H18:H27)</f>
        <v/>
      </c>
      <c r="I28" s="183">
        <f>SUM(I18:I27)</f>
        <v/>
      </c>
      <c r="J28" s="184" t="n"/>
      <c r="K28" s="184" t="n"/>
    </row>
    <row r="29" ht="18" customHeight="1" s="126">
      <c r="A29" s="181" t="n"/>
      <c r="B29" s="185" t="inlineStr">
        <is>
          <t>Max 10 locations per payee. Rows filter from EVENT ASSIGNMENT / CONTRACT CALC by Event Date + Payee. Location Total = Contractual Donation + Gratuities.</t>
        </is>
      </c>
      <c r="C29" s="167" t="n"/>
      <c r="D29" s="167" t="n"/>
      <c r="E29" s="167" t="n"/>
      <c r="F29" s="167" t="n"/>
      <c r="G29" s="167" t="n"/>
      <c r="H29" s="167" t="n"/>
      <c r="I29" s="186" t="n"/>
      <c r="J29" s="184" t="n"/>
      <c r="K29" s="184" t="n"/>
    </row>
    <row r="30" ht="32" customHeight="1" s="126">
      <c r="A30" s="181" t="n"/>
      <c r="B30" s="181" t="n"/>
      <c r="C30" s="186" t="n"/>
      <c r="D30" s="186" t="n"/>
      <c r="E30" s="186" t="n"/>
      <c r="F30" s="186" t="n"/>
      <c r="G30" s="187" t="inlineStr">
        <is>
          <t>SUPPLEMENTAL PAYOUT</t>
        </is>
      </c>
      <c r="H30" s="187" t="inlineStr">
        <is>
          <t>THIS STATEMENT
(edit for PDF)</t>
        </is>
      </c>
      <c r="I30" s="187" t="inlineStr">
        <is>
          <t>SAVED REF
(SUPPLEMENTAL DATA)</t>
        </is>
      </c>
      <c r="J30" s="184" t="n"/>
      <c r="K30" s="184" t="n"/>
    </row>
    <row r="31" ht="15" customHeight="1" s="126">
      <c r="A31" s="181" t="n"/>
      <c r="B31" s="188" t="inlineStr">
        <is>
          <t>SETTLEMENT NOTES (this document — edit freely before PDF)</t>
        </is>
      </c>
      <c r="C31" s="167" t="n"/>
      <c r="D31" s="167" t="n"/>
      <c r="E31" s="167" t="n"/>
      <c r="F31" s="186" t="n"/>
      <c r="G31" s="189" t="inlineStr">
        <is>
          <t>Sales Incentive</t>
        </is>
      </c>
      <c r="H31" s="190" t="n">
        <v>0</v>
      </c>
      <c r="I31" s="191">
        <f>IFERROR(SUMIFS('SUPPLEMENTAL DATA'!$C$2:$C$101,'SUPPLEMENTAL DATA'!$A$2:$A$101,$B$10,'SUPPLEMENTAL DATA'!$B$2:$B$101,$E$10),0)</f>
        <v/>
      </c>
      <c r="J31" s="184" t="n"/>
      <c r="K31" s="184" t="n"/>
    </row>
    <row r="32" ht="15.75" customHeight="1" s="126">
      <c r="A32" s="181" t="n"/>
      <c r="B32" s="192" t="inlineStr"/>
      <c r="C32" s="167" t="n"/>
      <c r="D32" s="167" t="n"/>
      <c r="E32" s="167" t="n"/>
      <c r="F32" s="186" t="n"/>
      <c r="G32" s="189" t="inlineStr">
        <is>
          <t>Culinary - Cook Fee</t>
        </is>
      </c>
      <c r="H32" s="190" t="n">
        <v>0</v>
      </c>
      <c r="I32" s="191">
        <f>IFERROR(SUMIFS('SUPPLEMENTAL DATA'!$D$2:$D$101,'SUPPLEMENTAL DATA'!$A$2:$A$101,$B$10,'SUPPLEMENTAL DATA'!$B$2:$B$101,$E$10),0)</f>
        <v/>
      </c>
      <c r="J32" s="184" t="n"/>
      <c r="K32" s="184" t="n"/>
    </row>
    <row r="33" ht="15.75" customHeight="1" s="126">
      <c r="A33" s="184" t="n"/>
      <c r="B33" s="167" t="n"/>
      <c r="E33" s="167" t="n"/>
      <c r="F33" s="193" t="n"/>
      <c r="G33" s="194" t="inlineStr">
        <is>
          <t>Minimum Donation</t>
        </is>
      </c>
      <c r="H33" s="158" t="n">
        <v>0</v>
      </c>
      <c r="I33" s="159">
        <f>IFERROR(SUMIFS('SUPPLEMENTAL DATA'!$E$2:$E$101,'SUPPLEMENTAL DATA'!$A$2:$A$101,$B$10,'SUPPLEMENTAL DATA'!$B$2:$B$101,$E$10),0)</f>
        <v/>
      </c>
      <c r="J33" s="184" t="n"/>
      <c r="K33" s="184" t="n"/>
    </row>
    <row r="34">
      <c r="A34" s="184" t="n"/>
      <c r="B34" s="167" t="n"/>
      <c r="E34" s="167" t="n"/>
      <c r="F34" s="184" t="n"/>
      <c r="G34" s="195" t="inlineStr">
        <is>
          <t>Bonus (Other)</t>
        </is>
      </c>
      <c r="H34" s="158" t="n">
        <v>0</v>
      </c>
      <c r="I34" s="159">
        <f>IFERROR(SUMIFS('SUPPLEMENTAL DATA'!$F$2:$F$101,'SUPPLEMENTAL DATA'!$A$2:$A$101,$B$10,'SUPPLEMENTAL DATA'!$B$2:$B$101,$E$10),0)</f>
        <v/>
      </c>
      <c r="J34" s="184" t="n"/>
      <c r="K34" s="184" t="n"/>
    </row>
    <row r="35" ht="32" customHeight="1" s="126">
      <c r="A35" s="184" t="n"/>
      <c r="B35" s="167" t="n"/>
      <c r="E35" s="167" t="n"/>
      <c r="F35" s="184" t="n"/>
      <c r="G35" s="196" t="inlineStr">
        <is>
          <t>Deductible POS Shortages</t>
        </is>
      </c>
      <c r="H35" s="197" t="n">
        <v>0</v>
      </c>
      <c r="I35" s="198">
        <f>IFERROR(SUMIFS('SUPPLEMENTAL DATA'!$G$2:$G$101,'SUPPLEMENTAL DATA'!$A$2:$A$101,$B$10,'SUPPLEMENTAL DATA'!$B$2:$B$101,$E$10),0)</f>
        <v/>
      </c>
      <c r="J35" s="184" t="n"/>
      <c r="K35" s="184" t="n"/>
    </row>
    <row r="36" ht="15.75" customHeight="1" s="126">
      <c r="A36" s="184" t="n"/>
      <c r="B36" s="167" t="n"/>
      <c r="C36" s="167" t="n"/>
      <c r="D36" s="167" t="n"/>
      <c r="E36" s="167" t="n"/>
      <c r="F36" s="184" t="n"/>
      <c r="G36" s="195" t="inlineStr">
        <is>
          <t>Uniform / Staffing / Cleaning Fees</t>
        </is>
      </c>
      <c r="H36" s="158" t="n">
        <v>0</v>
      </c>
      <c r="I36" s="159">
        <f>IFERROR(SUMIFS('SUPPLEMENTAL DATA'!$H$2:$H$101,'SUPPLEMENTAL DATA'!$A$2:$A$101,$B$10,'SUPPLEMENTAL DATA'!$B$2:$B$101,$E$10),0)</f>
        <v/>
      </c>
      <c r="J36" s="184" t="n"/>
      <c r="K36" s="184" t="n"/>
    </row>
    <row r="37" ht="15.75" customHeight="1" s="126">
      <c r="A37" s="184" t="n"/>
      <c r="B37" s="199" t="n"/>
      <c r="C37" s="184" t="n"/>
      <c r="D37" s="184" t="n"/>
      <c r="E37" s="184" t="n"/>
      <c r="F37" s="184" t="n"/>
      <c r="G37" s="184" t="n"/>
      <c r="H37" s="200" t="inlineStr">
        <is>
          <t>Statement supplemental total →</t>
        </is>
      </c>
      <c r="I37" s="201">
        <f>SUM(H31:H36)</f>
        <v/>
      </c>
      <c r="J37" s="184" t="n"/>
      <c r="K37" s="184" t="n"/>
    </row>
    <row r="38" ht="15.75" customHeight="1" s="126">
      <c r="A38" s="184" t="n"/>
      <c r="B38" s="202" t="inlineStr">
        <is>
          <t>Tip: yellow H31:H36 + notes = this statement only. Grey I31:I36 = saved for Event+Payee. After PDF, zero H31:H36 before the next vendor — or copy H into SUPPLEMENTAL DATA to remember.</t>
        </is>
      </c>
      <c r="C38" s="184" t="n"/>
      <c r="D38" s="184" t="n"/>
      <c r="E38" s="184" t="n"/>
      <c r="F38" s="184" t="n"/>
      <c r="G38" s="184" t="n"/>
      <c r="H38" s="203" t="n"/>
      <c r="I38" s="203" t="n"/>
      <c r="J38" s="184" t="n"/>
      <c r="K38" s="184" t="n"/>
    </row>
    <row r="39" ht="15.75" customHeight="1" s="126">
      <c r="A39" s="184" t="n"/>
      <c r="B39" s="184" t="n"/>
      <c r="C39" s="184" t="n"/>
      <c r="D39" s="184" t="n"/>
      <c r="E39" s="184" t="n"/>
      <c r="F39" s="184" t="n"/>
      <c r="G39" s="184" t="n"/>
      <c r="H39" s="203" t="n"/>
      <c r="I39" s="203" t="n"/>
      <c r="J39" s="184" t="n"/>
      <c r="K39" s="184" t="n"/>
    </row>
    <row r="40" ht="15.75" customHeight="1" s="126">
      <c r="A40" s="184" t="n"/>
      <c r="B40" s="204" t="inlineStr">
        <is>
          <t>INTERNAL AUTHORIZATION CHECK REQUEST</t>
        </is>
      </c>
      <c r="C40" s="167" t="n"/>
      <c r="D40" s="184" t="n"/>
      <c r="E40" s="205" t="inlineStr">
        <is>
          <t>INTERNAL - ACCOUNTING GL ENTRY - SUMMARY</t>
        </is>
      </c>
      <c r="F40" s="167" t="n"/>
      <c r="G40" s="167" t="n"/>
      <c r="H40" s="203" t="n"/>
      <c r="I40" s="203" t="n"/>
      <c r="J40" s="184" t="n"/>
      <c r="K40" s="184" t="n"/>
    </row>
    <row r="41" ht="15.75" customHeight="1" s="126">
      <c r="A41" s="184" t="n"/>
      <c r="B41" s="195" t="inlineStr">
        <is>
          <t>Abigail Tenorio</t>
        </is>
      </c>
      <c r="C41" s="184">
        <f>TODAY()</f>
        <v/>
      </c>
      <c r="D41" s="184" t="n"/>
      <c r="E41" s="206" t="inlineStr">
        <is>
          <t>Group Commission</t>
        </is>
      </c>
      <c r="F41" s="207" t="inlineStr">
        <is>
          <t>241 | 36127 | GL:611225</t>
        </is>
      </c>
      <c r="G41" s="208">
        <f>H28</f>
        <v/>
      </c>
      <c r="H41" s="203" t="n"/>
      <c r="I41" s="203" t="n"/>
      <c r="J41" s="184" t="n"/>
      <c r="K41" s="184" t="n"/>
    </row>
    <row r="42" ht="15.75" customHeight="1" s="126">
      <c r="A42" s="184" t="n"/>
      <c r="B42" s="195" t="inlineStr">
        <is>
          <t>Concessions Manager</t>
        </is>
      </c>
      <c r="C42" s="184" t="n"/>
      <c r="D42" s="184" t="n"/>
      <c r="E42" s="206" t="inlineStr">
        <is>
          <t>Gratuities</t>
        </is>
      </c>
      <c r="F42" s="207" t="inlineStr">
        <is>
          <t>241 | 36127 | GL:212113</t>
        </is>
      </c>
      <c r="G42" s="208">
        <f>I28</f>
        <v/>
      </c>
      <c r="H42" s="184" t="n"/>
      <c r="I42" s="203" t="n"/>
      <c r="J42" s="184" t="n"/>
      <c r="K42" s="184" t="n"/>
    </row>
    <row r="43">
      <c r="A43" s="184" t="n"/>
      <c r="B43" s="209" t="inlineStr">
        <is>
          <t>Ray Velasquez</t>
        </is>
      </c>
      <c r="C43" s="184">
        <f>TODAY()</f>
        <v/>
      </c>
      <c r="D43" s="184" t="n"/>
      <c r="E43" s="206" t="inlineStr">
        <is>
          <t>Misc. (to be reclassed)</t>
        </is>
      </c>
      <c r="F43" s="207" t="inlineStr">
        <is>
          <t>241 | 36127 | GL:673000</t>
        </is>
      </c>
      <c r="G43" s="208">
        <f>SUM(H31:H35)</f>
        <v/>
      </c>
      <c r="H43" s="184" t="n"/>
      <c r="I43" s="184" t="n"/>
      <c r="J43" s="184" t="n"/>
      <c r="K43" s="184" t="n"/>
    </row>
    <row r="44">
      <c r="A44" s="184" t="n"/>
      <c r="B44" s="195" t="inlineStr">
        <is>
          <t>Director of Operations</t>
        </is>
      </c>
      <c r="C44" s="184" t="n"/>
      <c r="D44" s="184" t="n"/>
      <c r="E44" s="206" t="inlineStr">
        <is>
          <t>Cleaning Fee - Expense</t>
        </is>
      </c>
      <c r="F44" s="207" t="inlineStr">
        <is>
          <t>241 | 36127 | GL:674102</t>
        </is>
      </c>
      <c r="G44" s="208">
        <f>H36</f>
        <v/>
      </c>
      <c r="H44" s="184" t="n"/>
      <c r="I44" s="184" t="n"/>
      <c r="J44" s="184" t="n"/>
      <c r="K44" s="184" t="n"/>
    </row>
    <row r="45">
      <c r="A45" s="184" t="n"/>
      <c r="B45" s="195" t="inlineStr">
        <is>
          <t>Evan E. Gonzales</t>
        </is>
      </c>
      <c r="C45" s="184">
        <f>TODAY()</f>
        <v/>
      </c>
      <c r="D45" s="184" t="n"/>
      <c r="E45" s="184" t="n"/>
      <c r="F45" s="184" t="n"/>
      <c r="G45" s="184" t="n"/>
      <c r="H45" s="184" t="n"/>
      <c r="I45" s="184" t="n"/>
      <c r="J45" s="184" t="n"/>
      <c r="K45" s="184" t="n"/>
    </row>
    <row r="46" ht="13.5" customHeight="1" s="126">
      <c r="A46" s="184" t="n"/>
      <c r="B46" s="195" t="inlineStr">
        <is>
          <t>Finance Manager</t>
        </is>
      </c>
      <c r="C46" s="210" t="n"/>
      <c r="D46" s="184" t="n"/>
      <c r="E46" s="184" t="n"/>
      <c r="F46" s="184" t="n"/>
      <c r="G46" s="211" t="n"/>
      <c r="H46" s="184" t="n"/>
      <c r="I46" s="184" t="n"/>
      <c r="J46" s="184" t="n"/>
      <c r="K46" s="184" t="n"/>
    </row>
    <row r="47" ht="13.5" customHeight="1" s="126">
      <c r="A47" s="184" t="n"/>
      <c r="B47" s="184" t="n"/>
      <c r="C47" s="210" t="n"/>
      <c r="D47" s="184" t="n"/>
      <c r="E47" s="184" t="n"/>
      <c r="F47" s="184" t="n"/>
      <c r="G47" s="211" t="n"/>
      <c r="H47" s="184" t="n"/>
      <c r="I47" s="184" t="n"/>
      <c r="J47" s="184" t="n"/>
      <c r="K47" s="184" t="n"/>
    </row>
    <row r="48" ht="13.5" customHeight="1" s="126">
      <c r="A48" s="184" t="n"/>
      <c r="B48" s="184" t="n"/>
      <c r="C48" s="210" t="n"/>
      <c r="D48" s="184" t="n"/>
      <c r="E48" s="184" t="n"/>
      <c r="F48" s="184" t="n"/>
      <c r="G48" s="211" t="n"/>
      <c r="H48" s="184" t="n"/>
      <c r="I48" s="184" t="n"/>
      <c r="J48" s="184" t="n"/>
      <c r="K48" s="184" t="n"/>
    </row>
    <row r="49" ht="13.5" customHeight="1" s="126">
      <c r="A49" s="184" t="n"/>
      <c r="B49" s="184" t="n"/>
      <c r="C49" s="210" t="n"/>
      <c r="D49" s="184" t="n"/>
      <c r="E49" s="184" t="n"/>
      <c r="F49" s="184" t="n"/>
      <c r="G49" s="211" t="n"/>
      <c r="H49" s="184" t="n"/>
      <c r="I49" s="184" t="n"/>
      <c r="J49" s="184" t="n"/>
      <c r="K49" s="184" t="n"/>
    </row>
    <row r="50" ht="13.5" customHeight="1" s="126">
      <c r="A50" s="184" t="n"/>
      <c r="B50" s="184" t="n"/>
      <c r="C50" s="210" t="n"/>
      <c r="D50" s="184" t="n"/>
      <c r="E50" s="184" t="n"/>
      <c r="F50" s="184" t="n"/>
      <c r="G50" s="184" t="n"/>
      <c r="H50" s="184" t="n"/>
      <c r="I50" s="184" t="n"/>
      <c r="J50" s="184" t="n"/>
      <c r="K50" s="184" t="n"/>
    </row>
    <row r="51" ht="13.5" customHeight="1" s="126">
      <c r="A51" s="184" t="n"/>
      <c r="B51" s="184" t="n"/>
      <c r="C51" s="210" t="n"/>
      <c r="D51" s="184" t="n"/>
      <c r="E51" s="184" t="n"/>
      <c r="F51" s="184" t="n"/>
      <c r="G51" s="184" t="n"/>
      <c r="H51" s="184" t="n"/>
      <c r="I51" s="184" t="n"/>
      <c r="J51" s="184" t="n"/>
      <c r="K51" s="184" t="n"/>
    </row>
    <row r="52">
      <c r="A52" s="184" t="n"/>
      <c r="B52" s="184" t="n"/>
      <c r="C52" s="210" t="n"/>
      <c r="D52" s="184" t="n"/>
      <c r="E52" s="184" t="n"/>
      <c r="F52" s="184" t="n"/>
      <c r="G52" s="184" t="n"/>
      <c r="H52" s="184" t="n"/>
      <c r="I52" s="184" t="n"/>
      <c r="J52" s="184" t="n"/>
      <c r="K52" s="184" t="n"/>
    </row>
    <row r="53">
      <c r="A53" s="184" t="n"/>
      <c r="B53" s="184" t="n"/>
      <c r="C53" s="184" t="n"/>
      <c r="D53" s="184" t="n"/>
      <c r="E53" s="184" t="n"/>
      <c r="F53" s="184" t="n"/>
      <c r="G53" s="184" t="n"/>
      <c r="H53" s="184" t="n"/>
      <c r="I53" s="184" t="n"/>
      <c r="J53" s="184" t="n"/>
      <c r="K53" s="184" t="n"/>
    </row>
    <row r="54">
      <c r="A54" s="184" t="n"/>
      <c r="B54" s="184" t="n"/>
      <c r="C54" s="184" t="n"/>
      <c r="D54" s="184" t="n"/>
      <c r="E54" s="184" t="n"/>
      <c r="F54" s="184" t="n"/>
      <c r="G54" s="184" t="n"/>
      <c r="H54" s="184" t="n"/>
      <c r="I54" s="184" t="n"/>
      <c r="J54" s="184" t="n"/>
      <c r="K54" s="184" t="n"/>
    </row>
    <row r="55">
      <c r="A55" s="184" t="n"/>
      <c r="B55" s="184" t="n"/>
      <c r="C55" s="184" t="n"/>
      <c r="D55" s="184" t="n"/>
      <c r="E55" s="184" t="n"/>
      <c r="F55" s="184" t="n"/>
      <c r="G55" s="184" t="n"/>
      <c r="H55" s="184" t="n"/>
      <c r="I55" s="184" t="n"/>
      <c r="J55" s="184" t="n"/>
      <c r="K55" s="184" t="n"/>
    </row>
    <row r="56">
      <c r="A56" s="184" t="n"/>
      <c r="B56" s="184" t="n"/>
      <c r="C56" s="184" t="n"/>
      <c r="D56" s="184" t="n"/>
      <c r="E56" s="184" t="n"/>
      <c r="F56" s="184" t="n"/>
      <c r="G56" s="184" t="n"/>
      <c r="H56" s="184" t="n"/>
      <c r="I56" s="184" t="n"/>
      <c r="J56" s="184" t="n"/>
      <c r="K56" s="184" t="n"/>
    </row>
    <row r="57">
      <c r="A57" s="184" t="n"/>
      <c r="B57" s="184" t="n"/>
      <c r="C57" s="184" t="n"/>
      <c r="D57" s="184" t="n"/>
      <c r="E57" s="184" t="n"/>
      <c r="F57" s="184" t="n"/>
      <c r="G57" s="184" t="n"/>
      <c r="H57" s="184" t="n"/>
      <c r="I57" s="184" t="n"/>
      <c r="J57" s="184" t="n"/>
      <c r="K57" s="184" t="n"/>
    </row>
    <row r="58">
      <c r="A58" s="184" t="n"/>
      <c r="B58" s="184" t="n"/>
      <c r="C58" s="184" t="n"/>
      <c r="D58" s="184" t="n"/>
      <c r="E58" s="184" t="n"/>
      <c r="F58" s="184" t="n"/>
      <c r="G58" s="184" t="n"/>
      <c r="H58" s="184" t="n"/>
      <c r="I58" s="184" t="n"/>
      <c r="J58" s="184" t="n"/>
      <c r="K58" s="184" t="n"/>
    </row>
    <row r="59">
      <c r="A59" s="184" t="n"/>
      <c r="B59" s="184" t="n"/>
      <c r="C59" s="184" t="n"/>
      <c r="D59" s="184" t="n"/>
      <c r="E59" s="184" t="n"/>
      <c r="F59" s="184" t="n"/>
      <c r="G59" s="184" t="n"/>
      <c r="H59" s="184" t="n"/>
      <c r="I59" s="184" t="n"/>
      <c r="J59" s="184" t="n"/>
      <c r="K59" s="184" t="n"/>
    </row>
    <row r="60">
      <c r="A60" s="184" t="n"/>
      <c r="B60" s="184" t="n"/>
      <c r="C60" s="184" t="n"/>
      <c r="D60" s="184" t="n"/>
      <c r="E60" s="184" t="n"/>
      <c r="F60" s="184" t="n"/>
      <c r="G60" s="184" t="n"/>
      <c r="H60" s="184" t="n"/>
      <c r="I60" s="184" t="n"/>
      <c r="J60" s="184" t="n"/>
      <c r="K60" s="184" t="n"/>
    </row>
    <row r="61">
      <c r="A61" s="184" t="n"/>
      <c r="B61" s="184" t="n"/>
      <c r="C61" s="184" t="n"/>
      <c r="D61" s="184" t="n"/>
      <c r="E61" s="184" t="n"/>
      <c r="F61" s="184" t="n"/>
      <c r="G61" s="184" t="n"/>
      <c r="H61" s="184" t="n"/>
      <c r="I61" s="184" t="n"/>
      <c r="J61" s="184" t="n"/>
      <c r="K61" s="184" t="n"/>
    </row>
    <row r="62">
      <c r="A62" s="184" t="n"/>
      <c r="B62" s="184" t="n"/>
      <c r="C62" s="184" t="n"/>
      <c r="D62" s="184" t="n"/>
      <c r="E62" s="184" t="n"/>
      <c r="F62" s="184" t="n"/>
      <c r="G62" s="184" t="n"/>
      <c r="H62" s="184" t="n"/>
      <c r="I62" s="184" t="n"/>
      <c r="J62" s="184" t="n"/>
      <c r="K62" s="184" t="n"/>
    </row>
    <row r="63">
      <c r="A63" s="184" t="n"/>
      <c r="B63" s="184" t="n"/>
      <c r="C63" s="184" t="n"/>
      <c r="D63" s="184" t="n"/>
      <c r="E63" s="184" t="n"/>
      <c r="F63" s="184" t="n"/>
      <c r="G63" s="184" t="n"/>
      <c r="H63" s="184" t="n"/>
      <c r="I63" s="184" t="n"/>
      <c r="J63" s="184" t="n"/>
      <c r="K63" s="184" t="n"/>
    </row>
    <row r="64">
      <c r="A64" s="184" t="n"/>
      <c r="B64" s="184" t="n"/>
      <c r="C64" s="184" t="n"/>
      <c r="D64" s="184" t="n"/>
      <c r="E64" s="184" t="n"/>
      <c r="F64" s="184" t="n"/>
      <c r="G64" s="184" t="n"/>
      <c r="H64" s="184" t="n"/>
      <c r="I64" s="184" t="n"/>
      <c r="J64" s="184" t="n"/>
      <c r="K64" s="184" t="n"/>
    </row>
    <row r="65">
      <c r="A65" s="184" t="n"/>
      <c r="B65" s="184" t="n"/>
      <c r="C65" s="184" t="n"/>
      <c r="D65" s="184" t="n"/>
      <c r="E65" s="184" t="n"/>
      <c r="F65" s="184" t="n"/>
      <c r="G65" s="184" t="n"/>
      <c r="H65" s="184" t="n"/>
      <c r="I65" s="184" t="n"/>
      <c r="J65" s="184" t="n"/>
      <c r="K65" s="184" t="n"/>
    </row>
    <row r="66">
      <c r="A66" s="184" t="n"/>
      <c r="B66" s="184" t="n"/>
      <c r="C66" s="184" t="n"/>
      <c r="D66" s="184" t="n"/>
      <c r="E66" s="184" t="n"/>
      <c r="F66" s="184" t="n"/>
      <c r="G66" s="184" t="n"/>
      <c r="H66" s="184" t="n"/>
      <c r="I66" s="184" t="n"/>
      <c r="J66" s="184" t="n"/>
      <c r="K66" s="184" t="n"/>
    </row>
    <row r="67">
      <c r="A67" s="184" t="n"/>
      <c r="B67" s="184" t="n"/>
      <c r="C67" s="184" t="n"/>
      <c r="D67" s="184" t="n"/>
      <c r="E67" s="184" t="n"/>
      <c r="F67" s="184" t="n"/>
      <c r="G67" s="184" t="n"/>
      <c r="H67" s="184" t="n"/>
      <c r="I67" s="184" t="n"/>
      <c r="J67" s="184" t="n"/>
      <c r="K67" s="184" t="n"/>
    </row>
    <row r="68">
      <c r="A68" s="184" t="n"/>
      <c r="B68" s="184" t="n"/>
      <c r="C68" s="184" t="n"/>
      <c r="D68" s="184" t="n"/>
      <c r="E68" s="184" t="n"/>
      <c r="F68" s="184" t="n"/>
      <c r="G68" s="184" t="n"/>
      <c r="H68" s="184" t="n"/>
      <c r="I68" s="184" t="n"/>
      <c r="J68" s="184" t="n"/>
      <c r="K68" s="184" t="n"/>
    </row>
    <row r="69">
      <c r="A69" s="184" t="n"/>
      <c r="B69" s="184" t="n"/>
      <c r="C69" s="184" t="n"/>
      <c r="D69" s="184" t="n"/>
      <c r="E69" s="184" t="n"/>
      <c r="F69" s="184" t="n"/>
      <c r="G69" s="184" t="n"/>
      <c r="H69" s="184" t="n"/>
      <c r="I69" s="184" t="n"/>
      <c r="J69" s="184" t="n"/>
      <c r="K69" s="184" t="n"/>
    </row>
    <row r="70">
      <c r="A70" s="184" t="n"/>
      <c r="B70" s="184" t="n"/>
      <c r="C70" s="184" t="n"/>
      <c r="D70" s="184" t="n"/>
      <c r="E70" s="184" t="n"/>
      <c r="F70" s="184" t="n"/>
      <c r="G70" s="184" t="n"/>
      <c r="H70" s="184" t="n"/>
      <c r="I70" s="184" t="n"/>
      <c r="J70" s="184" t="n"/>
      <c r="K70" s="184" t="n"/>
    </row>
    <row r="71">
      <c r="A71" s="184" t="n"/>
      <c r="B71" s="184" t="n"/>
      <c r="C71" s="184" t="n"/>
      <c r="D71" s="184" t="n"/>
      <c r="E71" s="184" t="n"/>
      <c r="F71" s="184" t="n"/>
      <c r="G71" s="184" t="n"/>
      <c r="H71" s="184" t="n"/>
      <c r="I71" s="184" t="n"/>
      <c r="J71" s="184" t="n"/>
      <c r="K71" s="184" t="n"/>
    </row>
    <row r="72">
      <c r="A72" s="184" t="n"/>
      <c r="B72" s="184" t="n"/>
      <c r="C72" s="184" t="n"/>
      <c r="D72" s="184" t="n"/>
      <c r="E72" s="184" t="n"/>
      <c r="F72" s="184" t="n"/>
      <c r="G72" s="184" t="n"/>
      <c r="H72" s="184" t="n"/>
      <c r="I72" s="184" t="n"/>
      <c r="J72" s="184" t="n"/>
      <c r="K72" s="184" t="n"/>
    </row>
    <row r="73">
      <c r="A73" s="184" t="n"/>
      <c r="B73" s="184" t="n"/>
      <c r="C73" s="184" t="n"/>
      <c r="D73" s="184" t="n"/>
      <c r="E73" s="184" t="n"/>
      <c r="F73" s="184" t="n"/>
      <c r="G73" s="184" t="n"/>
      <c r="H73" s="184" t="n"/>
      <c r="I73" s="184" t="n"/>
      <c r="J73" s="184" t="n"/>
      <c r="K73" s="184" t="n"/>
    </row>
    <row r="74">
      <c r="A74" s="184" t="n"/>
      <c r="B74" s="184" t="n"/>
      <c r="C74" s="184" t="n"/>
      <c r="D74" s="184" t="n"/>
      <c r="E74" s="184" t="n"/>
      <c r="F74" s="184" t="n"/>
      <c r="G74" s="184" t="n"/>
      <c r="H74" s="184" t="n"/>
      <c r="I74" s="184" t="n"/>
      <c r="J74" s="184" t="n"/>
      <c r="K74" s="184" t="n"/>
    </row>
    <row r="75">
      <c r="A75" s="184" t="n"/>
      <c r="B75" s="184" t="n"/>
      <c r="C75" s="184" t="n"/>
      <c r="D75" s="184" t="n"/>
      <c r="E75" s="184" t="n"/>
      <c r="F75" s="184" t="n"/>
      <c r="G75" s="184" t="n"/>
      <c r="H75" s="184" t="n"/>
      <c r="I75" s="184" t="n"/>
      <c r="J75" s="184" t="n"/>
      <c r="K75" s="184" t="n"/>
    </row>
    <row r="76">
      <c r="A76" s="184" t="n"/>
      <c r="B76" s="184" t="n"/>
      <c r="C76" s="184" t="n"/>
      <c r="D76" s="184" t="n"/>
      <c r="E76" s="184" t="n"/>
      <c r="F76" s="184" t="n"/>
      <c r="G76" s="184" t="n"/>
      <c r="H76" s="184" t="n"/>
      <c r="I76" s="184" t="n"/>
      <c r="J76" s="184" t="n"/>
      <c r="K76" s="184" t="n"/>
    </row>
    <row r="77">
      <c r="A77" s="184" t="n"/>
      <c r="B77" s="184" t="n"/>
      <c r="C77" s="184" t="n"/>
      <c r="D77" s="184" t="n"/>
      <c r="E77" s="184" t="n"/>
      <c r="F77" s="184" t="n"/>
      <c r="G77" s="184" t="n"/>
      <c r="H77" s="184" t="n"/>
      <c r="I77" s="184" t="n"/>
      <c r="J77" s="184" t="n"/>
      <c r="K77" s="184" t="n"/>
    </row>
    <row r="78">
      <c r="A78" s="184" t="n"/>
      <c r="B78" s="184" t="n"/>
      <c r="C78" s="184" t="n"/>
      <c r="D78" s="184" t="n"/>
      <c r="E78" s="184" t="n"/>
      <c r="F78" s="184" t="n"/>
      <c r="G78" s="184" t="n"/>
      <c r="H78" s="184" t="n"/>
      <c r="I78" s="184" t="n"/>
      <c r="J78" s="184" t="n"/>
      <c r="K78" s="184" t="n"/>
    </row>
    <row r="79">
      <c r="A79" s="184" t="n"/>
      <c r="B79" s="184" t="n"/>
      <c r="C79" s="184" t="n"/>
      <c r="D79" s="184" t="n"/>
      <c r="E79" s="184" t="n"/>
      <c r="F79" s="184" t="n"/>
      <c r="G79" s="184" t="n"/>
      <c r="H79" s="184" t="n"/>
      <c r="I79" s="184" t="n"/>
      <c r="J79" s="184" t="n"/>
      <c r="K79" s="184" t="n"/>
    </row>
  </sheetData>
  <mergeCells count="16">
    <mergeCell ref="E12:F12"/>
    <mergeCell ref="B31:E31"/>
    <mergeCell ref="G6:H7"/>
    <mergeCell ref="C2:G2"/>
    <mergeCell ref="B16:I16"/>
    <mergeCell ref="G5:H5"/>
    <mergeCell ref="E40:G40"/>
    <mergeCell ref="B32:E36"/>
    <mergeCell ref="B40:C40"/>
    <mergeCell ref="B6:F6"/>
    <mergeCell ref="E10:F10"/>
    <mergeCell ref="B5:F5"/>
    <mergeCell ref="B29:H29"/>
    <mergeCell ref="C9:D9"/>
    <mergeCell ref="E9:F9"/>
    <mergeCell ref="C3:G3"/>
  </mergeCells>
  <dataValidations count="1">
    <dataValidation sqref="E10" showDropDown="0" showInputMessage="0" showErrorMessage="1" allowBlank="0" errorTitle="Payee / NPO" error="Select an Alias from NPO MASTER." promptTitle="Payee / NPO" prompt="Select vendor Alias. SAP/BSS and legal name fill automatically." type="list">
      <formula1>='NPO MASTER'!$A$2:$A$50</formula1>
    </dataValidation>
  </dataValidations>
  <printOptions horizontalCentered="1"/>
  <pageMargins left="0.28" right="0.28" top="0.3" bottom="0.3" header="0.1" footer="0.15"/>
  <pageSetup orientation="landscape" scale="88"/>
  <headerFooter>
    <oddHeader/>
    <oddFooter>&amp;L&amp;7 Levy • UNM Athletics&amp;R&amp;7 Settlement Statement •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5"/>
  <sheetViews>
    <sheetView showGridLines="0" zoomScaleNormal="100" workbookViewId="0">
      <pane ySplit="4" topLeftCell="A5" activePane="bottomLeft" state="frozen"/>
      <selection pane="bottomLeft" activeCell="A1" sqref="A1"/>
    </sheetView>
  </sheetViews>
  <sheetFormatPr baseColWidth="8" defaultColWidth="8.7109375" defaultRowHeight="15" customHeight="1"/>
  <cols>
    <col width="42" customWidth="1" style="126" min="1" max="2"/>
    <col width="60" customWidth="1" style="126" min="3" max="3"/>
    <col width="30" customWidth="1" style="126" min="4" max="4"/>
    <col width="16" customWidth="1" style="126" min="5" max="23"/>
  </cols>
  <sheetData>
    <row r="1" ht="15" customHeight="1" s="126">
      <c r="A1" s="29" t="inlineStr">
        <is>
          <t>| Price Level - CATEGORIES - MSR Data Export</t>
        </is>
      </c>
      <c r="R1" t="inlineStr">
        <is>
          <t>University of New Mexico (2LEVY@UNM)</t>
        </is>
      </c>
    </row>
    <row r="2" ht="15" customHeight="1" s="126">
      <c r="U2" t="inlineStr">
        <is>
          <t>7.6250%</t>
        </is>
      </c>
    </row>
    <row r="3" ht="68.65000000000001" customHeight="1" s="126">
      <c r="A3" s="30" t="inlineStr">
        <is>
          <t xml:space="preserve">Event:UNM FOOTBALL GAME 1 - 9/5 (252)
Start Date:09/05/26  5:00:00 PM
End Date:09/05/26 11:55:51 PM
Discount Source:Default Price Level
Detail Level:Summary
</t>
        </is>
      </c>
    </row>
    <row r="4" ht="15" customHeight="1" s="126">
      <c r="A4" t="inlineStr">
        <is>
          <t>Product</t>
        </is>
      </c>
      <c r="F4" t="inlineStr">
        <is>
          <t>Tax</t>
        </is>
      </c>
      <c r="W4" t="inlineStr">
        <is>
          <t>gap</t>
        </is>
      </c>
    </row>
    <row r="5" ht="15" customHeight="1" s="126">
      <c r="A5" t="inlineStr">
        <is>
          <t>Code</t>
        </is>
      </c>
      <c r="D5" t="inlineStr">
        <is>
          <t>Name</t>
        </is>
      </c>
      <c r="E5" t="inlineStr">
        <is>
          <t>Standard Price</t>
        </is>
      </c>
      <c r="F5" t="inlineStr">
        <is>
          <t>Inclusive</t>
        </is>
      </c>
      <c r="H5" t="inlineStr">
        <is>
          <t>Exclusive</t>
        </is>
      </c>
      <c r="J5" t="inlineStr">
        <is>
          <t>SC</t>
        </is>
      </c>
      <c r="M5" t="inlineStr">
        <is>
          <t>Discount</t>
        </is>
      </c>
      <c r="O5" t="inlineStr">
        <is>
          <t>Quantity</t>
        </is>
      </c>
      <c r="Q5" t="inlineStr">
        <is>
          <t>Gross Amt</t>
        </is>
      </c>
      <c r="T5" t="inlineStr">
        <is>
          <t>Net</t>
        </is>
      </c>
    </row>
    <row r="6" ht="15" customHeight="1" s="126">
      <c r="A6" t="inlineStr">
        <is>
          <t>Department: 36127 - CONCESSIONS</t>
        </is>
      </c>
    </row>
    <row r="7" ht="15" customHeight="1" s="126">
      <c r="B7" t="inlineStr">
        <is>
          <t>Location: FB 100 - TRAILER N CONCOURSE</t>
        </is>
      </c>
    </row>
    <row r="8" ht="15" customHeight="1" s="126">
      <c r="C8" t="inlineStr">
        <is>
          <t xml:space="preserve"> Total:</t>
        </is>
      </c>
      <c r="F8" t="inlineStr">
        <is>
          <t>0.00</t>
        </is>
      </c>
      <c r="G8" t="inlineStr">
        <is>
          <t>0.11</t>
        </is>
      </c>
      <c r="I8" t="n">
        <v>0</v>
      </c>
      <c r="L8" t="inlineStr">
        <is>
          <t>0.00</t>
        </is>
      </c>
      <c r="N8" t="inlineStr">
        <is>
          <t>226.00</t>
        </is>
      </c>
      <c r="P8" t="inlineStr">
        <is>
          <t>0.11</t>
        </is>
      </c>
      <c r="S8" t="inlineStr">
        <is>
          <t>0.00</t>
        </is>
      </c>
    </row>
    <row r="9" ht="15" customHeight="1" s="126">
      <c r="C9" t="inlineStr">
        <is>
          <t>312115 - N/A BEVERAGE SALES - TAXABLE Total:</t>
        </is>
      </c>
      <c r="F9" t="inlineStr">
        <is>
          <t>0.00</t>
        </is>
      </c>
      <c r="G9" t="inlineStr">
        <is>
          <t>165.23</t>
        </is>
      </c>
      <c r="I9" t="n">
        <v>0</v>
      </c>
      <c r="L9" t="inlineStr">
        <is>
          <t>328.00</t>
        </is>
      </c>
      <c r="N9" t="inlineStr">
        <is>
          <t>380.00</t>
        </is>
      </c>
      <c r="P9" t="inlineStr">
        <is>
          <t>2,332.23</t>
        </is>
      </c>
      <c r="S9" t="inlineStr">
        <is>
          <t>2,167.00</t>
        </is>
      </c>
    </row>
    <row r="10" ht="15" customHeight="1" s="126">
      <c r="C10" t="inlineStr">
        <is>
          <t>313000 - FOOD SALES - TAXABLE Total:</t>
        </is>
      </c>
      <c r="F10" t="inlineStr">
        <is>
          <t>0.00</t>
        </is>
      </c>
      <c r="G10" t="inlineStr">
        <is>
          <t>244.84</t>
        </is>
      </c>
      <c r="I10" t="n">
        <v>0</v>
      </c>
      <c r="L10" t="inlineStr">
        <is>
          <t>0.00</t>
        </is>
      </c>
      <c r="N10" t="inlineStr">
        <is>
          <t>234.00</t>
        </is>
      </c>
      <c r="P10" t="inlineStr">
        <is>
          <t>3,455.84</t>
        </is>
      </c>
      <c r="S10" t="inlineStr">
        <is>
          <t>3,211.00</t>
        </is>
      </c>
    </row>
    <row r="11" ht="15" customHeight="1" s="126">
      <c r="C11" t="inlineStr">
        <is>
          <t>313004 - LIQUOR SALES - TAXABLE Total:</t>
        </is>
      </c>
      <c r="F11" t="inlineStr">
        <is>
          <t>0.00</t>
        </is>
      </c>
      <c r="G11" t="inlineStr">
        <is>
          <t>25.62</t>
        </is>
      </c>
      <c r="I11" t="n">
        <v>0</v>
      </c>
      <c r="L11" t="inlineStr">
        <is>
          <t>0.00</t>
        </is>
      </c>
      <c r="N11" t="inlineStr">
        <is>
          <t>21.00</t>
        </is>
      </c>
      <c r="P11" t="inlineStr">
        <is>
          <t>361.62</t>
        </is>
      </c>
      <c r="S11" t="inlineStr">
        <is>
          <t>336.00</t>
        </is>
      </c>
    </row>
    <row r="12" ht="15" customHeight="1" s="126">
      <c r="C12" t="inlineStr">
        <is>
          <t>313082 - BEER PACKAGED SALES Total:</t>
        </is>
      </c>
      <c r="F12" t="inlineStr">
        <is>
          <t>0.00</t>
        </is>
      </c>
      <c r="G12" t="inlineStr">
        <is>
          <t>74.76</t>
        </is>
      </c>
      <c r="I12" t="n">
        <v>0</v>
      </c>
      <c r="L12" t="inlineStr">
        <is>
          <t>-10.00</t>
        </is>
      </c>
      <c r="N12" t="inlineStr">
        <is>
          <t>74.00</t>
        </is>
      </c>
      <c r="P12" t="inlineStr">
        <is>
          <t>1,055.26</t>
        </is>
      </c>
      <c r="S12" t="inlineStr">
        <is>
          <t>980.50</t>
        </is>
      </c>
    </row>
    <row r="13" ht="15" customHeight="1" s="126">
      <c r="B13" t="inlineStr">
        <is>
          <t>FB 100 - TRAILER N CONCOURSE Total:</t>
        </is>
      </c>
      <c r="F13" t="inlineStr">
        <is>
          <t>0.00</t>
        </is>
      </c>
      <c r="G13" t="inlineStr">
        <is>
          <t>510.57</t>
        </is>
      </c>
      <c r="I13" t="n">
        <v>0</v>
      </c>
      <c r="L13" t="inlineStr">
        <is>
          <t>318.00</t>
        </is>
      </c>
      <c r="N13" t="inlineStr">
        <is>
          <t>935.00</t>
        </is>
      </c>
      <c r="P13" t="inlineStr">
        <is>
          <t>7,205.07</t>
        </is>
      </c>
      <c r="S13" t="inlineStr">
        <is>
          <t>6,694.50</t>
        </is>
      </c>
    </row>
    <row r="14" ht="15" customHeight="1" s="126">
      <c r="B14" t="inlineStr">
        <is>
          <t>Location: FB 100B - MBP TRAILER N CONCOURSE</t>
        </is>
      </c>
    </row>
    <row r="15" ht="15" customHeight="1" s="126">
      <c r="C15" t="inlineStr">
        <is>
          <t xml:space="preserve"> Total:</t>
        </is>
      </c>
      <c r="F15" t="inlineStr">
        <is>
          <t>0.00</t>
        </is>
      </c>
      <c r="G15" t="inlineStr">
        <is>
          <t>0.18</t>
        </is>
      </c>
      <c r="I15" t="n">
        <v>0</v>
      </c>
      <c r="L15" t="inlineStr">
        <is>
          <t>0.00</t>
        </is>
      </c>
      <c r="N15" t="inlineStr">
        <is>
          <t>242.00</t>
        </is>
      </c>
      <c r="P15" t="inlineStr">
        <is>
          <t>0.18</t>
        </is>
      </c>
      <c r="S15" t="inlineStr">
        <is>
          <t>0.00</t>
        </is>
      </c>
    </row>
    <row r="16" ht="15" customHeight="1" s="126">
      <c r="C16" t="inlineStr">
        <is>
          <t>312115 - N/A BEVERAGE SALES - TAXABLE Total:</t>
        </is>
      </c>
      <c r="F16" t="inlineStr">
        <is>
          <t>0.00</t>
        </is>
      </c>
      <c r="G16" t="inlineStr">
        <is>
          <t>52.46</t>
        </is>
      </c>
      <c r="I16" t="n">
        <v>0</v>
      </c>
      <c r="L16" t="inlineStr">
        <is>
          <t>344.00</t>
        </is>
      </c>
      <c r="N16" t="inlineStr">
        <is>
          <t>172.00</t>
        </is>
      </c>
      <c r="P16" t="inlineStr">
        <is>
          <t>740.46</t>
        </is>
      </c>
      <c r="S16" t="inlineStr">
        <is>
          <t>688.00</t>
        </is>
      </c>
    </row>
    <row r="17" ht="15" customHeight="1" s="126">
      <c r="C17" t="inlineStr">
        <is>
          <t>313004 - LIQUOR SALES - TAXABLE Total:</t>
        </is>
      </c>
      <c r="F17" t="inlineStr">
        <is>
          <t>0.00</t>
        </is>
      </c>
      <c r="G17" t="inlineStr">
        <is>
          <t>173.24</t>
        </is>
      </c>
      <c r="I17" t="n">
        <v>0</v>
      </c>
      <c r="L17" t="inlineStr">
        <is>
          <t>0.00</t>
        </is>
      </c>
      <c r="N17" t="inlineStr">
        <is>
          <t>142.00</t>
        </is>
      </c>
      <c r="P17" t="inlineStr">
        <is>
          <t>2,445.24</t>
        </is>
      </c>
      <c r="S17" t="inlineStr">
        <is>
          <t>2,272.00</t>
        </is>
      </c>
    </row>
    <row r="18" ht="15" customHeight="1" s="126">
      <c r="C18" t="inlineStr">
        <is>
          <t>313082 - BEER PACKAGED SALES Total:</t>
        </is>
      </c>
      <c r="F18" t="inlineStr">
        <is>
          <t>0.00</t>
        </is>
      </c>
      <c r="G18" t="inlineStr">
        <is>
          <t>355.78</t>
        </is>
      </c>
      <c r="I18" t="n">
        <v>0</v>
      </c>
      <c r="L18" t="inlineStr">
        <is>
          <t>0.00</t>
        </is>
      </c>
      <c r="N18" t="inlineStr">
        <is>
          <t>365.00</t>
        </is>
      </c>
      <c r="P18" t="inlineStr">
        <is>
          <t>5,021.78</t>
        </is>
      </c>
      <c r="S18" t="inlineStr">
        <is>
          <t>4,666.00</t>
        </is>
      </c>
    </row>
    <row r="19" ht="15" customHeight="1" s="126">
      <c r="B19" t="inlineStr">
        <is>
          <t>FB 100B - MBP TRAILER N CONCOURSE Total:</t>
        </is>
      </c>
      <c r="F19" t="inlineStr">
        <is>
          <t>0.00</t>
        </is>
      </c>
      <c r="G19" t="inlineStr">
        <is>
          <t>581.66</t>
        </is>
      </c>
      <c r="I19" t="n">
        <v>0</v>
      </c>
      <c r="L19" t="inlineStr">
        <is>
          <t>344.00</t>
        </is>
      </c>
      <c r="N19" t="inlineStr">
        <is>
          <t>921.00</t>
        </is>
      </c>
      <c r="P19" t="inlineStr">
        <is>
          <t>8,207.66</t>
        </is>
      </c>
      <c r="S19" t="inlineStr">
        <is>
          <t>7,626.00</t>
        </is>
      </c>
    </row>
    <row r="20" ht="15" customHeight="1" s="126">
      <c r="B20" t="inlineStr">
        <is>
          <t>Location: FB 101 - STADIUM SIPS SHACK SW</t>
        </is>
      </c>
    </row>
    <row r="21" ht="15" customHeight="1" s="126">
      <c r="C21" t="inlineStr">
        <is>
          <t xml:space="preserve"> Total:</t>
        </is>
      </c>
      <c r="F21" t="inlineStr">
        <is>
          <t>0.00</t>
        </is>
      </c>
      <c r="G21" t="inlineStr">
        <is>
          <t>0.35</t>
        </is>
      </c>
      <c r="I21" t="n">
        <v>0</v>
      </c>
      <c r="L21" t="inlineStr">
        <is>
          <t>0.00</t>
        </is>
      </c>
      <c r="N21" t="inlineStr">
        <is>
          <t>319.00</t>
        </is>
      </c>
      <c r="P21" t="inlineStr">
        <is>
          <t>0.35</t>
        </is>
      </c>
      <c r="S21" t="inlineStr">
        <is>
          <t>0.00</t>
        </is>
      </c>
    </row>
    <row r="22" ht="15" customHeight="1" s="126">
      <c r="C22" t="inlineStr">
        <is>
          <t>312115 - N/A BEVERAGE SALES - TAXABLE Total:</t>
        </is>
      </c>
      <c r="F22" t="inlineStr">
        <is>
          <t>0.00</t>
        </is>
      </c>
      <c r="G22" t="inlineStr">
        <is>
          <t>122.61</t>
        </is>
      </c>
      <c r="I22" t="n">
        <v>0</v>
      </c>
      <c r="L22" t="inlineStr">
        <is>
          <t>558.00</t>
        </is>
      </c>
      <c r="N22" t="inlineStr">
        <is>
          <t>279.00</t>
        </is>
      </c>
      <c r="P22" t="inlineStr">
        <is>
          <t>1,730.61</t>
        </is>
      </c>
      <c r="S22" t="inlineStr">
        <is>
          <t>1,608.00</t>
        </is>
      </c>
    </row>
    <row r="23" ht="15" customHeight="1" s="126">
      <c r="C23" t="inlineStr">
        <is>
          <t>313000 - FOOD SALES - TAXABLE Total:</t>
        </is>
      </c>
      <c r="F23" t="inlineStr">
        <is>
          <t>0.00</t>
        </is>
      </c>
      <c r="G23" t="inlineStr">
        <is>
          <t>34.92</t>
        </is>
      </c>
      <c r="I23" t="n">
        <v>0</v>
      </c>
      <c r="L23" t="inlineStr">
        <is>
          <t>1.00</t>
        </is>
      </c>
      <c r="N23" t="inlineStr">
        <is>
          <t>129.00</t>
        </is>
      </c>
      <c r="P23" t="inlineStr">
        <is>
          <t>492.92</t>
        </is>
      </c>
      <c r="S23" t="inlineStr">
        <is>
          <t>458.00</t>
        </is>
      </c>
    </row>
    <row r="24" ht="15" customHeight="1" s="126">
      <c r="C24" t="inlineStr">
        <is>
          <t>313004 - LIQUOR SALES - TAXABLE Total:</t>
        </is>
      </c>
      <c r="F24" t="inlineStr">
        <is>
          <t>0.00</t>
        </is>
      </c>
      <c r="G24" t="inlineStr">
        <is>
          <t>134.20</t>
        </is>
      </c>
      <c r="I24" t="n">
        <v>0</v>
      </c>
      <c r="L24" t="inlineStr">
        <is>
          <t>0.00</t>
        </is>
      </c>
      <c r="N24" t="inlineStr">
        <is>
          <t>110.00</t>
        </is>
      </c>
      <c r="P24" t="inlineStr">
        <is>
          <t>1,894.20</t>
        </is>
      </c>
      <c r="S24" t="inlineStr">
        <is>
          <t>1,760.00</t>
        </is>
      </c>
    </row>
    <row r="25" ht="15" customHeight="1" s="126">
      <c r="C25" t="inlineStr">
        <is>
          <t>313082 - BEER PACKAGED SALES Total:</t>
        </is>
      </c>
      <c r="F25" t="inlineStr">
        <is>
          <t>0.00</t>
        </is>
      </c>
      <c r="G25" t="inlineStr">
        <is>
          <t>353.84</t>
        </is>
      </c>
      <c r="I25" t="n">
        <v>0</v>
      </c>
      <c r="L25" t="inlineStr">
        <is>
          <t>0.00</t>
        </is>
      </c>
      <c r="N25" t="inlineStr">
        <is>
          <t>351.00</t>
        </is>
      </c>
      <c r="P25" t="inlineStr">
        <is>
          <t>4,994.34</t>
        </is>
      </c>
      <c r="S25" t="inlineStr">
        <is>
          <t>4,640.50</t>
        </is>
      </c>
    </row>
    <row r="26" ht="15" customHeight="1" s="126">
      <c r="C26" t="inlineStr">
        <is>
          <t>FF-312114 - N/A BEV SALE DISC. FAN FRIENDLY (CC36636) Total:</t>
        </is>
      </c>
      <c r="F26" t="inlineStr">
        <is>
          <t>0.00</t>
        </is>
      </c>
      <c r="G26" t="inlineStr">
        <is>
          <t>58.26</t>
        </is>
      </c>
      <c r="I26" t="n">
        <v>0</v>
      </c>
      <c r="L26" t="inlineStr">
        <is>
          <t>0.00</t>
        </is>
      </c>
      <c r="N26" t="inlineStr">
        <is>
          <t>191.00</t>
        </is>
      </c>
      <c r="P26" t="inlineStr">
        <is>
          <t>822.26</t>
        </is>
      </c>
      <c r="S26" t="inlineStr">
        <is>
          <t>764.00</t>
        </is>
      </c>
    </row>
    <row r="27" ht="15" customHeight="1" s="126">
      <c r="C27" t="inlineStr">
        <is>
          <t>FF-313076 - FOOD SALES DISC. FAN FRIENDLY (CC36636) Total:</t>
        </is>
      </c>
      <c r="F27" t="inlineStr">
        <is>
          <t>0.00</t>
        </is>
      </c>
      <c r="G27" t="inlineStr">
        <is>
          <t>31.42</t>
        </is>
      </c>
      <c r="I27" t="n">
        <v>0</v>
      </c>
      <c r="L27" t="inlineStr">
        <is>
          <t>0.00</t>
        </is>
      </c>
      <c r="N27" t="inlineStr">
        <is>
          <t>103.00</t>
        </is>
      </c>
      <c r="P27" t="inlineStr">
        <is>
          <t>443.42</t>
        </is>
      </c>
      <c r="S27" t="inlineStr">
        <is>
          <t>412.00</t>
        </is>
      </c>
    </row>
    <row r="28" ht="15" customHeight="1" s="126">
      <c r="B28" t="inlineStr">
        <is>
          <t>FB 101 - STADIUM SIPS SHACK SW Total:</t>
        </is>
      </c>
      <c r="F28" t="inlineStr">
        <is>
          <t>0.00</t>
        </is>
      </c>
      <c r="G28" t="inlineStr">
        <is>
          <t>735.59</t>
        </is>
      </c>
      <c r="I28" t="n">
        <v>0</v>
      </c>
      <c r="L28" t="inlineStr">
        <is>
          <t>559.00</t>
        </is>
      </c>
      <c r="N28" t="inlineStr">
        <is>
          <t>1,482.00</t>
        </is>
      </c>
      <c r="P28" t="inlineStr">
        <is>
          <t>10,378.09</t>
        </is>
      </c>
      <c r="S28" t="inlineStr">
        <is>
          <t>9,642.50</t>
        </is>
      </c>
    </row>
    <row r="29" ht="15" customHeight="1" s="126">
      <c r="B29" t="inlineStr">
        <is>
          <t>Location: FB 102 - TOWER SOUTH</t>
        </is>
      </c>
    </row>
    <row r="30" ht="15" customHeight="1" s="126">
      <c r="C30" t="inlineStr">
        <is>
          <t xml:space="preserve"> Total:</t>
        </is>
      </c>
      <c r="F30" t="inlineStr">
        <is>
          <t>0.00</t>
        </is>
      </c>
      <c r="G30" t="inlineStr">
        <is>
          <t>0.30</t>
        </is>
      </c>
      <c r="I30" t="n">
        <v>0</v>
      </c>
      <c r="L30" t="inlineStr">
        <is>
          <t>0.00</t>
        </is>
      </c>
      <c r="N30" t="inlineStr">
        <is>
          <t>286.00</t>
        </is>
      </c>
      <c r="P30" t="inlineStr">
        <is>
          <t>0.30</t>
        </is>
      </c>
      <c r="S30" t="inlineStr">
        <is>
          <t>0.00</t>
        </is>
      </c>
    </row>
    <row r="31" ht="15" customHeight="1" s="126">
      <c r="C31" t="inlineStr">
        <is>
          <t>312115 - N/A BEVERAGE SALES - TAXABLE Total:</t>
        </is>
      </c>
      <c r="F31" t="inlineStr">
        <is>
          <t>0.00</t>
        </is>
      </c>
      <c r="G31" t="inlineStr">
        <is>
          <t>97.75</t>
        </is>
      </c>
      <c r="I31" t="n">
        <v>0</v>
      </c>
      <c r="L31" t="inlineStr">
        <is>
          <t>308.00</t>
        </is>
      </c>
      <c r="N31" t="inlineStr">
        <is>
          <t>180.00</t>
        </is>
      </c>
      <c r="P31" t="inlineStr">
        <is>
          <t>1,379.75</t>
        </is>
      </c>
      <c r="S31" t="inlineStr">
        <is>
          <t>1,282.00</t>
        </is>
      </c>
    </row>
    <row r="32" ht="15" customHeight="1" s="126">
      <c r="C32" t="inlineStr">
        <is>
          <t>313000 - FOOD SALES - TAXABLE Total:</t>
        </is>
      </c>
      <c r="F32" t="inlineStr">
        <is>
          <t>0.00</t>
        </is>
      </c>
      <c r="G32" t="inlineStr">
        <is>
          <t>155.70</t>
        </is>
      </c>
      <c r="I32" t="n">
        <v>0</v>
      </c>
      <c r="L32" t="inlineStr">
        <is>
          <t>57.00</t>
        </is>
      </c>
      <c r="N32" t="inlineStr">
        <is>
          <t>379.00</t>
        </is>
      </c>
      <c r="P32" t="inlineStr">
        <is>
          <t>2,197.70</t>
        </is>
      </c>
      <c r="S32" t="inlineStr">
        <is>
          <t>2,042.00</t>
        </is>
      </c>
    </row>
    <row r="33" ht="15" customHeight="1" s="126">
      <c r="C33" t="inlineStr">
        <is>
          <t>313004 - LIQUOR SALES - TAXABLE Total:</t>
        </is>
      </c>
      <c r="F33" t="inlineStr">
        <is>
          <t>0.00</t>
        </is>
      </c>
      <c r="G33" t="inlineStr">
        <is>
          <t>37.82</t>
        </is>
      </c>
      <c r="I33" t="n">
        <v>0</v>
      </c>
      <c r="L33" t="inlineStr">
        <is>
          <t>0.00</t>
        </is>
      </c>
      <c r="N33" t="inlineStr">
        <is>
          <t>31.00</t>
        </is>
      </c>
      <c r="P33" t="inlineStr">
        <is>
          <t>533.82</t>
        </is>
      </c>
      <c r="S33" t="inlineStr">
        <is>
          <t>496.00</t>
        </is>
      </c>
    </row>
    <row r="34" ht="15" customHeight="1" s="126">
      <c r="C34" t="inlineStr">
        <is>
          <t>313082 - BEER PACKAGED SALES Total:</t>
        </is>
      </c>
      <c r="F34" t="inlineStr">
        <is>
          <t>0.00</t>
        </is>
      </c>
      <c r="G34" t="inlineStr">
        <is>
          <t>141.33</t>
        </is>
      </c>
      <c r="I34" t="n">
        <v>0</v>
      </c>
      <c r="L34" t="inlineStr">
        <is>
          <t>0.00</t>
        </is>
      </c>
      <c r="N34" t="inlineStr">
        <is>
          <t>143.00</t>
        </is>
      </c>
      <c r="P34" t="inlineStr">
        <is>
          <t>1,994.83</t>
        </is>
      </c>
      <c r="S34" t="inlineStr">
        <is>
          <t>1,853.50</t>
        </is>
      </c>
    </row>
    <row r="35" ht="15" customHeight="1" s="126">
      <c r="C35" t="inlineStr">
        <is>
          <t>FF-312114 - N/A BEV SALE DISC. FAN FRIENDLY (CC36636) Total:</t>
        </is>
      </c>
      <c r="F35" t="inlineStr">
        <is>
          <t>0.00</t>
        </is>
      </c>
      <c r="G35" t="inlineStr">
        <is>
          <t>66.49</t>
        </is>
      </c>
      <c r="I35" t="n">
        <v>0</v>
      </c>
      <c r="L35" t="inlineStr">
        <is>
          <t>0.00</t>
        </is>
      </c>
      <c r="N35" t="inlineStr">
        <is>
          <t>218.00</t>
        </is>
      </c>
      <c r="P35" t="inlineStr">
        <is>
          <t>938.49</t>
        </is>
      </c>
      <c r="S35" t="inlineStr">
        <is>
          <t>872.00</t>
        </is>
      </c>
    </row>
    <row r="36" ht="15" customHeight="1" s="126">
      <c r="C36" t="inlineStr">
        <is>
          <t>FF-313076 - FOOD SALES DISC. FAN FRIENDLY (CC36636) Total:</t>
        </is>
      </c>
      <c r="F36" t="inlineStr">
        <is>
          <t>0.00</t>
        </is>
      </c>
      <c r="G36" t="inlineStr">
        <is>
          <t>56.12</t>
        </is>
      </c>
      <c r="I36" t="n">
        <v>0</v>
      </c>
      <c r="L36" t="inlineStr">
        <is>
          <t>368.00</t>
        </is>
      </c>
      <c r="N36" t="inlineStr">
        <is>
          <t>184.00</t>
        </is>
      </c>
      <c r="P36" t="inlineStr">
        <is>
          <t>792.12</t>
        </is>
      </c>
      <c r="S36" t="inlineStr">
        <is>
          <t>736.00</t>
        </is>
      </c>
    </row>
    <row r="37" ht="15" customHeight="1" s="126">
      <c r="B37" t="inlineStr">
        <is>
          <t>FB 102 - TOWER SOUTH Total:</t>
        </is>
      </c>
      <c r="F37" t="inlineStr">
        <is>
          <t>0.00</t>
        </is>
      </c>
      <c r="G37" t="inlineStr">
        <is>
          <t>555.51</t>
        </is>
      </c>
      <c r="I37" t="n">
        <v>0</v>
      </c>
      <c r="L37" t="inlineStr">
        <is>
          <t>733.00</t>
        </is>
      </c>
      <c r="N37" t="inlineStr">
        <is>
          <t>1,421.00</t>
        </is>
      </c>
      <c r="P37" t="inlineStr">
        <is>
          <t>7,837.01</t>
        </is>
      </c>
      <c r="S37" t="inlineStr">
        <is>
          <t>7,281.50</t>
        </is>
      </c>
    </row>
    <row r="38" ht="15" customHeight="1" s="126">
      <c r="B38" t="inlineStr">
        <is>
          <t>Location: FB 103 - TOWER NORTH</t>
        </is>
      </c>
    </row>
    <row r="39" ht="15" customHeight="1" s="126">
      <c r="C39" t="inlineStr">
        <is>
          <t xml:space="preserve"> Total:</t>
        </is>
      </c>
      <c r="F39" t="inlineStr">
        <is>
          <t>0.00</t>
        </is>
      </c>
      <c r="G39" t="inlineStr">
        <is>
          <t>0.29</t>
        </is>
      </c>
      <c r="I39" t="n">
        <v>0</v>
      </c>
      <c r="L39" t="inlineStr">
        <is>
          <t>0.00</t>
        </is>
      </c>
      <c r="N39" t="inlineStr">
        <is>
          <t>338.00</t>
        </is>
      </c>
      <c r="P39" t="inlineStr">
        <is>
          <t>0.29</t>
        </is>
      </c>
      <c r="S39" t="inlineStr">
        <is>
          <t>0.00</t>
        </is>
      </c>
    </row>
    <row r="40" ht="15" customHeight="1" s="126">
      <c r="C40" t="inlineStr">
        <is>
          <t>312115 - N/A BEVERAGE SALES - TAXABLE Total:</t>
        </is>
      </c>
      <c r="F40" t="inlineStr">
        <is>
          <t>0.00</t>
        </is>
      </c>
      <c r="G40" t="inlineStr">
        <is>
          <t>92.11</t>
        </is>
      </c>
      <c r="I40" t="n">
        <v>0</v>
      </c>
      <c r="L40" t="inlineStr">
        <is>
          <t>288.00</t>
        </is>
      </c>
      <c r="N40" t="inlineStr">
        <is>
          <t>168.00</t>
        </is>
      </c>
      <c r="P40" t="inlineStr">
        <is>
          <t>1,300.11</t>
        </is>
      </c>
      <c r="S40" t="inlineStr">
        <is>
          <t>1,208.00</t>
        </is>
      </c>
    </row>
    <row r="41" ht="15" customHeight="1" s="126">
      <c r="C41" t="inlineStr">
        <is>
          <t>313000 - FOOD SALES - TAXABLE Total:</t>
        </is>
      </c>
      <c r="F41" t="inlineStr">
        <is>
          <t>0.00</t>
        </is>
      </c>
      <c r="G41" t="inlineStr">
        <is>
          <t>140.22</t>
        </is>
      </c>
      <c r="I41" t="n">
        <v>0</v>
      </c>
      <c r="L41" t="inlineStr">
        <is>
          <t>39.00</t>
        </is>
      </c>
      <c r="N41" t="inlineStr">
        <is>
          <t>357.00</t>
        </is>
      </c>
      <c r="P41" t="inlineStr">
        <is>
          <t>1,979.22</t>
        </is>
      </c>
      <c r="S41" t="inlineStr">
        <is>
          <t>1,839.00</t>
        </is>
      </c>
    </row>
    <row r="42" ht="15" customHeight="1" s="126">
      <c r="C42" t="inlineStr">
        <is>
          <t>313004 - LIQUOR SALES - TAXABLE Total:</t>
        </is>
      </c>
      <c r="F42" t="inlineStr">
        <is>
          <t>0.00</t>
        </is>
      </c>
      <c r="G42" t="inlineStr">
        <is>
          <t>43.92</t>
        </is>
      </c>
      <c r="I42" t="n">
        <v>0</v>
      </c>
      <c r="L42" t="inlineStr">
        <is>
          <t>0.00</t>
        </is>
      </c>
      <c r="N42" t="inlineStr">
        <is>
          <t>36.00</t>
        </is>
      </c>
      <c r="P42" t="inlineStr">
        <is>
          <t>619.92</t>
        </is>
      </c>
      <c r="S42" t="inlineStr">
        <is>
          <t>576.00</t>
        </is>
      </c>
    </row>
    <row r="43" ht="15" customHeight="1" s="126">
      <c r="C43" t="inlineStr">
        <is>
          <t>313082 - BEER PACKAGED SALES Total:</t>
        </is>
      </c>
      <c r="F43" t="inlineStr">
        <is>
          <t>0.00</t>
        </is>
      </c>
      <c r="G43" t="inlineStr">
        <is>
          <t>191.43</t>
        </is>
      </c>
      <c r="I43" t="n">
        <v>0</v>
      </c>
      <c r="L43" t="inlineStr">
        <is>
          <t>0.00</t>
        </is>
      </c>
      <c r="N43" t="inlineStr">
        <is>
          <t>192.00</t>
        </is>
      </c>
      <c r="P43" t="inlineStr">
        <is>
          <t>2,701.93</t>
        </is>
      </c>
      <c r="S43" t="inlineStr">
        <is>
          <t>2,510.50</t>
        </is>
      </c>
    </row>
    <row r="44" ht="15" customHeight="1" s="126">
      <c r="C44" t="inlineStr">
        <is>
          <t>FF-312114 - N/A BEV SALE DISC. FAN FRIENDLY (CC36636) Total:</t>
        </is>
      </c>
      <c r="F44" t="inlineStr">
        <is>
          <t>0.00</t>
        </is>
      </c>
      <c r="G44" t="inlineStr">
        <is>
          <t>74.73</t>
        </is>
      </c>
      <c r="I44" t="n">
        <v>0</v>
      </c>
      <c r="L44" t="inlineStr">
        <is>
          <t>0.00</t>
        </is>
      </c>
      <c r="N44" t="inlineStr">
        <is>
          <t>245.00</t>
        </is>
      </c>
      <c r="P44" t="inlineStr">
        <is>
          <t>1,054.73</t>
        </is>
      </c>
      <c r="S44" t="inlineStr">
        <is>
          <t>980.00</t>
        </is>
      </c>
    </row>
    <row r="45" ht="15" customHeight="1" s="126">
      <c r="C45" t="inlineStr">
        <is>
          <t>FF-313076 - FOOD SALES DISC. FAN FRIENDLY (CC36636) Total:</t>
        </is>
      </c>
      <c r="F45" t="inlineStr">
        <is>
          <t>0.00</t>
        </is>
      </c>
      <c r="G45" t="inlineStr">
        <is>
          <t>39.96</t>
        </is>
      </c>
      <c r="I45" t="n">
        <v>0</v>
      </c>
      <c r="L45" t="inlineStr">
        <is>
          <t>242.00</t>
        </is>
      </c>
      <c r="N45" t="inlineStr">
        <is>
          <t>131.00</t>
        </is>
      </c>
      <c r="P45" t="inlineStr">
        <is>
          <t>563.96</t>
        </is>
      </c>
      <c r="S45" t="inlineStr">
        <is>
          <t>524.00</t>
        </is>
      </c>
    </row>
    <row r="46" ht="15" customHeight="1" s="126">
      <c r="B46" t="inlineStr">
        <is>
          <t>FB 103 - TOWER NORTH Total:</t>
        </is>
      </c>
      <c r="F46" t="inlineStr">
        <is>
          <t>0.00</t>
        </is>
      </c>
      <c r="G46" t="inlineStr">
        <is>
          <t>582.65</t>
        </is>
      </c>
      <c r="I46" t="n">
        <v>0</v>
      </c>
      <c r="L46" t="inlineStr">
        <is>
          <t>569.00</t>
        </is>
      </c>
      <c r="N46" t="inlineStr">
        <is>
          <t>1,467.00</t>
        </is>
      </c>
      <c r="P46" t="inlineStr">
        <is>
          <t>8,220.15</t>
        </is>
      </c>
      <c r="S46" t="inlineStr">
        <is>
          <t>7,637.50</t>
        </is>
      </c>
    </row>
    <row r="47" ht="15" customHeight="1" s="126">
      <c r="B47" t="inlineStr">
        <is>
          <t>Location: FB 104 - RED RALLY NORTH WEST</t>
        </is>
      </c>
    </row>
    <row r="48" ht="15" customHeight="1" s="126">
      <c r="C48" t="inlineStr">
        <is>
          <t xml:space="preserve"> Total:</t>
        </is>
      </c>
      <c r="F48" t="inlineStr">
        <is>
          <t>0.00</t>
        </is>
      </c>
      <c r="G48" t="inlineStr">
        <is>
          <t>1.00</t>
        </is>
      </c>
      <c r="I48" t="n">
        <v>0</v>
      </c>
      <c r="L48" t="inlineStr">
        <is>
          <t>0.00</t>
        </is>
      </c>
      <c r="N48" t="inlineStr">
        <is>
          <t>1,021.00</t>
        </is>
      </c>
      <c r="P48" t="inlineStr">
        <is>
          <t>1.00</t>
        </is>
      </c>
      <c r="S48" t="inlineStr">
        <is>
          <t>0.00</t>
        </is>
      </c>
    </row>
    <row r="49" ht="15" customHeight="1" s="126">
      <c r="C49" t="inlineStr">
        <is>
          <t>312115 - N/A BEVERAGE SALES - TAXABLE Total:</t>
        </is>
      </c>
      <c r="F49" t="inlineStr">
        <is>
          <t>0.00</t>
        </is>
      </c>
      <c r="G49" t="inlineStr">
        <is>
          <t>608.40</t>
        </is>
      </c>
      <c r="I49" t="n">
        <v>0</v>
      </c>
      <c r="L49" t="inlineStr">
        <is>
          <t>2,208.00</t>
        </is>
      </c>
      <c r="N49" t="inlineStr">
        <is>
          <t>1,181.00</t>
        </is>
      </c>
      <c r="P49" t="inlineStr">
        <is>
          <t>8,587.40</t>
        </is>
      </c>
      <c r="S49" t="inlineStr">
        <is>
          <t>7,979.00</t>
        </is>
      </c>
    </row>
    <row r="50" ht="15" customHeight="1" s="126">
      <c r="C50" t="inlineStr">
        <is>
          <t>313000 - FOOD SALES - TAXABLE Total:</t>
        </is>
      </c>
      <c r="F50" t="inlineStr">
        <is>
          <t>0.00</t>
        </is>
      </c>
      <c r="G50" t="inlineStr">
        <is>
          <t>881.98</t>
        </is>
      </c>
      <c r="I50" t="n">
        <v>0</v>
      </c>
      <c r="L50" t="inlineStr">
        <is>
          <t>200.00</t>
        </is>
      </c>
      <c r="N50" t="inlineStr">
        <is>
          <t>1,538.00</t>
        </is>
      </c>
      <c r="P50" t="inlineStr">
        <is>
          <t>12,448.98</t>
        </is>
      </c>
      <c r="S50" t="inlineStr">
        <is>
          <t>11,567.00</t>
        </is>
      </c>
    </row>
    <row r="51" ht="15" customHeight="1" s="126">
      <c r="C51" t="inlineStr">
        <is>
          <t>313004 - LIQUOR SALES - TAXABLE Total:</t>
        </is>
      </c>
      <c r="F51" t="inlineStr">
        <is>
          <t>0.00</t>
        </is>
      </c>
      <c r="G51" t="inlineStr">
        <is>
          <t>180.56</t>
        </is>
      </c>
      <c r="I51" t="n">
        <v>0</v>
      </c>
      <c r="L51" t="inlineStr">
        <is>
          <t>0.00</t>
        </is>
      </c>
      <c r="N51" t="inlineStr">
        <is>
          <t>148.00</t>
        </is>
      </c>
      <c r="P51" t="inlineStr">
        <is>
          <t>2,548.56</t>
        </is>
      </c>
      <c r="S51" t="inlineStr">
        <is>
          <t>2,368.00</t>
        </is>
      </c>
    </row>
    <row r="52" ht="15" customHeight="1" s="126">
      <c r="C52" t="inlineStr">
        <is>
          <t>313082 - BEER PACKAGED SALES Total:</t>
        </is>
      </c>
      <c r="F52" t="inlineStr">
        <is>
          <t>0.00</t>
        </is>
      </c>
      <c r="G52" t="inlineStr">
        <is>
          <t>367.83</t>
        </is>
      </c>
      <c r="I52" t="n">
        <v>0</v>
      </c>
      <c r="L52" t="inlineStr">
        <is>
          <t>0.00</t>
        </is>
      </c>
      <c r="N52" t="inlineStr">
        <is>
          <t>375.00</t>
        </is>
      </c>
      <c r="P52" t="inlineStr">
        <is>
          <t>5,191.83</t>
        </is>
      </c>
      <c r="S52" t="inlineStr">
        <is>
          <t>4,824.00</t>
        </is>
      </c>
    </row>
    <row r="53" ht="15" customHeight="1" s="126">
      <c r="C53" t="inlineStr">
        <is>
          <t>FF-312114 - N/A BEV SALE DISC. FAN FRIENDLY (CC36636) Total:</t>
        </is>
      </c>
      <c r="F53" t="inlineStr">
        <is>
          <t>0.00</t>
        </is>
      </c>
      <c r="G53" t="inlineStr">
        <is>
          <t>180.87</t>
        </is>
      </c>
      <c r="I53" t="n">
        <v>0</v>
      </c>
      <c r="L53" t="inlineStr">
        <is>
          <t>0.00</t>
        </is>
      </c>
      <c r="N53" t="inlineStr">
        <is>
          <t>593.00</t>
        </is>
      </c>
      <c r="P53" t="inlineStr">
        <is>
          <t>2,552.87</t>
        </is>
      </c>
      <c r="S53" t="inlineStr">
        <is>
          <t>2,372.00</t>
        </is>
      </c>
    </row>
    <row r="54" ht="15" customHeight="1" s="126">
      <c r="C54" t="inlineStr">
        <is>
          <t>FF-313076 - FOOD SALES DISC. FAN FRIENDLY (CC36636) Total:</t>
        </is>
      </c>
      <c r="F54" t="inlineStr">
        <is>
          <t>0.00</t>
        </is>
      </c>
      <c r="G54" t="inlineStr">
        <is>
          <t>272.67</t>
        </is>
      </c>
      <c r="I54" t="n">
        <v>0</v>
      </c>
      <c r="L54" t="inlineStr">
        <is>
          <t>1,788.00</t>
        </is>
      </c>
      <c r="N54" t="inlineStr">
        <is>
          <t>894.00</t>
        </is>
      </c>
      <c r="P54" t="inlineStr">
        <is>
          <t>3,848.67</t>
        </is>
      </c>
      <c r="S54" t="inlineStr">
        <is>
          <t>3,576.00</t>
        </is>
      </c>
    </row>
    <row r="55" ht="15" customHeight="1" s="126">
      <c r="B55" t="inlineStr">
        <is>
          <t>FB 104 - RED RALLY NORTH WEST Total:</t>
        </is>
      </c>
      <c r="F55" t="inlineStr">
        <is>
          <t>0.00</t>
        </is>
      </c>
      <c r="G55" t="inlineStr">
        <is>
          <t>2,493.31</t>
        </is>
      </c>
      <c r="I55" t="n">
        <v>0</v>
      </c>
      <c r="L55" t="inlineStr">
        <is>
          <t>4,196.00</t>
        </is>
      </c>
      <c r="N55" t="inlineStr">
        <is>
          <t>5,750.00</t>
        </is>
      </c>
      <c r="P55" t="inlineStr">
        <is>
          <t>35,179.31</t>
        </is>
      </c>
      <c r="S55" t="inlineStr">
        <is>
          <t>32,686.00</t>
        </is>
      </c>
    </row>
    <row r="56" ht="15" customHeight="1" s="126">
      <c r="B56" t="inlineStr">
        <is>
          <t>Location: FB 105 - NW SPECIALTY - DAWG HOUSE</t>
        </is>
      </c>
    </row>
    <row r="57" ht="15" customHeight="1" s="126">
      <c r="C57" t="inlineStr">
        <is>
          <t xml:space="preserve"> Total:</t>
        </is>
      </c>
      <c r="F57" t="inlineStr">
        <is>
          <t>0.00</t>
        </is>
      </c>
      <c r="G57" t="inlineStr">
        <is>
          <t>0.07</t>
        </is>
      </c>
      <c r="I57" t="n">
        <v>0</v>
      </c>
      <c r="L57" t="inlineStr">
        <is>
          <t>0.00</t>
        </is>
      </c>
      <c r="N57" t="inlineStr">
        <is>
          <t>202.00</t>
        </is>
      </c>
      <c r="P57" t="inlineStr">
        <is>
          <t>0.07</t>
        </is>
      </c>
      <c r="S57" t="inlineStr">
        <is>
          <t>0.00</t>
        </is>
      </c>
    </row>
    <row r="58" ht="15" customHeight="1" s="126">
      <c r="C58" t="inlineStr">
        <is>
          <t>312115 - N/A BEVERAGE SALES - TAXABLE Total:</t>
        </is>
      </c>
      <c r="F58" t="inlineStr">
        <is>
          <t>0.00</t>
        </is>
      </c>
      <c r="G58" t="inlineStr">
        <is>
          <t>143.81</t>
        </is>
      </c>
      <c r="I58" t="n">
        <v>0</v>
      </c>
      <c r="L58" t="inlineStr">
        <is>
          <t>0.00</t>
        </is>
      </c>
      <c r="N58" t="inlineStr">
        <is>
          <t>238.00</t>
        </is>
      </c>
      <c r="P58" t="inlineStr">
        <is>
          <t>2,029.81</t>
        </is>
      </c>
      <c r="S58" t="inlineStr">
        <is>
          <t>1,886.00</t>
        </is>
      </c>
    </row>
    <row r="59" ht="15" customHeight="1" s="126">
      <c r="C59" t="inlineStr">
        <is>
          <t>313000 - FOOD SALES - TAXABLE Total:</t>
        </is>
      </c>
      <c r="F59" t="inlineStr">
        <is>
          <t>0.00</t>
        </is>
      </c>
      <c r="G59" t="inlineStr">
        <is>
          <t>235.08</t>
        </is>
      </c>
      <c r="I59" t="n">
        <v>0</v>
      </c>
      <c r="L59" t="inlineStr">
        <is>
          <t>0.00</t>
        </is>
      </c>
      <c r="N59" t="inlineStr">
        <is>
          <t>251.00</t>
        </is>
      </c>
      <c r="P59" t="inlineStr">
        <is>
          <t>3,318.08</t>
        </is>
      </c>
      <c r="S59" t="inlineStr">
        <is>
          <t>3,083.00</t>
        </is>
      </c>
    </row>
    <row r="60" ht="15" customHeight="1" s="126">
      <c r="C60" t="inlineStr">
        <is>
          <t>313004 - LIQUOR SALES - TAXABLE Total:</t>
        </is>
      </c>
      <c r="F60" t="inlineStr">
        <is>
          <t>0.00</t>
        </is>
      </c>
      <c r="G60" t="inlineStr">
        <is>
          <t>24.40</t>
        </is>
      </c>
      <c r="I60" t="n">
        <v>0</v>
      </c>
      <c r="L60" t="inlineStr">
        <is>
          <t>0.00</t>
        </is>
      </c>
      <c r="N60" t="inlineStr">
        <is>
          <t>20.00</t>
        </is>
      </c>
      <c r="P60" t="inlineStr">
        <is>
          <t>344.40</t>
        </is>
      </c>
      <c r="S60" t="inlineStr">
        <is>
          <t>320.00</t>
        </is>
      </c>
    </row>
    <row r="61" ht="15" customHeight="1" s="126">
      <c r="C61" t="inlineStr">
        <is>
          <t>313082 - BEER PACKAGED SALES Total:</t>
        </is>
      </c>
      <c r="F61" t="inlineStr">
        <is>
          <t>0.00</t>
        </is>
      </c>
      <c r="G61" t="inlineStr">
        <is>
          <t>104.16</t>
        </is>
      </c>
      <c r="I61" t="n">
        <v>0</v>
      </c>
      <c r="L61" t="inlineStr">
        <is>
          <t>0.00</t>
        </is>
      </c>
      <c r="N61" t="inlineStr">
        <is>
          <t>101.00</t>
        </is>
      </c>
      <c r="P61" t="inlineStr">
        <is>
          <t>1,470.16</t>
        </is>
      </c>
      <c r="S61" t="inlineStr">
        <is>
          <t>1,366.00</t>
        </is>
      </c>
    </row>
    <row r="62" ht="15" customHeight="1" s="126">
      <c r="C62" t="inlineStr">
        <is>
          <t>FF-313076 - FOOD SALES DISC. FAN FRIENDLY (CC36636) Total:</t>
        </is>
      </c>
      <c r="F62" t="inlineStr">
        <is>
          <t>0.00</t>
        </is>
      </c>
      <c r="G62" t="inlineStr">
        <is>
          <t>20.13</t>
        </is>
      </c>
      <c r="I62" t="n">
        <v>0</v>
      </c>
      <c r="L62" t="inlineStr">
        <is>
          <t>0.00</t>
        </is>
      </c>
      <c r="N62" t="inlineStr">
        <is>
          <t>66.00</t>
        </is>
      </c>
      <c r="P62" t="inlineStr">
        <is>
          <t>284.13</t>
        </is>
      </c>
      <c r="S62" t="inlineStr">
        <is>
          <t>264.00</t>
        </is>
      </c>
    </row>
    <row r="63" ht="15" customHeight="1" s="126">
      <c r="B63" t="inlineStr">
        <is>
          <t>FB 105 - NW SPECIALTY - DAWG HOUSE Total:</t>
        </is>
      </c>
      <c r="F63" t="inlineStr">
        <is>
          <t>0.00</t>
        </is>
      </c>
      <c r="G63" t="inlineStr">
        <is>
          <t>527.64</t>
        </is>
      </c>
      <c r="I63" t="n">
        <v>0</v>
      </c>
      <c r="L63" t="inlineStr">
        <is>
          <t>0.00</t>
        </is>
      </c>
      <c r="N63" t="inlineStr">
        <is>
          <t>878.00</t>
        </is>
      </c>
      <c r="P63" t="inlineStr">
        <is>
          <t>7,446.64</t>
        </is>
      </c>
      <c r="S63" t="inlineStr">
        <is>
          <t>6,919.00</t>
        </is>
      </c>
    </row>
    <row r="64" ht="15" customHeight="1" s="126">
      <c r="B64" t="inlineStr">
        <is>
          <t>Location: FB 106 - RED RALLY NORTH EAST</t>
        </is>
      </c>
    </row>
    <row r="65" ht="15" customHeight="1" s="126">
      <c r="C65" t="inlineStr">
        <is>
          <t xml:space="preserve"> Total:</t>
        </is>
      </c>
      <c r="F65" t="inlineStr">
        <is>
          <t>0.00</t>
        </is>
      </c>
      <c r="G65" t="inlineStr">
        <is>
          <t>1.15</t>
        </is>
      </c>
      <c r="I65" t="n">
        <v>0</v>
      </c>
      <c r="L65" t="inlineStr">
        <is>
          <t>0.00</t>
        </is>
      </c>
      <c r="N65" t="inlineStr">
        <is>
          <t>1,123.00</t>
        </is>
      </c>
      <c r="P65" t="inlineStr">
        <is>
          <t>1.15</t>
        </is>
      </c>
      <c r="S65" t="inlineStr">
        <is>
          <t>0.00</t>
        </is>
      </c>
    </row>
    <row r="66" ht="15" customHeight="1" s="126">
      <c r="C66" t="inlineStr">
        <is>
          <t>312115 - N/A BEVERAGE SALES - TAXABLE Total:</t>
        </is>
      </c>
      <c r="F66" t="inlineStr">
        <is>
          <t>0.00</t>
        </is>
      </c>
      <c r="G66" t="inlineStr">
        <is>
          <t>678.47</t>
        </is>
      </c>
      <c r="I66" t="n">
        <v>0</v>
      </c>
      <c r="L66" t="inlineStr">
        <is>
          <t>2,638.00</t>
        </is>
      </c>
      <c r="N66" t="inlineStr">
        <is>
          <t>1,498.00</t>
        </is>
      </c>
      <c r="P66" t="inlineStr">
        <is>
          <t>9,576.47</t>
        </is>
      </c>
      <c r="S66" t="inlineStr">
        <is>
          <t>8,898.00</t>
        </is>
      </c>
    </row>
    <row r="67" ht="15" customHeight="1" s="126">
      <c r="C67" t="inlineStr">
        <is>
          <t>313000 - FOOD SALES - TAXABLE Total:</t>
        </is>
      </c>
      <c r="F67" t="inlineStr">
        <is>
          <t>0.00</t>
        </is>
      </c>
      <c r="G67" t="inlineStr">
        <is>
          <t>801.69</t>
        </is>
      </c>
      <c r="I67" t="n">
        <v>0</v>
      </c>
      <c r="L67" t="inlineStr">
        <is>
          <t>109.00</t>
        </is>
      </c>
      <c r="N67" t="inlineStr">
        <is>
          <t>1,451.00</t>
        </is>
      </c>
      <c r="P67" t="inlineStr">
        <is>
          <t>11,315.69</t>
        </is>
      </c>
      <c r="S67" t="inlineStr">
        <is>
          <t>10,514.00</t>
        </is>
      </c>
    </row>
    <row r="68" ht="15" customHeight="1" s="126">
      <c r="C68" t="inlineStr">
        <is>
          <t>313004 - LIQUOR SALES - TAXABLE Total:</t>
        </is>
      </c>
      <c r="F68" t="inlineStr">
        <is>
          <t>0.00</t>
        </is>
      </c>
      <c r="G68" t="inlineStr">
        <is>
          <t>142.74</t>
        </is>
      </c>
      <c r="I68" t="n">
        <v>0</v>
      </c>
      <c r="L68" t="inlineStr">
        <is>
          <t>0.00</t>
        </is>
      </c>
      <c r="N68" t="inlineStr">
        <is>
          <t>117.00</t>
        </is>
      </c>
      <c r="P68" t="inlineStr">
        <is>
          <t>2,014.74</t>
        </is>
      </c>
      <c r="S68" t="inlineStr">
        <is>
          <t>1,872.00</t>
        </is>
      </c>
    </row>
    <row r="69" ht="15" customHeight="1" s="126">
      <c r="C69" t="inlineStr">
        <is>
          <t>313082 - BEER PACKAGED SALES Total:</t>
        </is>
      </c>
      <c r="F69" t="inlineStr">
        <is>
          <t>0.00</t>
        </is>
      </c>
      <c r="G69" t="inlineStr">
        <is>
          <t>398.71</t>
        </is>
      </c>
      <c r="I69" t="n">
        <v>0</v>
      </c>
      <c r="L69" t="inlineStr">
        <is>
          <t>0.00</t>
        </is>
      </c>
      <c r="N69" t="inlineStr">
        <is>
          <t>399.00</t>
        </is>
      </c>
      <c r="P69" t="inlineStr">
        <is>
          <t>5,627.71</t>
        </is>
      </c>
      <c r="S69" t="inlineStr">
        <is>
          <t>5,229.00</t>
        </is>
      </c>
    </row>
    <row r="70" ht="15" customHeight="1" s="126">
      <c r="C70" t="inlineStr">
        <is>
          <t>FF-313076 - FOOD SALES DISC. FAN FRIENDLY (CC36636) Total:</t>
        </is>
      </c>
      <c r="F70" t="inlineStr">
        <is>
          <t>0.00</t>
        </is>
      </c>
      <c r="G70" t="inlineStr">
        <is>
          <t>219.60</t>
        </is>
      </c>
      <c r="I70" t="n">
        <v>0</v>
      </c>
      <c r="L70" t="inlineStr">
        <is>
          <t>1,304.00</t>
        </is>
      </c>
      <c r="N70" t="inlineStr">
        <is>
          <t>720.00</t>
        </is>
      </c>
      <c r="P70" t="inlineStr">
        <is>
          <t>3,099.60</t>
        </is>
      </c>
      <c r="S70" t="inlineStr">
        <is>
          <t>2,880.00</t>
        </is>
      </c>
    </row>
    <row r="71" ht="15" customHeight="1" s="126">
      <c r="B71" t="inlineStr">
        <is>
          <t>FB 106 - RED RALLY NORTH EAST Total:</t>
        </is>
      </c>
      <c r="F71" t="inlineStr">
        <is>
          <t>0.00</t>
        </is>
      </c>
      <c r="G71" t="inlineStr">
        <is>
          <t>2,242.37</t>
        </is>
      </c>
      <c r="I71" t="n">
        <v>0</v>
      </c>
      <c r="L71" t="inlineStr">
        <is>
          <t>4,051.00</t>
        </is>
      </c>
      <c r="N71" t="inlineStr">
        <is>
          <t>5,308.00</t>
        </is>
      </c>
      <c r="P71" t="inlineStr">
        <is>
          <t>31,635.37</t>
        </is>
      </c>
      <c r="S71" t="inlineStr">
        <is>
          <t>29,393.00</t>
        </is>
      </c>
    </row>
    <row r="72" ht="15" customHeight="1" s="126">
      <c r="B72" t="inlineStr">
        <is>
          <t>Location: FB 107 - NE SPECIALTY - DAWG HOUSE</t>
        </is>
      </c>
    </row>
    <row r="73" ht="15" customHeight="1" s="126">
      <c r="C73" t="inlineStr">
        <is>
          <t xml:space="preserve"> Total:</t>
        </is>
      </c>
      <c r="F73" t="inlineStr">
        <is>
          <t>0.00</t>
        </is>
      </c>
      <c r="G73" t="inlineStr">
        <is>
          <t>0.16</t>
        </is>
      </c>
      <c r="I73" t="n">
        <v>0</v>
      </c>
      <c r="L73" t="inlineStr">
        <is>
          <t>0.00</t>
        </is>
      </c>
      <c r="N73" t="inlineStr">
        <is>
          <t>229.00</t>
        </is>
      </c>
      <c r="P73" t="inlineStr">
        <is>
          <t>0.16</t>
        </is>
      </c>
      <c r="S73" t="inlineStr">
        <is>
          <t>0.00</t>
        </is>
      </c>
    </row>
    <row r="74" ht="15" customHeight="1" s="126">
      <c r="C74" t="inlineStr">
        <is>
          <t>312115 - N/A BEVERAGE SALES - TAXABLE Total:</t>
        </is>
      </c>
      <c r="F74" t="inlineStr">
        <is>
          <t>0.00</t>
        </is>
      </c>
      <c r="G74" t="inlineStr">
        <is>
          <t>186.97</t>
        </is>
      </c>
      <c r="I74" t="n">
        <v>0</v>
      </c>
      <c r="L74" t="inlineStr">
        <is>
          <t>474.00</t>
        </is>
      </c>
      <c r="N74" t="inlineStr">
        <is>
          <t>429.00</t>
        </is>
      </c>
      <c r="P74" t="inlineStr">
        <is>
          <t>2,638.97</t>
        </is>
      </c>
      <c r="S74" t="inlineStr">
        <is>
          <t>2,452.00</t>
        </is>
      </c>
    </row>
    <row r="75" ht="15" customHeight="1" s="126">
      <c r="C75" t="inlineStr">
        <is>
          <t>313000 - FOOD SALES - TAXABLE Total:</t>
        </is>
      </c>
      <c r="F75" t="inlineStr">
        <is>
          <t>0.00</t>
        </is>
      </c>
      <c r="G75" t="inlineStr">
        <is>
          <t>194.67</t>
        </is>
      </c>
      <c r="I75" t="n">
        <v>0</v>
      </c>
      <c r="L75" t="inlineStr">
        <is>
          <t>0.00</t>
        </is>
      </c>
      <c r="N75" t="inlineStr">
        <is>
          <t>239.00</t>
        </is>
      </c>
      <c r="P75" t="inlineStr">
        <is>
          <t>2,747.67</t>
        </is>
      </c>
      <c r="S75" t="inlineStr">
        <is>
          <t>2,553.00</t>
        </is>
      </c>
    </row>
    <row r="76" ht="15" customHeight="1" s="126">
      <c r="C76" t="inlineStr">
        <is>
          <t>313004 - LIQUOR SALES - TAXABLE Total:</t>
        </is>
      </c>
      <c r="F76" t="inlineStr">
        <is>
          <t>0.00</t>
        </is>
      </c>
      <c r="G76" t="inlineStr">
        <is>
          <t>76.71</t>
        </is>
      </c>
      <c r="I76" t="n">
        <v>0</v>
      </c>
      <c r="L76" t="inlineStr">
        <is>
          <t>0.00</t>
        </is>
      </c>
      <c r="N76" t="inlineStr">
        <is>
          <t>65.00</t>
        </is>
      </c>
      <c r="P76" t="inlineStr">
        <is>
          <t>1,082.71</t>
        </is>
      </c>
      <c r="S76" t="inlineStr">
        <is>
          <t>1,006.00</t>
        </is>
      </c>
    </row>
    <row r="77" ht="15" customHeight="1" s="126">
      <c r="C77" t="inlineStr">
        <is>
          <t>313082 - BEER PACKAGED SALES Total:</t>
        </is>
      </c>
      <c r="F77" t="inlineStr">
        <is>
          <t>0.00</t>
        </is>
      </c>
      <c r="G77" t="inlineStr">
        <is>
          <t>55.97</t>
        </is>
      </c>
      <c r="I77" t="n">
        <v>0</v>
      </c>
      <c r="L77" t="inlineStr">
        <is>
          <t>-474.50</t>
        </is>
      </c>
      <c r="N77" t="inlineStr">
        <is>
          <t>54.00</t>
        </is>
      </c>
      <c r="P77" t="inlineStr">
        <is>
          <t>789.97</t>
        </is>
      </c>
      <c r="S77" t="inlineStr">
        <is>
          <t>734.00</t>
        </is>
      </c>
    </row>
    <row r="78" ht="15" customHeight="1" s="126">
      <c r="B78" t="inlineStr">
        <is>
          <t>FB 107 - NE SPECIALTY - DAWG HOUSE Total:</t>
        </is>
      </c>
      <c r="F78" t="inlineStr">
        <is>
          <t>0.00</t>
        </is>
      </c>
      <c r="G78" t="inlineStr">
        <is>
          <t>514.47</t>
        </is>
      </c>
      <c r="I78" t="n">
        <v>0</v>
      </c>
      <c r="L78" t="inlineStr">
        <is>
          <t>-0.50</t>
        </is>
      </c>
      <c r="N78" t="inlineStr">
        <is>
          <t>1,016.00</t>
        </is>
      </c>
      <c r="P78" t="inlineStr">
        <is>
          <t>7,259.47</t>
        </is>
      </c>
      <c r="S78" t="inlineStr">
        <is>
          <t>6,745.00</t>
        </is>
      </c>
    </row>
    <row r="79" ht="15" customHeight="1" s="126">
      <c r="B79" t="inlineStr">
        <is>
          <t>Location: FB 108 - GRAB N GO - NW</t>
        </is>
      </c>
    </row>
    <row r="80" ht="15" customHeight="1" s="126">
      <c r="C80" t="inlineStr">
        <is>
          <t xml:space="preserve"> Total:</t>
        </is>
      </c>
      <c r="F80" t="inlineStr">
        <is>
          <t>0.00</t>
        </is>
      </c>
      <c r="G80" t="inlineStr">
        <is>
          <t>0.42</t>
        </is>
      </c>
      <c r="I80" t="n">
        <v>0</v>
      </c>
      <c r="L80" t="inlineStr">
        <is>
          <t>0.00</t>
        </is>
      </c>
      <c r="N80" t="inlineStr">
        <is>
          <t>677.00</t>
        </is>
      </c>
      <c r="P80" t="inlineStr">
        <is>
          <t>0.42</t>
        </is>
      </c>
      <c r="S80" t="inlineStr">
        <is>
          <t>0.00</t>
        </is>
      </c>
    </row>
    <row r="81" ht="15" customHeight="1" s="126">
      <c r="C81" t="inlineStr">
        <is>
          <t>312115 - N/A BEVERAGE SALES - TAXABLE Total:</t>
        </is>
      </c>
      <c r="F81" t="inlineStr">
        <is>
          <t>0.00</t>
        </is>
      </c>
      <c r="G81" t="inlineStr">
        <is>
          <t>232.79</t>
        </is>
      </c>
      <c r="I81" t="n">
        <v>0</v>
      </c>
      <c r="L81" t="inlineStr">
        <is>
          <t>0.00</t>
        </is>
      </c>
      <c r="N81" t="inlineStr">
        <is>
          <t>434.00</t>
        </is>
      </c>
      <c r="P81" t="inlineStr">
        <is>
          <t>3,285.79</t>
        </is>
      </c>
      <c r="S81" t="inlineStr">
        <is>
          <t>3,053.00</t>
        </is>
      </c>
    </row>
    <row r="82" ht="15" customHeight="1" s="126">
      <c r="C82" t="inlineStr">
        <is>
          <t>313000 - FOOD SALES - TAXABLE Total:</t>
        </is>
      </c>
      <c r="F82" t="inlineStr">
        <is>
          <t>0.00</t>
        </is>
      </c>
      <c r="G82" t="inlineStr">
        <is>
          <t>93.03</t>
        </is>
      </c>
      <c r="I82" t="n">
        <v>0</v>
      </c>
      <c r="L82" t="inlineStr">
        <is>
          <t>45.00</t>
        </is>
      </c>
      <c r="N82" t="inlineStr">
        <is>
          <t>265.00</t>
        </is>
      </c>
      <c r="P82" t="inlineStr">
        <is>
          <t>1,313.03</t>
        </is>
      </c>
      <c r="S82" t="inlineStr">
        <is>
          <t>1,220.00</t>
        </is>
      </c>
    </row>
    <row r="83" ht="15" customHeight="1" s="126">
      <c r="C83" t="inlineStr">
        <is>
          <t>313004 - LIQUOR SALES - TAXABLE Total:</t>
        </is>
      </c>
      <c r="F83" t="inlineStr">
        <is>
          <t>0.00</t>
        </is>
      </c>
      <c r="G83" t="inlineStr">
        <is>
          <t>454.30</t>
        </is>
      </c>
      <c r="I83" t="n">
        <v>0</v>
      </c>
      <c r="L83" t="inlineStr">
        <is>
          <t>0.00</t>
        </is>
      </c>
      <c r="N83" t="inlineStr">
        <is>
          <t>379.00</t>
        </is>
      </c>
      <c r="P83" t="inlineStr">
        <is>
          <t>6,412.30</t>
        </is>
      </c>
      <c r="S83" t="inlineStr">
        <is>
          <t>5,958.00</t>
        </is>
      </c>
    </row>
    <row r="84" ht="15" customHeight="1" s="126">
      <c r="C84" t="inlineStr">
        <is>
          <t>313082 - BEER PACKAGED SALES Total:</t>
        </is>
      </c>
      <c r="F84" t="inlineStr">
        <is>
          <t>0.00</t>
        </is>
      </c>
      <c r="G84" t="inlineStr">
        <is>
          <t>687.93</t>
        </is>
      </c>
      <c r="I84" t="n">
        <v>0</v>
      </c>
      <c r="L84" t="inlineStr">
        <is>
          <t>0.00</t>
        </is>
      </c>
      <c r="N84" t="inlineStr">
        <is>
          <t>703.00</t>
        </is>
      </c>
      <c r="P84" t="inlineStr">
        <is>
          <t>9,709.93</t>
        </is>
      </c>
      <c r="S84" t="inlineStr">
        <is>
          <t>9,022.00</t>
        </is>
      </c>
    </row>
    <row r="85" ht="15" customHeight="1" s="126">
      <c r="C85" t="inlineStr">
        <is>
          <t>FF-312114 - N/A BEV SALE DISC. FAN FRIENDLY (CC36636) Total:</t>
        </is>
      </c>
      <c r="F85" t="inlineStr">
        <is>
          <t>0.00</t>
        </is>
      </c>
      <c r="G85" t="inlineStr">
        <is>
          <t>185.75</t>
        </is>
      </c>
      <c r="I85" t="n">
        <v>0</v>
      </c>
      <c r="L85" t="inlineStr">
        <is>
          <t>0.00</t>
        </is>
      </c>
      <c r="N85" t="inlineStr">
        <is>
          <t>609.00</t>
        </is>
      </c>
      <c r="P85" t="inlineStr">
        <is>
          <t>2,621.75</t>
        </is>
      </c>
      <c r="S85" t="inlineStr">
        <is>
          <t>2,436.00</t>
        </is>
      </c>
    </row>
    <row r="86" ht="15" customHeight="1" s="126">
      <c r="B86" t="inlineStr">
        <is>
          <t>FB 108 - GRAB N GO - NW Total:</t>
        </is>
      </c>
      <c r="F86" t="inlineStr">
        <is>
          <t>0.00</t>
        </is>
      </c>
      <c r="G86" t="inlineStr">
        <is>
          <t>1,654.21</t>
        </is>
      </c>
      <c r="I86" t="n">
        <v>0</v>
      </c>
      <c r="L86" t="inlineStr">
        <is>
          <t>45.00</t>
        </is>
      </c>
      <c r="N86" t="inlineStr">
        <is>
          <t>3,067.00</t>
        </is>
      </c>
      <c r="P86" t="inlineStr">
        <is>
          <t>23,343.21</t>
        </is>
      </c>
      <c r="S86" t="inlineStr">
        <is>
          <t>21,689.00</t>
        </is>
      </c>
    </row>
    <row r="87" ht="15" customHeight="1" s="126">
      <c r="B87" t="inlineStr">
        <is>
          <t>Location: FB 109 - MBP - NORTH EAST</t>
        </is>
      </c>
    </row>
    <row r="88" ht="15" customHeight="1" s="126">
      <c r="C88" t="inlineStr">
        <is>
          <t xml:space="preserve"> Total:</t>
        </is>
      </c>
      <c r="F88" t="inlineStr">
        <is>
          <t>0.00</t>
        </is>
      </c>
      <c r="G88" t="inlineStr">
        <is>
          <t>0.26</t>
        </is>
      </c>
      <c r="I88" t="n">
        <v>0</v>
      </c>
      <c r="L88" t="inlineStr">
        <is>
          <t>0.00</t>
        </is>
      </c>
      <c r="N88" t="inlineStr">
        <is>
          <t>302.00</t>
        </is>
      </c>
      <c r="P88" t="inlineStr">
        <is>
          <t>0.26</t>
        </is>
      </c>
      <c r="S88" t="inlineStr">
        <is>
          <t>0.00</t>
        </is>
      </c>
    </row>
    <row r="89" ht="15" customHeight="1" s="126">
      <c r="C89" t="inlineStr">
        <is>
          <t>312115 - N/A BEVERAGE SALES - TAXABLE Total:</t>
        </is>
      </c>
      <c r="F89" t="inlineStr">
        <is>
          <t>0.00</t>
        </is>
      </c>
      <c r="G89" t="inlineStr">
        <is>
          <t>35.38</t>
        </is>
      </c>
      <c r="I89" t="n">
        <v>0</v>
      </c>
      <c r="L89" t="inlineStr">
        <is>
          <t>232.00</t>
        </is>
      </c>
      <c r="N89" t="inlineStr">
        <is>
          <t>116.00</t>
        </is>
      </c>
      <c r="P89" t="inlineStr">
        <is>
          <t>499.38</t>
        </is>
      </c>
      <c r="S89" t="inlineStr">
        <is>
          <t>464.00</t>
        </is>
      </c>
    </row>
    <row r="90" ht="15" customHeight="1" s="126">
      <c r="C90" t="inlineStr">
        <is>
          <t>313004 - LIQUOR SALES - TAXABLE Total:</t>
        </is>
      </c>
      <c r="F90" t="inlineStr">
        <is>
          <t>0.00</t>
        </is>
      </c>
      <c r="G90" t="inlineStr">
        <is>
          <t>202.52</t>
        </is>
      </c>
      <c r="I90" t="n">
        <v>0</v>
      </c>
      <c r="L90" t="inlineStr">
        <is>
          <t>0.00</t>
        </is>
      </c>
      <c r="N90" t="inlineStr">
        <is>
          <t>166.00</t>
        </is>
      </c>
      <c r="P90" t="inlineStr">
        <is>
          <t>2,858.52</t>
        </is>
      </c>
      <c r="S90" t="inlineStr">
        <is>
          <t>2,656.00</t>
        </is>
      </c>
    </row>
    <row r="91" ht="15" customHeight="1" s="126">
      <c r="C91" t="inlineStr">
        <is>
          <t>313082 - BEER PACKAGED SALES Total:</t>
        </is>
      </c>
      <c r="F91" t="inlineStr">
        <is>
          <t>0.00</t>
        </is>
      </c>
      <c r="G91" t="inlineStr">
        <is>
          <t>482.93</t>
        </is>
      </c>
      <c r="I91" t="n">
        <v>0</v>
      </c>
      <c r="L91" t="inlineStr">
        <is>
          <t>0.00</t>
        </is>
      </c>
      <c r="N91" t="inlineStr">
        <is>
          <t>486.00</t>
        </is>
      </c>
      <c r="P91" t="inlineStr">
        <is>
          <t>6,816.43</t>
        </is>
      </c>
      <c r="S91" t="inlineStr">
        <is>
          <t>6,333.50</t>
        </is>
      </c>
    </row>
    <row r="92" ht="15" customHeight="1" s="126">
      <c r="B92" t="inlineStr">
        <is>
          <t>FB 109 - MBP - NORTH EAST Total:</t>
        </is>
      </c>
      <c r="F92" t="inlineStr">
        <is>
          <t>0.00</t>
        </is>
      </c>
      <c r="G92" t="inlineStr">
        <is>
          <t>721.09</t>
        </is>
      </c>
      <c r="I92" t="n">
        <v>0</v>
      </c>
      <c r="L92" t="inlineStr">
        <is>
          <t>232.00</t>
        </is>
      </c>
      <c r="N92" t="inlineStr">
        <is>
          <t>1,070.00</t>
        </is>
      </c>
      <c r="P92" t="inlineStr">
        <is>
          <t>10,174.59</t>
        </is>
      </c>
      <c r="S92" t="inlineStr">
        <is>
          <t>9,453.50</t>
        </is>
      </c>
    </row>
    <row r="93" ht="15" customHeight="1" s="126">
      <c r="B93" t="inlineStr">
        <is>
          <t>Location: FB 110 - MBP - SHIVERS (NW)</t>
        </is>
      </c>
    </row>
    <row r="94" ht="15" customHeight="1" s="126">
      <c r="C94" t="inlineStr">
        <is>
          <t xml:space="preserve"> Total:</t>
        </is>
      </c>
      <c r="F94" t="inlineStr">
        <is>
          <t>0.00</t>
        </is>
      </c>
      <c r="G94" t="inlineStr">
        <is>
          <t>0.25</t>
        </is>
      </c>
      <c r="I94" t="n">
        <v>0</v>
      </c>
      <c r="L94" t="inlineStr">
        <is>
          <t>0.00</t>
        </is>
      </c>
      <c r="N94" t="inlineStr">
        <is>
          <t>385.00</t>
        </is>
      </c>
      <c r="P94" t="inlineStr">
        <is>
          <t>0.25</t>
        </is>
      </c>
      <c r="S94" t="inlineStr">
        <is>
          <t>0.00</t>
        </is>
      </c>
    </row>
    <row r="95" ht="15" customHeight="1" s="126">
      <c r="C95" t="inlineStr">
        <is>
          <t>312115 - N/A BEVERAGE SALES - TAXABLE Total:</t>
        </is>
      </c>
      <c r="F95" t="inlineStr">
        <is>
          <t>0.00</t>
        </is>
      </c>
      <c r="G95" t="inlineStr">
        <is>
          <t>43.31</t>
        </is>
      </c>
      <c r="I95" t="n">
        <v>0</v>
      </c>
      <c r="L95" t="inlineStr">
        <is>
          <t>284.00</t>
        </is>
      </c>
      <c r="N95" t="inlineStr">
        <is>
          <t>142.00</t>
        </is>
      </c>
      <c r="P95" t="inlineStr">
        <is>
          <t>611.31</t>
        </is>
      </c>
      <c r="S95" t="inlineStr">
        <is>
          <t>568.00</t>
        </is>
      </c>
    </row>
    <row r="96" ht="15" customHeight="1" s="126">
      <c r="C96" t="inlineStr">
        <is>
          <t>313004 - LIQUOR SALES - TAXABLE Total:</t>
        </is>
      </c>
      <c r="F96" t="inlineStr">
        <is>
          <t>0.00</t>
        </is>
      </c>
      <c r="G96" t="inlineStr">
        <is>
          <t>294.02</t>
        </is>
      </c>
      <c r="I96" t="n">
        <v>0</v>
      </c>
      <c r="L96" t="inlineStr">
        <is>
          <t>0.00</t>
        </is>
      </c>
      <c r="N96" t="inlineStr">
        <is>
          <t>241.00</t>
        </is>
      </c>
      <c r="P96" t="inlineStr">
        <is>
          <t>4,150.02</t>
        </is>
      </c>
      <c r="S96" t="inlineStr">
        <is>
          <t>3,856.00</t>
        </is>
      </c>
    </row>
    <row r="97" ht="15" customHeight="1" s="126">
      <c r="C97" t="inlineStr">
        <is>
          <t>313082 - BEER PACKAGED SALES Total:</t>
        </is>
      </c>
      <c r="F97" t="inlineStr">
        <is>
          <t>0.00</t>
        </is>
      </c>
      <c r="G97" t="inlineStr">
        <is>
          <t>651.98</t>
        </is>
      </c>
      <c r="I97" t="n">
        <v>0</v>
      </c>
      <c r="L97" t="inlineStr">
        <is>
          <t>0.00</t>
        </is>
      </c>
      <c r="N97" t="inlineStr">
        <is>
          <t>633.00</t>
        </is>
      </c>
      <c r="P97" t="inlineStr">
        <is>
          <t>9,202.48</t>
        </is>
      </c>
      <c r="S97" t="inlineStr">
        <is>
          <t>8,550.50</t>
        </is>
      </c>
    </row>
    <row r="98" ht="15" customHeight="1" s="126">
      <c r="B98" t="inlineStr">
        <is>
          <t>FB 110 - MBP - SHIVERS (NW) Total:</t>
        </is>
      </c>
      <c r="F98" t="inlineStr">
        <is>
          <t>0.00</t>
        </is>
      </c>
      <c r="G98" t="inlineStr">
        <is>
          <t>989.56</t>
        </is>
      </c>
      <c r="I98" t="n">
        <v>0</v>
      </c>
      <c r="L98" t="inlineStr">
        <is>
          <t>284.00</t>
        </is>
      </c>
      <c r="N98" t="inlineStr">
        <is>
          <t>1,401.00</t>
        </is>
      </c>
      <c r="P98" t="inlineStr">
        <is>
          <t>13,964.06</t>
        </is>
      </c>
      <c r="S98" t="inlineStr">
        <is>
          <t>12,974.50</t>
        </is>
      </c>
    </row>
    <row r="99" ht="15" customHeight="1" s="126">
      <c r="B99" t="inlineStr">
        <is>
          <t>Location: FB 111 - MBP - NE PEPSI TRAILER</t>
        </is>
      </c>
    </row>
    <row r="100" ht="15" customHeight="1" s="126">
      <c r="C100" t="inlineStr">
        <is>
          <t xml:space="preserve"> Total:</t>
        </is>
      </c>
      <c r="F100" t="inlineStr">
        <is>
          <t>0.00</t>
        </is>
      </c>
      <c r="G100" t="inlineStr">
        <is>
          <t>0.43</t>
        </is>
      </c>
      <c r="I100" t="n">
        <v>0</v>
      </c>
      <c r="L100" t="inlineStr">
        <is>
          <t>0.00</t>
        </is>
      </c>
      <c r="N100" t="inlineStr">
        <is>
          <t>415.00</t>
        </is>
      </c>
      <c r="P100" t="inlineStr">
        <is>
          <t>0.43</t>
        </is>
      </c>
      <c r="S100" t="inlineStr">
        <is>
          <t>0.00</t>
        </is>
      </c>
    </row>
    <row r="101" ht="15" customHeight="1" s="126">
      <c r="C101" t="inlineStr">
        <is>
          <t>312115 - N/A BEVERAGE SALES - TAXABLE Total:</t>
        </is>
      </c>
      <c r="F101" t="inlineStr">
        <is>
          <t>0.00</t>
        </is>
      </c>
      <c r="G101" t="inlineStr">
        <is>
          <t>103.70</t>
        </is>
      </c>
      <c r="I101" t="n">
        <v>0</v>
      </c>
      <c r="L101" t="inlineStr">
        <is>
          <t>680.00</t>
        </is>
      </c>
      <c r="N101" t="inlineStr">
        <is>
          <t>340.00</t>
        </is>
      </c>
      <c r="P101" t="inlineStr">
        <is>
          <t>1,463.70</t>
        </is>
      </c>
      <c r="S101" t="inlineStr">
        <is>
          <t>1,360.00</t>
        </is>
      </c>
    </row>
    <row r="102" ht="15" customHeight="1" s="126">
      <c r="C102" t="inlineStr">
        <is>
          <t>313004 - LIQUOR SALES - TAXABLE Total:</t>
        </is>
      </c>
      <c r="F102" t="inlineStr">
        <is>
          <t>0.00</t>
        </is>
      </c>
      <c r="G102" t="inlineStr">
        <is>
          <t>337.94</t>
        </is>
      </c>
      <c r="I102" t="n">
        <v>0</v>
      </c>
      <c r="L102" t="inlineStr">
        <is>
          <t>0.00</t>
        </is>
      </c>
      <c r="N102" t="inlineStr">
        <is>
          <t>277.00</t>
        </is>
      </c>
      <c r="P102" t="inlineStr">
        <is>
          <t>4,769.94</t>
        </is>
      </c>
      <c r="S102" t="inlineStr">
        <is>
          <t>4,432.00</t>
        </is>
      </c>
    </row>
    <row r="103" ht="15" customHeight="1" s="126">
      <c r="C103" t="inlineStr">
        <is>
          <t>313082 - BEER PACKAGED SALES Total:</t>
        </is>
      </c>
      <c r="F103" t="inlineStr">
        <is>
          <t>0.00</t>
        </is>
      </c>
      <c r="G103" t="inlineStr">
        <is>
          <t>590.75</t>
        </is>
      </c>
      <c r="I103" t="n">
        <v>0</v>
      </c>
      <c r="L103" t="inlineStr">
        <is>
          <t>0.00</t>
        </is>
      </c>
      <c r="N103" t="inlineStr">
        <is>
          <t>588.00</t>
        </is>
      </c>
      <c r="P103" t="inlineStr">
        <is>
          <t>8,338.25</t>
        </is>
      </c>
      <c r="S103" t="inlineStr">
        <is>
          <t>7,747.50</t>
        </is>
      </c>
    </row>
    <row r="104" ht="15" customHeight="1" s="126">
      <c r="B104" t="inlineStr">
        <is>
          <t>FB 111 - MBP - NE PEPSI TRAILER Total:</t>
        </is>
      </c>
      <c r="F104" t="inlineStr">
        <is>
          <t>0.00</t>
        </is>
      </c>
      <c r="G104" t="inlineStr">
        <is>
          <t>1,032.82</t>
        </is>
      </c>
      <c r="I104" t="n">
        <v>0</v>
      </c>
      <c r="L104" t="inlineStr">
        <is>
          <t>680.00</t>
        </is>
      </c>
      <c r="N104" t="inlineStr">
        <is>
          <t>1,620.00</t>
        </is>
      </c>
      <c r="P104" t="inlineStr">
        <is>
          <t>14,572.32</t>
        </is>
      </c>
      <c r="S104" t="inlineStr">
        <is>
          <t>13,539.50</t>
        </is>
      </c>
    </row>
    <row r="105" ht="15" customHeight="1" s="126">
      <c r="B105" t="inlineStr">
        <is>
          <t>Location: FB 112 - MBP - STUDENT ZONE (SE)</t>
        </is>
      </c>
    </row>
    <row r="106" ht="15" customHeight="1" s="126">
      <c r="C106" t="inlineStr">
        <is>
          <t xml:space="preserve"> Total:</t>
        </is>
      </c>
      <c r="F106" t="inlineStr">
        <is>
          <t>0.00</t>
        </is>
      </c>
      <c r="G106" t="inlineStr">
        <is>
          <t>0.17</t>
        </is>
      </c>
      <c r="I106" t="n">
        <v>0</v>
      </c>
      <c r="L106" t="inlineStr">
        <is>
          <t>0.00</t>
        </is>
      </c>
      <c r="N106" t="inlineStr">
        <is>
          <t>132.00</t>
        </is>
      </c>
      <c r="P106" t="inlineStr">
        <is>
          <t>0.17</t>
        </is>
      </c>
      <c r="S106" t="inlineStr">
        <is>
          <t>0.00</t>
        </is>
      </c>
    </row>
    <row r="107" ht="15" customHeight="1" s="126">
      <c r="C107" t="inlineStr">
        <is>
          <t>312115 - N/A BEVERAGE SALES - TAXABLE Total:</t>
        </is>
      </c>
      <c r="F107" t="inlineStr">
        <is>
          <t>0.00</t>
        </is>
      </c>
      <c r="G107" t="inlineStr">
        <is>
          <t>92.49</t>
        </is>
      </c>
      <c r="I107" t="n">
        <v>0</v>
      </c>
      <c r="L107" t="inlineStr">
        <is>
          <t>414.00</t>
        </is>
      </c>
      <c r="N107" t="inlineStr">
        <is>
          <t>262.00</t>
        </is>
      </c>
      <c r="P107" t="inlineStr">
        <is>
          <t>1,305.49</t>
        </is>
      </c>
      <c r="S107" t="inlineStr">
        <is>
          <t>1,213.00</t>
        </is>
      </c>
    </row>
    <row r="108" ht="15" customHeight="1" s="126">
      <c r="C108" t="inlineStr">
        <is>
          <t>313000 - FOOD SALES - TAXABLE Total:</t>
        </is>
      </c>
      <c r="F108" t="inlineStr">
        <is>
          <t>0.00</t>
        </is>
      </c>
      <c r="G108" t="inlineStr">
        <is>
          <t>9.23</t>
        </is>
      </c>
      <c r="I108" t="n">
        <v>0</v>
      </c>
      <c r="L108" t="inlineStr">
        <is>
          <t>0.00</t>
        </is>
      </c>
      <c r="N108" t="inlineStr">
        <is>
          <t>11.00</t>
        </is>
      </c>
      <c r="P108" t="inlineStr">
        <is>
          <t>130.23</t>
        </is>
      </c>
      <c r="S108" t="inlineStr">
        <is>
          <t>121.00</t>
        </is>
      </c>
    </row>
    <row r="109" ht="15" customHeight="1" s="126">
      <c r="C109" t="inlineStr">
        <is>
          <t>313004 - LIQUOR SALES - TAXABLE Total:</t>
        </is>
      </c>
      <c r="F109" t="inlineStr">
        <is>
          <t>0.00</t>
        </is>
      </c>
      <c r="G109" t="inlineStr">
        <is>
          <t>14.64</t>
        </is>
      </c>
      <c r="I109" t="n">
        <v>0</v>
      </c>
      <c r="L109" t="inlineStr">
        <is>
          <t>0.00</t>
        </is>
      </c>
      <c r="N109" t="inlineStr">
        <is>
          <t>12.00</t>
        </is>
      </c>
      <c r="P109" t="inlineStr">
        <is>
          <t>206.64</t>
        </is>
      </c>
      <c r="S109" t="inlineStr">
        <is>
          <t>192.00</t>
        </is>
      </c>
    </row>
    <row r="110" ht="15" customHeight="1" s="126">
      <c r="C110" t="inlineStr">
        <is>
          <t>313082 - BEER PACKAGED SALES Total:</t>
        </is>
      </c>
      <c r="F110" t="inlineStr">
        <is>
          <t>0.00</t>
        </is>
      </c>
      <c r="G110" t="inlineStr">
        <is>
          <t>58.33</t>
        </is>
      </c>
      <c r="I110" t="n">
        <v>0</v>
      </c>
      <c r="L110" t="inlineStr">
        <is>
          <t>0.00</t>
        </is>
      </c>
      <c r="N110" t="inlineStr">
        <is>
          <t>59.00</t>
        </is>
      </c>
      <c r="P110" t="inlineStr">
        <is>
          <t>823.33</t>
        </is>
      </c>
      <c r="S110" t="inlineStr">
        <is>
          <t>765.00</t>
        </is>
      </c>
    </row>
    <row r="111" ht="15" customHeight="1" s="126">
      <c r="B111" t="inlineStr">
        <is>
          <t>FB 112 - MBP - STUDENT ZONE (SE) Total:</t>
        </is>
      </c>
      <c r="F111" t="inlineStr">
        <is>
          <t>0.00</t>
        </is>
      </c>
      <c r="G111" t="inlineStr">
        <is>
          <t>174.86</t>
        </is>
      </c>
      <c r="I111" t="n">
        <v>0</v>
      </c>
      <c r="L111" t="inlineStr">
        <is>
          <t>414.00</t>
        </is>
      </c>
      <c r="N111" t="inlineStr">
        <is>
          <t>476.00</t>
        </is>
      </c>
      <c r="P111" t="inlineStr">
        <is>
          <t>2,465.86</t>
        </is>
      </c>
      <c r="S111" t="inlineStr">
        <is>
          <t>2,291.00</t>
        </is>
      </c>
    </row>
    <row r="112" ht="15" customHeight="1" s="126">
      <c r="B112" t="inlineStr">
        <is>
          <t>Location: FB 113 - MBP - MINI MELTS (NW)</t>
        </is>
      </c>
    </row>
    <row r="113" ht="15" customHeight="1" s="126">
      <c r="C113" t="inlineStr">
        <is>
          <t xml:space="preserve"> Total:</t>
        </is>
      </c>
      <c r="F113" t="inlineStr">
        <is>
          <t>0.00</t>
        </is>
      </c>
      <c r="G113" t="inlineStr">
        <is>
          <t>0.00</t>
        </is>
      </c>
      <c r="I113" t="n">
        <v>0</v>
      </c>
      <c r="L113" t="inlineStr">
        <is>
          <t>0.00</t>
        </is>
      </c>
      <c r="N113" t="inlineStr">
        <is>
          <t>122.00</t>
        </is>
      </c>
      <c r="P113" t="inlineStr">
        <is>
          <t>0.00</t>
        </is>
      </c>
      <c r="S113" t="inlineStr">
        <is>
          <t>0.00</t>
        </is>
      </c>
    </row>
    <row r="114" ht="15" customHeight="1" s="126">
      <c r="C114" t="inlineStr">
        <is>
          <t>313000 - FOOD SALES - TAXABLE Total:</t>
        </is>
      </c>
      <c r="F114" t="inlineStr">
        <is>
          <t>0.00</t>
        </is>
      </c>
      <c r="G114" t="inlineStr">
        <is>
          <t>147.16</t>
        </is>
      </c>
      <c r="I114" t="n">
        <v>0</v>
      </c>
      <c r="L114" t="inlineStr">
        <is>
          <t>0.00</t>
        </is>
      </c>
      <c r="N114" t="inlineStr">
        <is>
          <t>193.00</t>
        </is>
      </c>
      <c r="P114" t="inlineStr">
        <is>
          <t>2,077.16</t>
        </is>
      </c>
      <c r="S114" t="inlineStr">
        <is>
          <t>1,930.00</t>
        </is>
      </c>
    </row>
    <row r="115" ht="15" customHeight="1" s="126">
      <c r="B115" t="inlineStr">
        <is>
          <t>FB 113 - MBP - MINI MELTS (NW) Total:</t>
        </is>
      </c>
      <c r="F115" t="inlineStr">
        <is>
          <t>0.00</t>
        </is>
      </c>
      <c r="G115" t="inlineStr">
        <is>
          <t>147.16</t>
        </is>
      </c>
      <c r="I115" t="n">
        <v>0</v>
      </c>
      <c r="L115" t="inlineStr">
        <is>
          <t>0.00</t>
        </is>
      </c>
      <c r="N115" t="inlineStr">
        <is>
          <t>315.00</t>
        </is>
      </c>
      <c r="P115" t="inlineStr">
        <is>
          <t>2,077.16</t>
        </is>
      </c>
      <c r="S115" t="inlineStr">
        <is>
          <t>1,930.00</t>
        </is>
      </c>
    </row>
    <row r="116" ht="15" customHeight="1" s="126">
      <c r="B116" t="inlineStr">
        <is>
          <t>Location: FB 113B - MBP - MINI MELTS (NE)</t>
        </is>
      </c>
    </row>
    <row r="117" ht="15" customHeight="1" s="126">
      <c r="C117" t="inlineStr">
        <is>
          <t xml:space="preserve"> Total:</t>
        </is>
      </c>
      <c r="F117" t="inlineStr">
        <is>
          <t>0.00</t>
        </is>
      </c>
      <c r="G117" t="inlineStr">
        <is>
          <t>0.10</t>
        </is>
      </c>
      <c r="I117" t="n">
        <v>0</v>
      </c>
      <c r="L117" t="inlineStr">
        <is>
          <t>0.00</t>
        </is>
      </c>
      <c r="N117" t="inlineStr">
        <is>
          <t>150.00</t>
        </is>
      </c>
      <c r="P117" t="inlineStr">
        <is>
          <t>0.10</t>
        </is>
      </c>
      <c r="S117" t="inlineStr">
        <is>
          <t>0.00</t>
        </is>
      </c>
    </row>
    <row r="118" ht="15" customHeight="1" s="126">
      <c r="C118" t="inlineStr">
        <is>
          <t>313000 - FOOD SALES - TAXABLE Total:</t>
        </is>
      </c>
      <c r="F118" t="inlineStr">
        <is>
          <t>0.00</t>
        </is>
      </c>
      <c r="G118" t="inlineStr">
        <is>
          <t>177.66</t>
        </is>
      </c>
      <c r="I118" t="n">
        <v>0</v>
      </c>
      <c r="L118" t="inlineStr">
        <is>
          <t>0.00</t>
        </is>
      </c>
      <c r="N118" t="inlineStr">
        <is>
          <t>233.00</t>
        </is>
      </c>
      <c r="P118" t="inlineStr">
        <is>
          <t>2,507.66</t>
        </is>
      </c>
      <c r="S118" t="inlineStr">
        <is>
          <t>2,330.00</t>
        </is>
      </c>
    </row>
    <row r="119" ht="15" customHeight="1" s="126">
      <c r="B119" t="inlineStr">
        <is>
          <t>FB 113B - MBP - MINI MELTS (NE) Total:</t>
        </is>
      </c>
      <c r="F119" t="inlineStr">
        <is>
          <t>0.00</t>
        </is>
      </c>
      <c r="G119" t="inlineStr">
        <is>
          <t>177.76</t>
        </is>
      </c>
      <c r="I119" t="n">
        <v>0</v>
      </c>
      <c r="L119" t="inlineStr">
        <is>
          <t>0.00</t>
        </is>
      </c>
      <c r="N119" t="inlineStr">
        <is>
          <t>383.00</t>
        </is>
      </c>
      <c r="P119" t="inlineStr">
        <is>
          <t>2,507.76</t>
        </is>
      </c>
      <c r="S119" t="inlineStr">
        <is>
          <t>2,330.00</t>
        </is>
      </c>
    </row>
    <row r="120" ht="15" customHeight="1" s="126">
      <c r="B120" t="inlineStr">
        <is>
          <t>Location: FB 117 - MBP ELOTICO CART (NW)</t>
        </is>
      </c>
    </row>
    <row r="121" ht="15" customHeight="1" s="126">
      <c r="C121" t="inlineStr">
        <is>
          <t xml:space="preserve"> Total:</t>
        </is>
      </c>
      <c r="F121" t="inlineStr">
        <is>
          <t>0.00</t>
        </is>
      </c>
      <c r="G121" t="inlineStr">
        <is>
          <t>0.19</t>
        </is>
      </c>
      <c r="I121" t="n">
        <v>0</v>
      </c>
      <c r="L121" t="inlineStr">
        <is>
          <t>0.00</t>
        </is>
      </c>
      <c r="N121" t="inlineStr">
        <is>
          <t>133.00</t>
        </is>
      </c>
      <c r="P121" t="inlineStr">
        <is>
          <t>0.19</t>
        </is>
      </c>
      <c r="S121" t="inlineStr">
        <is>
          <t>0.00</t>
        </is>
      </c>
    </row>
    <row r="122" ht="15" customHeight="1" s="126">
      <c r="C122" t="inlineStr">
        <is>
          <t>312115 - N/A BEVERAGE SALES - TAXABLE Total:</t>
        </is>
      </c>
      <c r="F122" t="inlineStr">
        <is>
          <t>0.00</t>
        </is>
      </c>
      <c r="G122" t="inlineStr">
        <is>
          <t>27.45</t>
        </is>
      </c>
      <c r="I122" t="n">
        <v>0</v>
      </c>
      <c r="L122" t="inlineStr">
        <is>
          <t>180.00</t>
        </is>
      </c>
      <c r="N122" t="inlineStr">
        <is>
          <t>90.00</t>
        </is>
      </c>
      <c r="P122" t="inlineStr">
        <is>
          <t>387.45</t>
        </is>
      </c>
      <c r="S122" t="inlineStr">
        <is>
          <t>360.00</t>
        </is>
      </c>
    </row>
    <row r="123" ht="15" customHeight="1" s="126">
      <c r="C123" t="inlineStr">
        <is>
          <t>313000 - FOOD SALES - TAXABLE Total:</t>
        </is>
      </c>
      <c r="F123" t="inlineStr">
        <is>
          <t>0.00</t>
        </is>
      </c>
      <c r="G123" t="inlineStr">
        <is>
          <t>72.13</t>
        </is>
      </c>
      <c r="I123" t="n">
        <v>0</v>
      </c>
      <c r="L123" t="inlineStr">
        <is>
          <t>0.00</t>
        </is>
      </c>
      <c r="N123" t="inlineStr">
        <is>
          <t>86.00</t>
        </is>
      </c>
      <c r="P123" t="inlineStr">
        <is>
          <t>1,018.13</t>
        </is>
      </c>
      <c r="S123" t="inlineStr">
        <is>
          <t>946.00</t>
        </is>
      </c>
    </row>
    <row r="124" ht="15" customHeight="1" s="126">
      <c r="C124" t="inlineStr">
        <is>
          <t>313004 - LIQUOR SALES - TAXABLE Total:</t>
        </is>
      </c>
      <c r="F124" t="inlineStr">
        <is>
          <t>0.00</t>
        </is>
      </c>
      <c r="G124" t="inlineStr">
        <is>
          <t>58.56</t>
        </is>
      </c>
      <c r="I124" t="n">
        <v>0</v>
      </c>
      <c r="L124" t="inlineStr">
        <is>
          <t>0.00</t>
        </is>
      </c>
      <c r="N124" t="inlineStr">
        <is>
          <t>48.00</t>
        </is>
      </c>
      <c r="P124" t="inlineStr">
        <is>
          <t>826.56</t>
        </is>
      </c>
      <c r="S124" t="inlineStr">
        <is>
          <t>768.00</t>
        </is>
      </c>
    </row>
    <row r="125" ht="15" customHeight="1" s="126">
      <c r="C125" t="inlineStr">
        <is>
          <t>313082 - BEER PACKAGED SALES Total:</t>
        </is>
      </c>
      <c r="F125" t="inlineStr">
        <is>
          <t>0.00</t>
        </is>
      </c>
      <c r="G125" t="inlineStr">
        <is>
          <t>89.82</t>
        </is>
      </c>
      <c r="I125" t="n">
        <v>0</v>
      </c>
      <c r="L125" t="inlineStr">
        <is>
          <t>0.00</t>
        </is>
      </c>
      <c r="N125" t="inlineStr">
        <is>
          <t>92.00</t>
        </is>
      </c>
      <c r="P125" t="inlineStr">
        <is>
          <t>1,267.82</t>
        </is>
      </c>
      <c r="S125" t="inlineStr">
        <is>
          <t>1,178.00</t>
        </is>
      </c>
    </row>
    <row r="126" ht="15" customHeight="1" s="126">
      <c r="B126" t="inlineStr">
        <is>
          <t>FB 117 - MBP ELOTICO CART (NW) Total:</t>
        </is>
      </c>
      <c r="F126" t="inlineStr">
        <is>
          <t>0.00</t>
        </is>
      </c>
      <c r="G126" t="inlineStr">
        <is>
          <t>248.15</t>
        </is>
      </c>
      <c r="I126" t="n">
        <v>0</v>
      </c>
      <c r="L126" t="inlineStr">
        <is>
          <t>180.00</t>
        </is>
      </c>
      <c r="N126" t="inlineStr">
        <is>
          <t>449.00</t>
        </is>
      </c>
      <c r="P126" t="inlineStr">
        <is>
          <t>3,500.15</t>
        </is>
      </c>
      <c r="S126" t="inlineStr">
        <is>
          <t>3,252.00</t>
        </is>
      </c>
    </row>
    <row r="127" ht="15" customHeight="1" s="126">
      <c r="B127" t="inlineStr">
        <is>
          <t>Location: FB 120 - MBP N. SCOREBOARD</t>
        </is>
      </c>
    </row>
    <row r="128" ht="15" customHeight="1" s="126">
      <c r="C128" t="inlineStr">
        <is>
          <t xml:space="preserve"> Total:</t>
        </is>
      </c>
      <c r="F128" t="inlineStr">
        <is>
          <t>0.00</t>
        </is>
      </c>
      <c r="G128" t="inlineStr">
        <is>
          <t>0.31</t>
        </is>
      </c>
      <c r="I128" t="n">
        <v>0</v>
      </c>
      <c r="L128" t="inlineStr">
        <is>
          <t>0.00</t>
        </is>
      </c>
      <c r="N128" t="inlineStr">
        <is>
          <t>336.00</t>
        </is>
      </c>
      <c r="P128" t="inlineStr">
        <is>
          <t>0.31</t>
        </is>
      </c>
      <c r="S128" t="inlineStr">
        <is>
          <t>0.00</t>
        </is>
      </c>
    </row>
    <row r="129" ht="15" customHeight="1" s="126">
      <c r="C129" t="inlineStr">
        <is>
          <t>312115 - N/A BEVERAGE SALES - TAXABLE Total:</t>
        </is>
      </c>
      <c r="F129" t="inlineStr">
        <is>
          <t>0.00</t>
        </is>
      </c>
      <c r="G129" t="inlineStr">
        <is>
          <t>79.30</t>
        </is>
      </c>
      <c r="I129" t="n">
        <v>0</v>
      </c>
      <c r="L129" t="inlineStr">
        <is>
          <t>520.00</t>
        </is>
      </c>
      <c r="N129" t="inlineStr">
        <is>
          <t>260.00</t>
        </is>
      </c>
      <c r="P129" t="inlineStr">
        <is>
          <t>1,119.30</t>
        </is>
      </c>
      <c r="S129" t="inlineStr">
        <is>
          <t>1,040.00</t>
        </is>
      </c>
    </row>
    <row r="130" ht="15" customHeight="1" s="126">
      <c r="C130" t="inlineStr">
        <is>
          <t>313004 - LIQUOR SALES - TAXABLE Total:</t>
        </is>
      </c>
      <c r="F130" t="inlineStr">
        <is>
          <t>0.00</t>
        </is>
      </c>
      <c r="G130" t="inlineStr">
        <is>
          <t>252.54</t>
        </is>
      </c>
      <c r="I130" t="n">
        <v>0</v>
      </c>
      <c r="L130" t="inlineStr">
        <is>
          <t>0.00</t>
        </is>
      </c>
      <c r="N130" t="inlineStr">
        <is>
          <t>207.00</t>
        </is>
      </c>
      <c r="P130" t="inlineStr">
        <is>
          <t>3,564.54</t>
        </is>
      </c>
      <c r="S130" t="inlineStr">
        <is>
          <t>3,312.00</t>
        </is>
      </c>
    </row>
    <row r="131" ht="15" customHeight="1" s="126">
      <c r="C131" t="inlineStr">
        <is>
          <t>313082 - BEER PACKAGED SALES Total:</t>
        </is>
      </c>
      <c r="F131" t="inlineStr">
        <is>
          <t>0.00</t>
        </is>
      </c>
      <c r="G131" t="inlineStr">
        <is>
          <t>436.53</t>
        </is>
      </c>
      <c r="I131" t="n">
        <v>0</v>
      </c>
      <c r="L131" t="inlineStr">
        <is>
          <t>0.00</t>
        </is>
      </c>
      <c r="N131" t="inlineStr">
        <is>
          <t>440.00</t>
        </is>
      </c>
      <c r="P131" t="inlineStr">
        <is>
          <t>6,161.53</t>
        </is>
      </c>
      <c r="S131" t="inlineStr">
        <is>
          <t>5,725.00</t>
        </is>
      </c>
    </row>
    <row r="132" ht="15" customHeight="1" s="126">
      <c r="B132" t="inlineStr">
        <is>
          <t>FB 120 - MBP N. SCOREBOARD Total:</t>
        </is>
      </c>
      <c r="F132" t="inlineStr">
        <is>
          <t>0.00</t>
        </is>
      </c>
      <c r="G132" t="inlineStr">
        <is>
          <t>768.68</t>
        </is>
      </c>
      <c r="I132" t="n">
        <v>0</v>
      </c>
      <c r="L132" t="inlineStr">
        <is>
          <t>520.00</t>
        </is>
      </c>
      <c r="N132" t="inlineStr">
        <is>
          <t>1,243.00</t>
        </is>
      </c>
      <c r="P132" t="inlineStr">
        <is>
          <t>10,845.68</t>
        </is>
      </c>
      <c r="S132" t="inlineStr">
        <is>
          <t>10,077.00</t>
        </is>
      </c>
    </row>
    <row r="133" ht="15" customHeight="1" s="126">
      <c r="A133" t="inlineStr">
        <is>
          <t>36127 - CONCESSIONS Total:</t>
        </is>
      </c>
      <c r="F133" t="inlineStr">
        <is>
          <t>0.00</t>
        </is>
      </c>
      <c r="G133" t="inlineStr">
        <is>
          <t>14,658.06</t>
        </is>
      </c>
      <c r="I133" t="n">
        <v>0</v>
      </c>
      <c r="L133" t="inlineStr">
        <is>
          <t>13,124.50</t>
        </is>
      </c>
      <c r="N133" t="inlineStr">
        <is>
          <t>29,202.00</t>
        </is>
      </c>
      <c r="P133" t="inlineStr">
        <is>
          <t>206,819.57</t>
        </is>
      </c>
      <c r="S133" t="inlineStr">
        <is>
          <t>192,161.50</t>
        </is>
      </c>
    </row>
    <row r="134" ht="15" customHeight="1" s="126">
      <c r="A134" t="inlineStr">
        <is>
          <t>Department: 36128 - GROUP SALES / PREMIUM</t>
        </is>
      </c>
    </row>
    <row r="135" ht="15" customHeight="1" s="126">
      <c r="B135" t="inlineStr">
        <is>
          <t>Location: FB 401 - PREM. PRESS LEVEL</t>
        </is>
      </c>
    </row>
    <row r="136" ht="15" customHeight="1" s="126">
      <c r="C136" t="inlineStr">
        <is>
          <t xml:space="preserve"> Total:</t>
        </is>
      </c>
      <c r="F136" t="inlineStr">
        <is>
          <t>0.00</t>
        </is>
      </c>
      <c r="G136" t="inlineStr">
        <is>
          <t>-0.01</t>
        </is>
      </c>
      <c r="I136" t="n">
        <v>0</v>
      </c>
      <c r="L136" t="inlineStr">
        <is>
          <t>0.00</t>
        </is>
      </c>
      <c r="N136" t="inlineStr">
        <is>
          <t>15.00</t>
        </is>
      </c>
      <c r="P136" t="inlineStr">
        <is>
          <t>-0.01</t>
        </is>
      </c>
      <c r="S136" t="inlineStr">
        <is>
          <t>0.00</t>
        </is>
      </c>
    </row>
    <row r="137" ht="15" customHeight="1" s="126">
      <c r="C137" t="inlineStr">
        <is>
          <t>313004 - LIQUOR SALES - TAXABLE Total:</t>
        </is>
      </c>
      <c r="F137" t="inlineStr">
        <is>
          <t>0.00</t>
        </is>
      </c>
      <c r="G137" t="inlineStr">
        <is>
          <t>17.84</t>
        </is>
      </c>
      <c r="I137" t="n">
        <v>0</v>
      </c>
      <c r="L137" t="inlineStr">
        <is>
          <t>0.00</t>
        </is>
      </c>
      <c r="N137" t="inlineStr">
        <is>
          <t>14.00</t>
        </is>
      </c>
      <c r="P137" t="inlineStr">
        <is>
          <t>251.84</t>
        </is>
      </c>
      <c r="S137" t="inlineStr">
        <is>
          <t>234.00</t>
        </is>
      </c>
    </row>
    <row r="138" ht="15" customHeight="1" s="126">
      <c r="C138" t="inlineStr">
        <is>
          <t>313082 - BEER PACKAGED SALES Total:</t>
        </is>
      </c>
      <c r="F138" t="inlineStr">
        <is>
          <t>0.00</t>
        </is>
      </c>
      <c r="G138" t="inlineStr">
        <is>
          <t>14.18</t>
        </is>
      </c>
      <c r="I138" t="n">
        <v>0</v>
      </c>
      <c r="L138" t="inlineStr">
        <is>
          <t>5.00</t>
        </is>
      </c>
      <c r="N138" t="inlineStr">
        <is>
          <t>14.00</t>
        </is>
      </c>
      <c r="P138" t="inlineStr">
        <is>
          <t>200.18</t>
        </is>
      </c>
      <c r="S138" t="inlineStr">
        <is>
          <t>186.00</t>
        </is>
      </c>
    </row>
    <row r="139" ht="15" customHeight="1" s="126">
      <c r="C139" t="inlineStr">
        <is>
          <t>313096 - WINE SALES - TAXABLE Total:</t>
        </is>
      </c>
      <c r="F139" t="inlineStr">
        <is>
          <t>0.00</t>
        </is>
      </c>
      <c r="G139" t="inlineStr">
        <is>
          <t>3.66</t>
        </is>
      </c>
      <c r="I139" t="n">
        <v>0</v>
      </c>
      <c r="L139" t="inlineStr">
        <is>
          <t>0.00</t>
        </is>
      </c>
      <c r="N139" t="inlineStr">
        <is>
          <t>4.00</t>
        </is>
      </c>
      <c r="P139" t="inlineStr">
        <is>
          <t>51.66</t>
        </is>
      </c>
      <c r="S139" t="inlineStr">
        <is>
          <t>48.00</t>
        </is>
      </c>
    </row>
    <row r="140" ht="15" customHeight="1" s="126">
      <c r="B140" t="inlineStr">
        <is>
          <t>FB 401 - PREM. PRESS LEVEL Total:</t>
        </is>
      </c>
      <c r="F140" t="inlineStr">
        <is>
          <t>0.00</t>
        </is>
      </c>
      <c r="G140" t="inlineStr">
        <is>
          <t>35.68</t>
        </is>
      </c>
      <c r="I140" t="n">
        <v>0</v>
      </c>
      <c r="L140" t="inlineStr">
        <is>
          <t>5.00</t>
        </is>
      </c>
      <c r="N140" t="inlineStr">
        <is>
          <t>47.00</t>
        </is>
      </c>
      <c r="P140" t="inlineStr">
        <is>
          <t>503.68</t>
        </is>
      </c>
      <c r="S140" t="inlineStr">
        <is>
          <t>468.00</t>
        </is>
      </c>
    </row>
    <row r="141" ht="15" customHeight="1" s="126">
      <c r="B141" t="inlineStr">
        <is>
          <t>Location: FB 402 - PREM. ZIA 1</t>
        </is>
      </c>
    </row>
    <row r="142" ht="15" customHeight="1" s="126">
      <c r="C142" t="inlineStr">
        <is>
          <t xml:space="preserve"> Total:</t>
        </is>
      </c>
      <c r="F142" t="inlineStr">
        <is>
          <t>0.00</t>
        </is>
      </c>
      <c r="G142" t="inlineStr">
        <is>
          <t>0.12</t>
        </is>
      </c>
      <c r="I142" t="n">
        <v>0</v>
      </c>
      <c r="L142" t="inlineStr">
        <is>
          <t>0.00</t>
        </is>
      </c>
      <c r="N142" t="inlineStr">
        <is>
          <t>83.00</t>
        </is>
      </c>
      <c r="P142" t="inlineStr">
        <is>
          <t>0.12</t>
        </is>
      </c>
      <c r="S142" t="inlineStr">
        <is>
          <t>0.00</t>
        </is>
      </c>
    </row>
    <row r="143" ht="15" customHeight="1" s="126">
      <c r="C143" t="inlineStr">
        <is>
          <t>312115 - N/A BEVERAGE SALES - TAXABLE Total:</t>
        </is>
      </c>
      <c r="F143" t="inlineStr">
        <is>
          <t>0.00</t>
        </is>
      </c>
      <c r="G143" t="inlineStr">
        <is>
          <t>7.24</t>
        </is>
      </c>
      <c r="I143" t="n">
        <v>0</v>
      </c>
      <c r="L143" t="inlineStr">
        <is>
          <t>1.00</t>
        </is>
      </c>
      <c r="N143" t="inlineStr">
        <is>
          <t>15.00</t>
        </is>
      </c>
      <c r="P143" t="inlineStr">
        <is>
          <t>102.24</t>
        </is>
      </c>
      <c r="S143" t="inlineStr">
        <is>
          <t>95.00</t>
        </is>
      </c>
    </row>
    <row r="144" ht="15" customHeight="1" s="126">
      <c r="C144" t="inlineStr">
        <is>
          <t>313004 - LIQUOR SALES - TAXABLE Total:</t>
        </is>
      </c>
      <c r="F144" t="inlineStr">
        <is>
          <t>0.00</t>
        </is>
      </c>
      <c r="G144" t="inlineStr">
        <is>
          <t>151.59</t>
        </is>
      </c>
      <c r="I144" t="n">
        <v>0</v>
      </c>
      <c r="L144" t="inlineStr">
        <is>
          <t>91.00</t>
        </is>
      </c>
      <c r="N144" t="inlineStr">
        <is>
          <t>119.00</t>
        </is>
      </c>
      <c r="P144" t="inlineStr">
        <is>
          <t>2,139.58</t>
        </is>
      </c>
      <c r="S144" t="inlineStr">
        <is>
          <t>1,988.00</t>
        </is>
      </c>
    </row>
    <row r="145" ht="15" customHeight="1" s="126">
      <c r="C145" t="inlineStr">
        <is>
          <t>313082 - BEER PACKAGED SALES Total:</t>
        </is>
      </c>
      <c r="F145" t="inlineStr">
        <is>
          <t>0.00</t>
        </is>
      </c>
      <c r="G145" t="inlineStr">
        <is>
          <t>107.40</t>
        </is>
      </c>
      <c r="I145" t="n">
        <v>0</v>
      </c>
      <c r="L145" t="inlineStr">
        <is>
          <t>49.50</t>
        </is>
      </c>
      <c r="N145" t="inlineStr">
        <is>
          <t>99.00</t>
        </is>
      </c>
      <c r="P145" t="inlineStr">
        <is>
          <t>1,515.90</t>
        </is>
      </c>
      <c r="S145" t="inlineStr">
        <is>
          <t>1,408.50</t>
        </is>
      </c>
    </row>
    <row r="146" ht="15" customHeight="1" s="126">
      <c r="C146" t="inlineStr">
        <is>
          <t>313096 - WINE SALES - TAXABLE Total:</t>
        </is>
      </c>
      <c r="F146" t="inlineStr">
        <is>
          <t>0.00</t>
        </is>
      </c>
      <c r="G146" t="inlineStr">
        <is>
          <t>6.86</t>
        </is>
      </c>
      <c r="I146" t="n">
        <v>0</v>
      </c>
      <c r="L146" t="inlineStr">
        <is>
          <t>0.00</t>
        </is>
      </c>
      <c r="N146" t="inlineStr">
        <is>
          <t>7.00</t>
        </is>
      </c>
      <c r="P146" t="inlineStr">
        <is>
          <t>96.86</t>
        </is>
      </c>
      <c r="S146" t="inlineStr">
        <is>
          <t>90.00</t>
        </is>
      </c>
    </row>
    <row r="147" ht="15" customHeight="1" s="126">
      <c r="B147" t="inlineStr">
        <is>
          <t>FB 402 - PREM. ZIA 1 Total:</t>
        </is>
      </c>
      <c r="F147" t="inlineStr">
        <is>
          <t>0.00</t>
        </is>
      </c>
      <c r="G147" t="inlineStr">
        <is>
          <t>273.21</t>
        </is>
      </c>
      <c r="I147" t="n">
        <v>0</v>
      </c>
      <c r="L147" t="inlineStr">
        <is>
          <t>141.50</t>
        </is>
      </c>
      <c r="N147" t="inlineStr">
        <is>
          <t>323.00</t>
        </is>
      </c>
      <c r="P147" t="inlineStr">
        <is>
          <t>3,854.71</t>
        </is>
      </c>
      <c r="S147" t="inlineStr">
        <is>
          <t>3,581.50</t>
        </is>
      </c>
    </row>
    <row r="148" ht="15" customHeight="1" s="126">
      <c r="B148" t="inlineStr">
        <is>
          <t>Location: FB 403 - PREM. ZIA 2</t>
        </is>
      </c>
    </row>
    <row r="149" ht="15" customHeight="1" s="126">
      <c r="C149" t="inlineStr">
        <is>
          <t xml:space="preserve"> Total:</t>
        </is>
      </c>
      <c r="F149" t="inlineStr">
        <is>
          <t>0.00</t>
        </is>
      </c>
      <c r="G149" t="inlineStr">
        <is>
          <t>0.05</t>
        </is>
      </c>
      <c r="I149" t="n">
        <v>0</v>
      </c>
      <c r="L149" t="inlineStr">
        <is>
          <t>0.00</t>
        </is>
      </c>
      <c r="N149" t="inlineStr">
        <is>
          <t>35.00</t>
        </is>
      </c>
      <c r="P149" t="inlineStr">
        <is>
          <t>0.05</t>
        </is>
      </c>
      <c r="S149" t="inlineStr">
        <is>
          <t>0.00</t>
        </is>
      </c>
    </row>
    <row r="150" ht="15" customHeight="1" s="126">
      <c r="C150" t="inlineStr">
        <is>
          <t>312115 - N/A BEVERAGE SALES - TAXABLE Total:</t>
        </is>
      </c>
      <c r="F150" t="inlineStr">
        <is>
          <t>0.00</t>
        </is>
      </c>
      <c r="G150" t="inlineStr">
        <is>
          <t>0.92</t>
        </is>
      </c>
      <c r="I150" t="n">
        <v>0</v>
      </c>
      <c r="L150" t="inlineStr">
        <is>
          <t>0.00</t>
        </is>
      </c>
      <c r="N150" t="inlineStr">
        <is>
          <t>2.00</t>
        </is>
      </c>
      <c r="P150" t="inlineStr">
        <is>
          <t>12.92</t>
        </is>
      </c>
      <c r="S150" t="inlineStr">
        <is>
          <t>12.00</t>
        </is>
      </c>
    </row>
    <row r="151" ht="15" customHeight="1" s="126">
      <c r="C151" t="inlineStr">
        <is>
          <t>313004 - LIQUOR SALES - TAXABLE Total:</t>
        </is>
      </c>
      <c r="F151" t="inlineStr">
        <is>
          <t>0.00</t>
        </is>
      </c>
      <c r="G151" t="inlineStr">
        <is>
          <t>104.62</t>
        </is>
      </c>
      <c r="I151" t="n">
        <v>0</v>
      </c>
      <c r="L151" t="inlineStr">
        <is>
          <t>32.00</t>
        </is>
      </c>
      <c r="N151" t="inlineStr">
        <is>
          <t>82.00</t>
        </is>
      </c>
      <c r="P151" t="inlineStr">
        <is>
          <t>1,476.62</t>
        </is>
      </c>
      <c r="S151" t="inlineStr">
        <is>
          <t>1,372.00</t>
        </is>
      </c>
    </row>
    <row r="152" ht="15" customHeight="1" s="126">
      <c r="C152" t="inlineStr">
        <is>
          <t>313082 - BEER PACKAGED SALES Total:</t>
        </is>
      </c>
      <c r="F152" t="inlineStr">
        <is>
          <t>0.00</t>
        </is>
      </c>
      <c r="G152" t="inlineStr">
        <is>
          <t>36.94</t>
        </is>
      </c>
      <c r="I152" t="n">
        <v>0</v>
      </c>
      <c r="L152" t="inlineStr">
        <is>
          <t>8.00</t>
        </is>
      </c>
      <c r="N152" t="inlineStr">
        <is>
          <t>33.00</t>
        </is>
      </c>
      <c r="P152" t="inlineStr">
        <is>
          <t>521.44</t>
        </is>
      </c>
      <c r="S152" t="inlineStr">
        <is>
          <t>484.50</t>
        </is>
      </c>
    </row>
    <row r="153" ht="15" customHeight="1" s="126">
      <c r="C153" t="inlineStr">
        <is>
          <t>313096 - WINE SALES - TAXABLE Total:</t>
        </is>
      </c>
      <c r="F153" t="inlineStr">
        <is>
          <t>0.00</t>
        </is>
      </c>
      <c r="G153" t="inlineStr">
        <is>
          <t>9.15</t>
        </is>
      </c>
      <c r="I153" t="n">
        <v>0</v>
      </c>
      <c r="L153" t="inlineStr">
        <is>
          <t>0.00</t>
        </is>
      </c>
      <c r="N153" t="inlineStr">
        <is>
          <t>10.00</t>
        </is>
      </c>
      <c r="P153" t="inlineStr">
        <is>
          <t>129.15</t>
        </is>
      </c>
      <c r="S153" t="inlineStr">
        <is>
          <t>120.00</t>
        </is>
      </c>
    </row>
    <row r="154" ht="15" customHeight="1" s="126">
      <c r="B154" t="inlineStr">
        <is>
          <t>FB 403 - PREM. ZIA 2 Total:</t>
        </is>
      </c>
      <c r="F154" t="inlineStr">
        <is>
          <t>0.00</t>
        </is>
      </c>
      <c r="G154" t="inlineStr">
        <is>
          <t>151.67</t>
        </is>
      </c>
      <c r="I154" t="n">
        <v>0</v>
      </c>
      <c r="L154" t="inlineStr">
        <is>
          <t>40.00</t>
        </is>
      </c>
      <c r="N154" t="inlineStr">
        <is>
          <t>162.00</t>
        </is>
      </c>
      <c r="P154" t="inlineStr">
        <is>
          <t>2,140.17</t>
        </is>
      </c>
      <c r="S154" t="inlineStr">
        <is>
          <t>1,988.50</t>
        </is>
      </c>
    </row>
    <row r="155" ht="15" customHeight="1" s="126">
      <c r="B155" t="inlineStr">
        <is>
          <t>Location: FB 404 - PREM. END ZONE CLUB EZC</t>
        </is>
      </c>
    </row>
    <row r="156" ht="15" customHeight="1" s="126">
      <c r="C156" t="inlineStr">
        <is>
          <t xml:space="preserve"> Total:</t>
        </is>
      </c>
      <c r="F156" t="inlineStr">
        <is>
          <t>0.00</t>
        </is>
      </c>
      <c r="G156" t="inlineStr">
        <is>
          <t>0.08</t>
        </is>
      </c>
      <c r="I156" t="n">
        <v>0</v>
      </c>
      <c r="L156" t="inlineStr">
        <is>
          <t>0.00</t>
        </is>
      </c>
      <c r="N156" t="inlineStr">
        <is>
          <t>120.00</t>
        </is>
      </c>
      <c r="P156" t="inlineStr">
        <is>
          <t>0.08</t>
        </is>
      </c>
      <c r="S156" t="inlineStr">
        <is>
          <t>0.00</t>
        </is>
      </c>
    </row>
    <row r="157" ht="15" customHeight="1" s="126">
      <c r="C157" t="inlineStr">
        <is>
          <t>312115 - N/A BEVERAGE SALES - TAXABLE Total:</t>
        </is>
      </c>
      <c r="F157" t="inlineStr">
        <is>
          <t>0.00</t>
        </is>
      </c>
      <c r="G157" t="inlineStr">
        <is>
          <t>4.27</t>
        </is>
      </c>
      <c r="I157" t="n">
        <v>0</v>
      </c>
      <c r="L157" t="inlineStr">
        <is>
          <t>7.00</t>
        </is>
      </c>
      <c r="N157" t="inlineStr">
        <is>
          <t>7.00</t>
        </is>
      </c>
      <c r="P157" t="inlineStr">
        <is>
          <t>60.27</t>
        </is>
      </c>
      <c r="S157" t="inlineStr">
        <is>
          <t>56.00</t>
        </is>
      </c>
    </row>
    <row r="158" ht="15" customHeight="1" s="126">
      <c r="C158" t="inlineStr">
        <is>
          <t>313004 - LIQUOR SALES - TAXABLE Total:</t>
        </is>
      </c>
      <c r="F158" t="inlineStr">
        <is>
          <t>0.00</t>
        </is>
      </c>
      <c r="G158" t="inlineStr">
        <is>
          <t>332.98</t>
        </is>
      </c>
      <c r="I158" t="n">
        <v>0</v>
      </c>
      <c r="L158" t="inlineStr">
        <is>
          <t>98.00</t>
        </is>
      </c>
      <c r="N158" t="inlineStr">
        <is>
          <t>264.00</t>
        </is>
      </c>
      <c r="P158" t="inlineStr">
        <is>
          <t>4,699.98</t>
        </is>
      </c>
      <c r="S158" t="inlineStr">
        <is>
          <t>4,367.00</t>
        </is>
      </c>
    </row>
    <row r="159" ht="15" customHeight="1" s="126">
      <c r="C159" t="inlineStr">
        <is>
          <t>313082 - BEER PACKAGED SALES Total:</t>
        </is>
      </c>
      <c r="F159" t="inlineStr">
        <is>
          <t>0.00</t>
        </is>
      </c>
      <c r="G159" t="inlineStr">
        <is>
          <t>180.37</t>
        </is>
      </c>
      <c r="I159" t="n">
        <v>0</v>
      </c>
      <c r="L159" t="inlineStr">
        <is>
          <t>129.00</t>
        </is>
      </c>
      <c r="N159" t="inlineStr">
        <is>
          <t>165.00</t>
        </is>
      </c>
      <c r="P159" t="inlineStr">
        <is>
          <t>2,545.87</t>
        </is>
      </c>
      <c r="S159" t="inlineStr">
        <is>
          <t>2,365.50</t>
        </is>
      </c>
    </row>
    <row r="160" ht="15" customHeight="1" s="126">
      <c r="C160" t="inlineStr">
        <is>
          <t>313096 - WINE SALES - TAXABLE Total:</t>
        </is>
      </c>
      <c r="F160" t="inlineStr">
        <is>
          <t>0.00</t>
        </is>
      </c>
      <c r="G160" t="inlineStr">
        <is>
          <t>23.79</t>
        </is>
      </c>
      <c r="I160" t="n">
        <v>0</v>
      </c>
      <c r="L160" t="inlineStr">
        <is>
          <t>12.00</t>
        </is>
      </c>
      <c r="N160" t="inlineStr">
        <is>
          <t>25.00</t>
        </is>
      </c>
      <c r="P160" t="inlineStr">
        <is>
          <t>335.79</t>
        </is>
      </c>
      <c r="S160" t="inlineStr">
        <is>
          <t>312.00</t>
        </is>
      </c>
    </row>
    <row r="161" ht="15" customHeight="1" s="126">
      <c r="C161" t="inlineStr">
        <is>
          <t>FF-312114 - N/A BEV SALE DISC. FAN FRIENDLY (CC36636) Total:</t>
        </is>
      </c>
      <c r="F161" t="inlineStr">
        <is>
          <t>0.00</t>
        </is>
      </c>
      <c r="G161" t="inlineStr">
        <is>
          <t>6.41</t>
        </is>
      </c>
      <c r="I161" t="n">
        <v>0</v>
      </c>
      <c r="L161" t="inlineStr">
        <is>
          <t>21.00</t>
        </is>
      </c>
      <c r="N161" t="inlineStr">
        <is>
          <t>21.00</t>
        </is>
      </c>
      <c r="P161" t="inlineStr">
        <is>
          <t>90.41</t>
        </is>
      </c>
      <c r="S161" t="inlineStr">
        <is>
          <t>84.00</t>
        </is>
      </c>
    </row>
    <row r="162" ht="15" customHeight="1" s="126">
      <c r="B162" t="inlineStr">
        <is>
          <t>FB 404 - PREM. END ZONE CLUB EZC Total:</t>
        </is>
      </c>
      <c r="F162" t="inlineStr">
        <is>
          <t>0.00</t>
        </is>
      </c>
      <c r="G162" t="inlineStr">
        <is>
          <t>547.90</t>
        </is>
      </c>
      <c r="I162" t="n">
        <v>0</v>
      </c>
      <c r="L162" t="inlineStr">
        <is>
          <t>267.00</t>
        </is>
      </c>
      <c r="N162" t="inlineStr">
        <is>
          <t>602.00</t>
        </is>
      </c>
      <c r="P162" t="inlineStr">
        <is>
          <t>7,732.40</t>
        </is>
      </c>
      <c r="S162" t="inlineStr">
        <is>
          <t>7,184.50</t>
        </is>
      </c>
    </row>
    <row r="163" ht="15" customHeight="1" s="126">
      <c r="A163" t="inlineStr">
        <is>
          <t>36128 - GROUP SALES / PREMIUM Total:</t>
        </is>
      </c>
      <c r="F163" t="inlineStr">
        <is>
          <t>0.00</t>
        </is>
      </c>
      <c r="G163" t="inlineStr">
        <is>
          <t>1,008.46</t>
        </is>
      </c>
      <c r="I163" t="n">
        <v>0</v>
      </c>
      <c r="L163" t="inlineStr">
        <is>
          <t>453.50</t>
        </is>
      </c>
      <c r="N163" t="inlineStr">
        <is>
          <t>1,134.00</t>
        </is>
      </c>
      <c r="P163" t="inlineStr">
        <is>
          <t>14,230.96</t>
        </is>
      </c>
      <c r="S163" t="inlineStr">
        <is>
          <t>13,222.50</t>
        </is>
      </c>
    </row>
    <row r="164" ht="15" customHeight="1" s="126">
      <c r="A164" t="inlineStr">
        <is>
          <t>Department: 36637 - SPECIALTY CONCESSIONS (VENDING)</t>
        </is>
      </c>
    </row>
    <row r="165" ht="15" customHeight="1" s="126">
      <c r="B165" t="inlineStr">
        <is>
          <t>Location: FB 151 - SUB SUGAR SHIVERS</t>
        </is>
      </c>
    </row>
    <row r="166" ht="15" customHeight="1" s="126">
      <c r="C166" t="inlineStr">
        <is>
          <t xml:space="preserve"> Total:</t>
        </is>
      </c>
      <c r="F166" t="inlineStr">
        <is>
          <t>0.00</t>
        </is>
      </c>
      <c r="G166" t="inlineStr">
        <is>
          <t>0.00</t>
        </is>
      </c>
      <c r="I166" t="n">
        <v>0</v>
      </c>
      <c r="L166" t="inlineStr">
        <is>
          <t>0.00</t>
        </is>
      </c>
      <c r="N166" t="inlineStr">
        <is>
          <t>450.00</t>
        </is>
      </c>
      <c r="P166" t="inlineStr">
        <is>
          <t>0.00</t>
        </is>
      </c>
      <c r="S166" t="inlineStr">
        <is>
          <t>0.00</t>
        </is>
      </c>
    </row>
    <row r="167" ht="15" customHeight="1" s="126">
      <c r="C167" t="inlineStr">
        <is>
          <t>353008 - SUBCONTRACT INCOME (FOOD%) Total:</t>
        </is>
      </c>
      <c r="F167" t="inlineStr">
        <is>
          <t>0.00</t>
        </is>
      </c>
      <c r="G167" t="inlineStr">
        <is>
          <t>592.08</t>
        </is>
      </c>
      <c r="I167" t="n">
        <v>0</v>
      </c>
      <c r="L167" t="inlineStr">
        <is>
          <t>0.00</t>
        </is>
      </c>
      <c r="N167" t="inlineStr">
        <is>
          <t>782.00</t>
        </is>
      </c>
      <c r="P167" t="inlineStr">
        <is>
          <t>8,357.08</t>
        </is>
      </c>
      <c r="S167" t="inlineStr">
        <is>
          <t>7,765.00</t>
        </is>
      </c>
    </row>
    <row r="168" ht="15" customHeight="1" s="126">
      <c r="B168" t="inlineStr">
        <is>
          <t>FB 151 - SUB SUGAR SHIVERS Total:</t>
        </is>
      </c>
      <c r="F168" t="inlineStr">
        <is>
          <t>0.00</t>
        </is>
      </c>
      <c r="G168" t="inlineStr">
        <is>
          <t>592.08</t>
        </is>
      </c>
      <c r="I168" t="n">
        <v>0</v>
      </c>
      <c r="L168" t="inlineStr">
        <is>
          <t>0.00</t>
        </is>
      </c>
      <c r="N168" t="inlineStr">
        <is>
          <t>1,232.00</t>
        </is>
      </c>
      <c r="P168" t="inlineStr">
        <is>
          <t>8,357.08</t>
        </is>
      </c>
      <c r="S168" t="inlineStr">
        <is>
          <t>7,765.00</t>
        </is>
      </c>
    </row>
    <row r="169" ht="15" customHeight="1" s="126">
      <c r="B169" t="inlineStr">
        <is>
          <t>Location: FB 155 - SUB ISLAND NOODLES</t>
        </is>
      </c>
    </row>
    <row r="170" ht="15" customHeight="1" s="126">
      <c r="C170" t="inlineStr">
        <is>
          <t xml:space="preserve"> Total:</t>
        </is>
      </c>
      <c r="F170" t="inlineStr">
        <is>
          <t>0.00</t>
        </is>
      </c>
      <c r="G170" t="inlineStr">
        <is>
          <t>0.19</t>
        </is>
      </c>
      <c r="I170" t="n">
        <v>0</v>
      </c>
      <c r="L170" t="inlineStr">
        <is>
          <t>0.00</t>
        </is>
      </c>
      <c r="N170" t="inlineStr">
        <is>
          <t>81.00</t>
        </is>
      </c>
      <c r="P170" t="inlineStr">
        <is>
          <t>0.19</t>
        </is>
      </c>
      <c r="S170" t="inlineStr">
        <is>
          <t>0.00</t>
        </is>
      </c>
    </row>
    <row r="171" ht="15" customHeight="1" s="126">
      <c r="C171" t="inlineStr">
        <is>
          <t>353008 - SUBCONTRACT INCOME (FOOD%) Total:</t>
        </is>
      </c>
      <c r="F171" t="inlineStr">
        <is>
          <t>0.00</t>
        </is>
      </c>
      <c r="G171" t="inlineStr">
        <is>
          <t>126.96</t>
        </is>
      </c>
      <c r="I171" t="n">
        <v>0</v>
      </c>
      <c r="L171" t="inlineStr">
        <is>
          <t>0.00</t>
        </is>
      </c>
      <c r="N171" t="inlineStr">
        <is>
          <t>100.00</t>
        </is>
      </c>
      <c r="P171" t="inlineStr">
        <is>
          <t>1,791.96</t>
        </is>
      </c>
      <c r="S171" t="inlineStr">
        <is>
          <t>1,665.00</t>
        </is>
      </c>
    </row>
    <row r="172" ht="15" customHeight="1" s="126">
      <c r="B172" t="inlineStr">
        <is>
          <t>FB 155 - SUB ISLAND NOODLES Total:</t>
        </is>
      </c>
      <c r="F172" t="inlineStr">
        <is>
          <t>0.00</t>
        </is>
      </c>
      <c r="G172" t="inlineStr">
        <is>
          <t>127.15</t>
        </is>
      </c>
      <c r="I172" t="n">
        <v>0</v>
      </c>
      <c r="L172" t="inlineStr">
        <is>
          <t>0.00</t>
        </is>
      </c>
      <c r="N172" t="inlineStr">
        <is>
          <t>181.00</t>
        </is>
      </c>
      <c r="P172" t="inlineStr">
        <is>
          <t>1,792.15</t>
        </is>
      </c>
      <c r="S172" t="inlineStr">
        <is>
          <t>1,665.00</t>
        </is>
      </c>
    </row>
    <row r="173" ht="15" customHeight="1" s="126">
      <c r="A173" t="inlineStr">
        <is>
          <t>36637 - SPECIALTY CONCESSIONS (VENDING) Total:</t>
        </is>
      </c>
      <c r="F173" t="inlineStr">
        <is>
          <t>0.00</t>
        </is>
      </c>
      <c r="G173" t="inlineStr">
        <is>
          <t>719.23</t>
        </is>
      </c>
      <c r="I173" t="n">
        <v>0</v>
      </c>
      <c r="L173" t="inlineStr">
        <is>
          <t>0.00</t>
        </is>
      </c>
      <c r="N173" t="inlineStr">
        <is>
          <t>1,413.00</t>
        </is>
      </c>
      <c r="P173" t="inlineStr">
        <is>
          <t>10,149.23</t>
        </is>
      </c>
      <c r="S173" t="inlineStr">
        <is>
          <t>9,430.00</t>
        </is>
      </c>
    </row>
    <row r="174" ht="15" customHeight="1" s="126">
      <c r="A174" t="inlineStr">
        <is>
          <t xml:space="preserve">Totals : </t>
        </is>
      </c>
      <c r="F174" t="inlineStr">
        <is>
          <t>0.00</t>
        </is>
      </c>
      <c r="G174" t="inlineStr">
        <is>
          <t>16,385.75</t>
        </is>
      </c>
      <c r="I174" t="n">
        <v>0</v>
      </c>
      <c r="L174" t="inlineStr">
        <is>
          <t>13,578.00</t>
        </is>
      </c>
      <c r="N174" t="inlineStr">
        <is>
          <t>31,749.00</t>
        </is>
      </c>
      <c r="P174" t="inlineStr">
        <is>
          <t>231,199.76</t>
        </is>
      </c>
      <c r="S174" t="inlineStr">
        <is>
          <t>214,814.00</t>
        </is>
      </c>
    </row>
    <row r="175" ht="15" customHeight="1" s="126">
      <c r="A175" t="inlineStr">
        <is>
          <t>2:03 AM, 09/08/2026</t>
        </is>
      </c>
      <c r="K175" t="inlineStr">
        <is>
          <t>Page 1 of 1</t>
        </is>
      </c>
    </row>
  </sheetData>
  <autoFilter ref="A1:W175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zoomScaleNormal="100" workbookViewId="0">
      <selection activeCell="A1" sqref="A1"/>
    </sheetView>
  </sheetViews>
  <sheetFormatPr baseColWidth="8" defaultColWidth="8.7109375" defaultRowHeight="15" customHeight="1"/>
  <cols>
    <col width="24" customWidth="1" style="126" min="1" max="1"/>
    <col width="20" customWidth="1" style="126" min="2" max="2"/>
    <col width="42" customWidth="1" style="126" min="3" max="3"/>
    <col width="18" customWidth="1" style="126" min="5" max="5"/>
  </cols>
  <sheetData>
    <row r="1" ht="15" customHeight="1" s="126">
      <c r="A1" s="29" t="inlineStr">
        <is>
          <t>MyVenue Product Code</t>
        </is>
      </c>
      <c r="B1" s="29" t="inlineStr">
        <is>
          <t>Contract Class</t>
        </is>
      </c>
      <c r="C1" s="29" t="inlineStr">
        <is>
          <t>Description / Rule</t>
        </is>
      </c>
      <c r="E1" s="165" t="inlineStr">
        <is>
          <t>REQUIRED</t>
        </is>
      </c>
    </row>
    <row r="2" ht="15" customHeight="1" s="126">
      <c r="A2" t="inlineStr">
        <is>
          <t>312115</t>
        </is>
      </c>
      <c r="B2" t="inlineStr">
        <is>
          <t>FOOD/NON-ALC</t>
        </is>
      </c>
      <c r="C2" t="inlineStr">
        <is>
          <t>N/A BEVERAGE SALES - TAXABLE</t>
        </is>
      </c>
      <c r="E2" s="140" t="inlineStr">
        <is>
          <t>Maps MyVenue product codes → FOOD/NON-ALC vs ALCOHOL for CONTRACT CALC. Do not delete this sheet. Add new product codes here when MSR exports change. You can hide the tab if you want a cleaner workbook; keep the sheet in the file.</t>
        </is>
      </c>
    </row>
    <row r="3" ht="15" customHeight="1" s="126">
      <c r="A3" t="inlineStr">
        <is>
          <t>313000</t>
        </is>
      </c>
      <c r="B3" t="inlineStr">
        <is>
          <t>FOOD/NON-ALC</t>
        </is>
      </c>
      <c r="C3" t="inlineStr">
        <is>
          <t>FOOD SALES - TAXABLE</t>
        </is>
      </c>
    </row>
    <row r="4" ht="15" customHeight="1" s="126">
      <c r="A4" t="inlineStr">
        <is>
          <t>313004</t>
        </is>
      </c>
      <c r="B4" t="inlineStr">
        <is>
          <t>ALCOHOL</t>
        </is>
      </c>
      <c r="C4" t="inlineStr">
        <is>
          <t>LIQUOR SALES - TAXABLE</t>
        </is>
      </c>
    </row>
    <row r="5" ht="15" customHeight="1" s="126">
      <c r="A5" t="inlineStr">
        <is>
          <t>313082</t>
        </is>
      </c>
      <c r="B5" t="inlineStr">
        <is>
          <t>ALCOHOL</t>
        </is>
      </c>
      <c r="C5" t="inlineStr">
        <is>
          <t>BEER PACKAGED SALES</t>
        </is>
      </c>
    </row>
    <row r="6" ht="15" customHeight="1" s="126">
      <c r="A6" t="inlineStr">
        <is>
          <t>313096</t>
        </is>
      </c>
      <c r="B6" t="inlineStr">
        <is>
          <t>ALCOHOL</t>
        </is>
      </c>
      <c r="C6" t="inlineStr">
        <is>
          <t>WINE SALES - TAXABLE</t>
        </is>
      </c>
    </row>
    <row r="7" ht="15" customHeight="1" s="126">
      <c r="A7" t="inlineStr">
        <is>
          <t>FF-312114</t>
        </is>
      </c>
      <c r="B7" t="inlineStr">
        <is>
          <t>FOOD/NON-ALC</t>
        </is>
      </c>
      <c r="C7" t="inlineStr">
        <is>
          <t>Fan Friendly N/A beverage discount</t>
        </is>
      </c>
    </row>
    <row r="8" ht="15" customHeight="1" s="126">
      <c r="A8" t="inlineStr">
        <is>
          <t>FF-313076</t>
        </is>
      </c>
      <c r="B8" t="inlineStr">
        <is>
          <t>FOOD/NON-ALC</t>
        </is>
      </c>
      <c r="C8" t="inlineStr">
        <is>
          <t>Fan Friendly food discount</t>
        </is>
      </c>
    </row>
    <row r="9" ht="15" customHeight="1" s="126">
      <c r="A9" t="inlineStr">
        <is>
          <t>353008</t>
        </is>
      </c>
      <c r="B9" t="inlineStr">
        <is>
          <t>FOOD/NON-ALC</t>
        </is>
      </c>
      <c r="C9" t="inlineStr">
        <is>
          <t>Subcontract income (food%)</t>
        </is>
      </c>
    </row>
  </sheetData>
  <mergeCells count="1">
    <mergeCell ref="E2:H5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zoomScaleNormal="100" workbookViewId="0">
      <pane ySplit="1" topLeftCell="A15" activePane="bottomLeft" state="frozen"/>
      <selection pane="bottomLeft" activeCell="A1" sqref="A1"/>
    </sheetView>
  </sheetViews>
  <sheetFormatPr baseColWidth="8" defaultColWidth="8.7109375" defaultRowHeight="15" customHeight="1"/>
  <cols>
    <col width="10" customWidth="1" style="126" min="1" max="1"/>
    <col width="34" customWidth="1" style="126" min="2" max="2"/>
    <col width="38" customWidth="1" style="126" min="3" max="3"/>
    <col width="44" customWidth="1" style="126" min="4" max="4"/>
    <col width="18" customWidth="1" style="126" min="5" max="5"/>
    <col width="42" customWidth="1" style="126" min="6" max="6"/>
    <col width="20" customWidth="1" style="126" min="7" max="7"/>
    <col width="15" customWidth="1" style="126" min="8" max="9"/>
  </cols>
  <sheetData>
    <row r="1" ht="15" customHeight="1" s="126">
      <c r="A1" s="29" t="inlineStr">
        <is>
          <t>Raw Row</t>
        </is>
      </c>
      <c r="B1" s="29" t="inlineStr">
        <is>
          <t>Event</t>
        </is>
      </c>
      <c r="C1" s="29" t="inlineStr">
        <is>
          <t>Department</t>
        </is>
      </c>
      <c r="D1" s="29" t="inlineStr">
        <is>
          <t>Location</t>
        </is>
      </c>
      <c r="E1" s="29" t="inlineStr">
        <is>
          <t>Product Code</t>
        </is>
      </c>
      <c r="F1" s="29" t="inlineStr">
        <is>
          <t>Product Name</t>
        </is>
      </c>
      <c r="G1" s="29" t="inlineStr">
        <is>
          <t>Contract Class</t>
        </is>
      </c>
      <c r="H1" s="29" t="inlineStr">
        <is>
          <t>Gross Amt</t>
        </is>
      </c>
      <c r="I1" s="29" t="inlineStr">
        <is>
          <t>Net</t>
        </is>
      </c>
    </row>
    <row r="2" ht="68.65000000000001" customHeight="1" s="126">
      <c r="A2" t="n">
        <v>2</v>
      </c>
      <c r="B2" s="30">
        <f>IF('MSR RAW'!$A$3="","",'MSR RAW'!$A$3)</f>
        <v/>
      </c>
      <c r="C2">
        <f>IF(LEFT(TRIM('MSR RAW'!A2),11)="Department:",TRIM('MSR RAW'!A2),"")</f>
        <v/>
      </c>
      <c r="D2">
        <f>IF(LEFT(TRIM('MSR RAW'!B2),9)="Location:",TRIM(MID('MSR RAW'!B2,10,999)),"")</f>
        <v/>
      </c>
      <c r="E2">
        <f>IF(AND(ISNUMBER(SEARCH(" - ",TRIM('MSR RAW'!C2))),RIGHT(TRIM('MSR RAW'!C2),6)="Total:"),LEFT(TRIM('MSR RAW'!C2),SEARCH(" - ",TRIM('MSR RAW'!C2))-1),"")</f>
        <v/>
      </c>
      <c r="F2">
        <f>IF(E2="","",TRIM(MID(TRIM('MSR RAW'!C2),SEARCH(" - ",TRIM('MSR RAW'!C2))+3,LEN(TRIM('MSR RAW'!C2))-SEARCH(" - ",TRIM('MSR RAW'!C2))-9)))</f>
        <v/>
      </c>
      <c r="G2">
        <f>IF(E2="","",IFERROR(VLOOKUP(E2,'CATEGORY MAP'!$A$2:$B$20,2,FALSE()),"REVIEW"))</f>
        <v/>
      </c>
      <c r="H2">
        <f>IF(E2="","",IFERROR(VALUE(SUBSTITUTE('MSR RAW'!P2,",","")),0))</f>
        <v/>
      </c>
      <c r="I2">
        <f>IF(E2="","",IFERROR(VALUE(SUBSTITUTE('MSR RAW'!S2,",","")),0))</f>
        <v/>
      </c>
    </row>
    <row r="3" ht="68.65000000000001" customHeight="1" s="126">
      <c r="A3" t="n">
        <v>3</v>
      </c>
      <c r="B3" s="30">
        <f>IF('MSR RAW'!$A$3="","",'MSR RAW'!$A$3)</f>
        <v/>
      </c>
      <c r="C3">
        <f>IF(LEFT(TRIM('MSR RAW'!A3),11)="Department:",TRIM('MSR RAW'!A3),C2)</f>
        <v/>
      </c>
      <c r="D3">
        <f>IF(LEFT(TRIM('MSR RAW'!B3),9)="Location:",TRIM(MID('MSR RAW'!B3,10,999)),D2)</f>
        <v/>
      </c>
      <c r="E3">
        <f>IF(AND(ISNUMBER(SEARCH(" - ",TRIM('MSR RAW'!C3))),RIGHT(TRIM('MSR RAW'!C3),6)="Total:"),LEFT(TRIM('MSR RAW'!C3),SEARCH(" - ",TRIM('MSR RAW'!C3))-1),"")</f>
        <v/>
      </c>
      <c r="F3">
        <f>IF(E3="","",TRIM(MID(TRIM('MSR RAW'!C3),SEARCH(" - ",TRIM('MSR RAW'!C3))+3,LEN(TRIM('MSR RAW'!C3))-SEARCH(" - ",TRIM('MSR RAW'!C3))-9)))</f>
        <v/>
      </c>
      <c r="G3">
        <f>IF(E3="","",IFERROR(VLOOKUP(E3,'CATEGORY MAP'!$A$2:$B$20,2,FALSE()),"REVIEW"))</f>
        <v/>
      </c>
      <c r="H3">
        <f>IF(E3="","",IFERROR(VALUE(SUBSTITUTE('MSR RAW'!P3,",","")),0))</f>
        <v/>
      </c>
      <c r="I3">
        <f>IF(E3="","",IFERROR(VALUE(SUBSTITUTE('MSR RAW'!S3,",","")),0))</f>
        <v/>
      </c>
    </row>
    <row r="4" ht="68.65000000000001" customHeight="1" s="126">
      <c r="A4" t="n">
        <v>4</v>
      </c>
      <c r="B4" s="30">
        <f>IF('MSR RAW'!$A$3="","",'MSR RAW'!$A$3)</f>
        <v/>
      </c>
      <c r="C4">
        <f>IF(LEFT(TRIM('MSR RAW'!A4),11)="Department:",TRIM('MSR RAW'!A4),C3)</f>
        <v/>
      </c>
      <c r="D4">
        <f>IF(LEFT(TRIM('MSR RAW'!B4),9)="Location:",TRIM(MID('MSR RAW'!B4,10,999)),D3)</f>
        <v/>
      </c>
      <c r="E4">
        <f>IF(AND(ISNUMBER(SEARCH(" - ",TRIM('MSR RAW'!C4))),RIGHT(TRIM('MSR RAW'!C4),6)="Total:"),LEFT(TRIM('MSR RAW'!C4),SEARCH(" - ",TRIM('MSR RAW'!C4))-1),"")</f>
        <v/>
      </c>
      <c r="F4">
        <f>IF(E4="","",TRIM(MID(TRIM('MSR RAW'!C4),SEARCH(" - ",TRIM('MSR RAW'!C4))+3,LEN(TRIM('MSR RAW'!C4))-SEARCH(" - ",TRIM('MSR RAW'!C4))-9)))</f>
        <v/>
      </c>
      <c r="G4">
        <f>IF(E4="","",IFERROR(VLOOKUP(E4,'CATEGORY MAP'!$A$2:$B$20,2,FALSE()),"REVIEW"))</f>
        <v/>
      </c>
      <c r="H4">
        <f>IF(E4="","",IFERROR(VALUE(SUBSTITUTE('MSR RAW'!P4,",","")),0))</f>
        <v/>
      </c>
      <c r="I4">
        <f>IF(E4="","",IFERROR(VALUE(SUBSTITUTE('MSR RAW'!S4,",","")),0))</f>
        <v/>
      </c>
    </row>
    <row r="5" ht="68.65000000000001" customHeight="1" s="126">
      <c r="A5" t="n">
        <v>5</v>
      </c>
      <c r="B5" s="30">
        <f>IF('MSR RAW'!$A$3="","",'MSR RAW'!$A$3)</f>
        <v/>
      </c>
      <c r="C5">
        <f>IF(LEFT(TRIM('MSR RAW'!A5),11)="Department:",TRIM('MSR RAW'!A5),C4)</f>
        <v/>
      </c>
      <c r="D5">
        <f>IF(LEFT(TRIM('MSR RAW'!B5),9)="Location:",TRIM(MID('MSR RAW'!B5,10,999)),D4)</f>
        <v/>
      </c>
      <c r="E5">
        <f>IF(AND(ISNUMBER(SEARCH(" - ",TRIM('MSR RAW'!C5))),RIGHT(TRIM('MSR RAW'!C5),6)="Total:"),LEFT(TRIM('MSR RAW'!C5),SEARCH(" - ",TRIM('MSR RAW'!C5))-1),"")</f>
        <v/>
      </c>
      <c r="F5">
        <f>IF(E5="","",TRIM(MID(TRIM('MSR RAW'!C5),SEARCH(" - ",TRIM('MSR RAW'!C5))+3,LEN(TRIM('MSR RAW'!C5))-SEARCH(" - ",TRIM('MSR RAW'!C5))-9)))</f>
        <v/>
      </c>
      <c r="G5">
        <f>IF(E5="","",IFERROR(VLOOKUP(E5,'CATEGORY MAP'!$A$2:$B$20,2,FALSE()),"REVIEW"))</f>
        <v/>
      </c>
      <c r="H5">
        <f>IF(E5="","",IFERROR(VALUE(SUBSTITUTE('MSR RAW'!P5,",","")),0))</f>
        <v/>
      </c>
      <c r="I5">
        <f>IF(E5="","",IFERROR(VALUE(SUBSTITUTE('MSR RAW'!S5,",","")),0))</f>
        <v/>
      </c>
    </row>
    <row r="6" ht="68.65000000000001" customHeight="1" s="126">
      <c r="A6" t="n">
        <v>6</v>
      </c>
      <c r="B6" s="30">
        <f>IF('MSR RAW'!$A$3="","",'MSR RAW'!$A$3)</f>
        <v/>
      </c>
      <c r="C6">
        <f>IF(LEFT(TRIM('MSR RAW'!A6),11)="Department:",TRIM('MSR RAW'!A6),C5)</f>
        <v/>
      </c>
      <c r="D6">
        <f>IF(LEFT(TRIM('MSR RAW'!B6),9)="Location:",TRIM(MID('MSR RAW'!B6,10,999)),D5)</f>
        <v/>
      </c>
      <c r="E6">
        <f>IF(AND(ISNUMBER(SEARCH(" - ",TRIM('MSR RAW'!C6))),RIGHT(TRIM('MSR RAW'!C6),6)="Total:"),LEFT(TRIM('MSR RAW'!C6),SEARCH(" - ",TRIM('MSR RAW'!C6))-1),"")</f>
        <v/>
      </c>
      <c r="F6">
        <f>IF(E6="","",TRIM(MID(TRIM('MSR RAW'!C6),SEARCH(" - ",TRIM('MSR RAW'!C6))+3,LEN(TRIM('MSR RAW'!C6))-SEARCH(" - ",TRIM('MSR RAW'!C6))-9)))</f>
        <v/>
      </c>
      <c r="G6">
        <f>IF(E6="","",IFERROR(VLOOKUP(E6,'CATEGORY MAP'!$A$2:$B$20,2,FALSE()),"REVIEW"))</f>
        <v/>
      </c>
      <c r="H6">
        <f>IF(E6="","",IFERROR(VALUE(SUBSTITUTE('MSR RAW'!P6,",","")),0))</f>
        <v/>
      </c>
      <c r="I6">
        <f>IF(E6="","",IFERROR(VALUE(SUBSTITUTE('MSR RAW'!S6,",","")),0))</f>
        <v/>
      </c>
    </row>
    <row r="7" ht="68.65000000000001" customHeight="1" s="126">
      <c r="A7" t="n">
        <v>7</v>
      </c>
      <c r="B7" s="30">
        <f>IF('MSR RAW'!$A$3="","",'MSR RAW'!$A$3)</f>
        <v/>
      </c>
      <c r="C7">
        <f>IF(LEFT(TRIM('MSR RAW'!A7),11)="Department:",TRIM('MSR RAW'!A7),C6)</f>
        <v/>
      </c>
      <c r="D7">
        <f>IF(LEFT(TRIM('MSR RAW'!B7),9)="Location:",TRIM(MID('MSR RAW'!B7,10,999)),D6)</f>
        <v/>
      </c>
      <c r="E7">
        <f>IF(AND(ISNUMBER(SEARCH(" - ",TRIM('MSR RAW'!C7))),RIGHT(TRIM('MSR RAW'!C7),6)="Total:"),LEFT(TRIM('MSR RAW'!C7),SEARCH(" - ",TRIM('MSR RAW'!C7))-1),"")</f>
        <v/>
      </c>
      <c r="F7">
        <f>IF(E7="","",TRIM(MID(TRIM('MSR RAW'!C7),SEARCH(" - ",TRIM('MSR RAW'!C7))+3,LEN(TRIM('MSR RAW'!C7))-SEARCH(" - ",TRIM('MSR RAW'!C7))-9)))</f>
        <v/>
      </c>
      <c r="G7">
        <f>IF(E7="","",IFERROR(VLOOKUP(E7,'CATEGORY MAP'!$A$2:$B$20,2,FALSE()),"REVIEW"))</f>
        <v/>
      </c>
      <c r="H7">
        <f>IF(E7="","",IFERROR(VALUE(SUBSTITUTE('MSR RAW'!P7,",","")),0))</f>
        <v/>
      </c>
      <c r="I7">
        <f>IF(E7="","",IFERROR(VALUE(SUBSTITUTE('MSR RAW'!S7,",","")),0))</f>
        <v/>
      </c>
    </row>
    <row r="8" ht="68.65000000000001" customHeight="1" s="126">
      <c r="A8" t="n">
        <v>8</v>
      </c>
      <c r="B8" s="30">
        <f>IF('MSR RAW'!$A$3="","",'MSR RAW'!$A$3)</f>
        <v/>
      </c>
      <c r="C8">
        <f>IF(LEFT(TRIM('MSR RAW'!A8),11)="Department:",TRIM('MSR RAW'!A8),C7)</f>
        <v/>
      </c>
      <c r="D8">
        <f>IF(LEFT(TRIM('MSR RAW'!B8),9)="Location:",TRIM(MID('MSR RAW'!B8,10,999)),D7)</f>
        <v/>
      </c>
      <c r="E8">
        <f>IF(AND(ISNUMBER(SEARCH(" - ",TRIM('MSR RAW'!C8))),RIGHT(TRIM('MSR RAW'!C8),6)="Total:"),LEFT(TRIM('MSR RAW'!C8),SEARCH(" - ",TRIM('MSR RAW'!C8))-1),"")</f>
        <v/>
      </c>
      <c r="F8">
        <f>IF(E8="","",TRIM(MID(TRIM('MSR RAW'!C8),SEARCH(" - ",TRIM('MSR RAW'!C8))+3,LEN(TRIM('MSR RAW'!C8))-SEARCH(" - ",TRIM('MSR RAW'!C8))-9)))</f>
        <v/>
      </c>
      <c r="G8">
        <f>IF(E8="","",IFERROR(VLOOKUP(E8,'CATEGORY MAP'!$A$2:$B$20,2,FALSE()),"REVIEW"))</f>
        <v/>
      </c>
      <c r="H8">
        <f>IF(E8="","",IFERROR(VALUE(SUBSTITUTE('MSR RAW'!P8,",","")),0))</f>
        <v/>
      </c>
      <c r="I8">
        <f>IF(E8="","",IFERROR(VALUE(SUBSTITUTE('MSR RAW'!S8,",","")),0))</f>
        <v/>
      </c>
    </row>
    <row r="9" ht="68.65000000000001" customHeight="1" s="126">
      <c r="A9" t="n">
        <v>9</v>
      </c>
      <c r="B9" s="30">
        <f>IF('MSR RAW'!$A$3="","",'MSR RAW'!$A$3)</f>
        <v/>
      </c>
      <c r="C9">
        <f>IF(LEFT(TRIM('MSR RAW'!A9),11)="Department:",TRIM('MSR RAW'!A9),C8)</f>
        <v/>
      </c>
      <c r="D9">
        <f>IF(LEFT(TRIM('MSR RAW'!B9),9)="Location:",TRIM(MID('MSR RAW'!B9,10,999)),D8)</f>
        <v/>
      </c>
      <c r="E9">
        <f>IF(AND(ISNUMBER(SEARCH(" - ",TRIM('MSR RAW'!C9))),RIGHT(TRIM('MSR RAW'!C9),6)="Total:"),LEFT(TRIM('MSR RAW'!C9),SEARCH(" - ",TRIM('MSR RAW'!C9))-1),"")</f>
        <v/>
      </c>
      <c r="F9">
        <f>IF(E9="","",TRIM(MID(TRIM('MSR RAW'!C9),SEARCH(" - ",TRIM('MSR RAW'!C9))+3,LEN(TRIM('MSR RAW'!C9))-SEARCH(" - ",TRIM('MSR RAW'!C9))-9)))</f>
        <v/>
      </c>
      <c r="G9">
        <f>IF(E9="","",IFERROR(VLOOKUP(E9,'CATEGORY MAP'!$A$2:$B$20,2,FALSE()),"REVIEW"))</f>
        <v/>
      </c>
      <c r="H9">
        <f>IF(E9="","",IFERROR(VALUE(SUBSTITUTE('MSR RAW'!P9,",","")),0))</f>
        <v/>
      </c>
      <c r="I9">
        <f>IF(E9="","",IFERROR(VALUE(SUBSTITUTE('MSR RAW'!S9,",","")),0))</f>
        <v/>
      </c>
    </row>
    <row r="10" ht="68.65000000000001" customHeight="1" s="126">
      <c r="A10" t="n">
        <v>10</v>
      </c>
      <c r="B10" s="30">
        <f>IF('MSR RAW'!$A$3="","",'MSR RAW'!$A$3)</f>
        <v/>
      </c>
      <c r="C10">
        <f>IF(LEFT(TRIM('MSR RAW'!A10),11)="Department:",TRIM('MSR RAW'!A10),C9)</f>
        <v/>
      </c>
      <c r="D10">
        <f>IF(LEFT(TRIM('MSR RAW'!B10),9)="Location:",TRIM(MID('MSR RAW'!B10,10,999)),D9)</f>
        <v/>
      </c>
      <c r="E10">
        <f>IF(AND(ISNUMBER(SEARCH(" - ",TRIM('MSR RAW'!C10))),RIGHT(TRIM('MSR RAW'!C10),6)="Total:"),LEFT(TRIM('MSR RAW'!C10),SEARCH(" - ",TRIM('MSR RAW'!C10))-1),"")</f>
        <v/>
      </c>
      <c r="F10">
        <f>IF(E10="","",TRIM(MID(TRIM('MSR RAW'!C10),SEARCH(" - ",TRIM('MSR RAW'!C10))+3,LEN(TRIM('MSR RAW'!C10))-SEARCH(" - ",TRIM('MSR RAW'!C10))-9)))</f>
        <v/>
      </c>
      <c r="G10">
        <f>IF(E10="","",IFERROR(VLOOKUP(E10,'CATEGORY MAP'!$A$2:$B$20,2,FALSE()),"REVIEW"))</f>
        <v/>
      </c>
      <c r="H10">
        <f>IF(E10="","",IFERROR(VALUE(SUBSTITUTE('MSR RAW'!P10,",","")),0))</f>
        <v/>
      </c>
      <c r="I10">
        <f>IF(E10="","",IFERROR(VALUE(SUBSTITUTE('MSR RAW'!S10,",","")),0))</f>
        <v/>
      </c>
    </row>
    <row r="11" ht="68.65000000000001" customHeight="1" s="126">
      <c r="A11" t="n">
        <v>11</v>
      </c>
      <c r="B11" s="30">
        <f>IF('MSR RAW'!$A$3="","",'MSR RAW'!$A$3)</f>
        <v/>
      </c>
      <c r="C11">
        <f>IF(LEFT(TRIM('MSR RAW'!A11),11)="Department:",TRIM('MSR RAW'!A11),C10)</f>
        <v/>
      </c>
      <c r="D11">
        <f>IF(LEFT(TRIM('MSR RAW'!B11),9)="Location:",TRIM(MID('MSR RAW'!B11,10,999)),D10)</f>
        <v/>
      </c>
      <c r="E11">
        <f>IF(AND(ISNUMBER(SEARCH(" - ",TRIM('MSR RAW'!C11))),RIGHT(TRIM('MSR RAW'!C11),6)="Total:"),LEFT(TRIM('MSR RAW'!C11),SEARCH(" - ",TRIM('MSR RAW'!C11))-1),"")</f>
        <v/>
      </c>
      <c r="F11">
        <f>IF(E11="","",TRIM(MID(TRIM('MSR RAW'!C11),SEARCH(" - ",TRIM('MSR RAW'!C11))+3,LEN(TRIM('MSR RAW'!C11))-SEARCH(" - ",TRIM('MSR RAW'!C11))-9)))</f>
        <v/>
      </c>
      <c r="G11">
        <f>IF(E11="","",IFERROR(VLOOKUP(E11,'CATEGORY MAP'!$A$2:$B$20,2,FALSE()),"REVIEW"))</f>
        <v/>
      </c>
      <c r="H11">
        <f>IF(E11="","",IFERROR(VALUE(SUBSTITUTE('MSR RAW'!P11,",","")),0))</f>
        <v/>
      </c>
      <c r="I11">
        <f>IF(E11="","",IFERROR(VALUE(SUBSTITUTE('MSR RAW'!S11,",","")),0))</f>
        <v/>
      </c>
    </row>
    <row r="12" ht="68.65000000000001" customHeight="1" s="126">
      <c r="A12" t="n">
        <v>12</v>
      </c>
      <c r="B12" s="30">
        <f>IF('MSR RAW'!$A$3="","",'MSR RAW'!$A$3)</f>
        <v/>
      </c>
      <c r="C12">
        <f>IF(LEFT(TRIM('MSR RAW'!A12),11)="Department:",TRIM('MSR RAW'!A12),C11)</f>
        <v/>
      </c>
      <c r="D12">
        <f>IF(LEFT(TRIM('MSR RAW'!B12),9)="Location:",TRIM(MID('MSR RAW'!B12,10,999)),D11)</f>
        <v/>
      </c>
      <c r="E12">
        <f>IF(AND(ISNUMBER(SEARCH(" - ",TRIM('MSR RAW'!C12))),RIGHT(TRIM('MSR RAW'!C12),6)="Total:"),LEFT(TRIM('MSR RAW'!C12),SEARCH(" - ",TRIM('MSR RAW'!C12))-1),"")</f>
        <v/>
      </c>
      <c r="F12">
        <f>IF(E12="","",TRIM(MID(TRIM('MSR RAW'!C12),SEARCH(" - ",TRIM('MSR RAW'!C12))+3,LEN(TRIM('MSR RAW'!C12))-SEARCH(" - ",TRIM('MSR RAW'!C12))-9)))</f>
        <v/>
      </c>
      <c r="G12">
        <f>IF(E12="","",IFERROR(VLOOKUP(E12,'CATEGORY MAP'!$A$2:$B$20,2,FALSE()),"REVIEW"))</f>
        <v/>
      </c>
      <c r="H12">
        <f>IF(E12="","",IFERROR(VALUE(SUBSTITUTE('MSR RAW'!P12,",","")),0))</f>
        <v/>
      </c>
      <c r="I12">
        <f>IF(E12="","",IFERROR(VALUE(SUBSTITUTE('MSR RAW'!S12,",","")),0))</f>
        <v/>
      </c>
    </row>
    <row r="13" ht="68.65000000000001" customHeight="1" s="126">
      <c r="A13" t="n">
        <v>13</v>
      </c>
      <c r="B13" s="30">
        <f>IF('MSR RAW'!$A$3="","",'MSR RAW'!$A$3)</f>
        <v/>
      </c>
      <c r="C13">
        <f>IF(LEFT(TRIM('MSR RAW'!A13),11)="Department:",TRIM('MSR RAW'!A13),C12)</f>
        <v/>
      </c>
      <c r="D13">
        <f>IF(LEFT(TRIM('MSR RAW'!B13),9)="Location:",TRIM(MID('MSR RAW'!B13,10,999)),D12)</f>
        <v/>
      </c>
      <c r="E13">
        <f>IF(AND(ISNUMBER(SEARCH(" - ",TRIM('MSR RAW'!C13))),RIGHT(TRIM('MSR RAW'!C13),6)="Total:"),LEFT(TRIM('MSR RAW'!C13),SEARCH(" - ",TRIM('MSR RAW'!C13))-1),"")</f>
        <v/>
      </c>
      <c r="F13">
        <f>IF(E13="","",TRIM(MID(TRIM('MSR RAW'!C13),SEARCH(" - ",TRIM('MSR RAW'!C13))+3,LEN(TRIM('MSR RAW'!C13))-SEARCH(" - ",TRIM('MSR RAW'!C13))-9)))</f>
        <v/>
      </c>
      <c r="G13">
        <f>IF(E13="","",IFERROR(VLOOKUP(E13,'CATEGORY MAP'!$A$2:$B$20,2,FALSE()),"REVIEW"))</f>
        <v/>
      </c>
      <c r="H13">
        <f>IF(E13="","",IFERROR(VALUE(SUBSTITUTE('MSR RAW'!P13,",","")),0))</f>
        <v/>
      </c>
      <c r="I13">
        <f>IF(E13="","",IFERROR(VALUE(SUBSTITUTE('MSR RAW'!S13,",","")),0))</f>
        <v/>
      </c>
    </row>
    <row r="14" ht="68.65000000000001" customHeight="1" s="126">
      <c r="A14" t="n">
        <v>14</v>
      </c>
      <c r="B14" s="30">
        <f>IF('MSR RAW'!$A$3="","",'MSR RAW'!$A$3)</f>
        <v/>
      </c>
      <c r="C14">
        <f>IF(LEFT(TRIM('MSR RAW'!A14),11)="Department:",TRIM('MSR RAW'!A14),C13)</f>
        <v/>
      </c>
      <c r="D14">
        <f>IF(LEFT(TRIM('MSR RAW'!B14),9)="Location:",TRIM(MID('MSR RAW'!B14,10,999)),D13)</f>
        <v/>
      </c>
      <c r="E14">
        <f>IF(AND(ISNUMBER(SEARCH(" - ",TRIM('MSR RAW'!C14))),RIGHT(TRIM('MSR RAW'!C14),6)="Total:"),LEFT(TRIM('MSR RAW'!C14),SEARCH(" - ",TRIM('MSR RAW'!C14))-1),"")</f>
        <v/>
      </c>
      <c r="F14">
        <f>IF(E14="","",TRIM(MID(TRIM('MSR RAW'!C14),SEARCH(" - ",TRIM('MSR RAW'!C14))+3,LEN(TRIM('MSR RAW'!C14))-SEARCH(" - ",TRIM('MSR RAW'!C14))-9)))</f>
        <v/>
      </c>
      <c r="G14">
        <f>IF(E14="","",IFERROR(VLOOKUP(E14,'CATEGORY MAP'!$A$2:$B$20,2,FALSE()),"REVIEW"))</f>
        <v/>
      </c>
      <c r="H14">
        <f>IF(E14="","",IFERROR(VALUE(SUBSTITUTE('MSR RAW'!P14,",","")),0))</f>
        <v/>
      </c>
      <c r="I14">
        <f>IF(E14="","",IFERROR(VALUE(SUBSTITUTE('MSR RAW'!S14,",","")),0))</f>
        <v/>
      </c>
    </row>
    <row r="15" ht="68.65000000000001" customHeight="1" s="126">
      <c r="A15" t="n">
        <v>15</v>
      </c>
      <c r="B15" s="30">
        <f>IF('MSR RAW'!$A$3="","",'MSR RAW'!$A$3)</f>
        <v/>
      </c>
      <c r="C15">
        <f>IF(LEFT(TRIM('MSR RAW'!A15),11)="Department:",TRIM('MSR RAW'!A15),C14)</f>
        <v/>
      </c>
      <c r="D15">
        <f>IF(LEFT(TRIM('MSR RAW'!B15),9)="Location:",TRIM(MID('MSR RAW'!B15,10,999)),D14)</f>
        <v/>
      </c>
      <c r="E15">
        <f>IF(AND(ISNUMBER(SEARCH(" - ",TRIM('MSR RAW'!C15))),RIGHT(TRIM('MSR RAW'!C15),6)="Total:"),LEFT(TRIM('MSR RAW'!C15),SEARCH(" - ",TRIM('MSR RAW'!C15))-1),"")</f>
        <v/>
      </c>
      <c r="F15">
        <f>IF(E15="","",TRIM(MID(TRIM('MSR RAW'!C15),SEARCH(" - ",TRIM('MSR RAW'!C15))+3,LEN(TRIM('MSR RAW'!C15))-SEARCH(" - ",TRIM('MSR RAW'!C15))-9)))</f>
        <v/>
      </c>
      <c r="G15">
        <f>IF(E15="","",IFERROR(VLOOKUP(E15,'CATEGORY MAP'!$A$2:$B$20,2,FALSE()),"REVIEW"))</f>
        <v/>
      </c>
      <c r="H15">
        <f>IF(E15="","",IFERROR(VALUE(SUBSTITUTE('MSR RAW'!P15,",","")),0))</f>
        <v/>
      </c>
      <c r="I15">
        <f>IF(E15="","",IFERROR(VALUE(SUBSTITUTE('MSR RAW'!S15,",","")),0))</f>
        <v/>
      </c>
    </row>
    <row r="16" ht="68.65000000000001" customHeight="1" s="126">
      <c r="A16" t="n">
        <v>16</v>
      </c>
      <c r="B16" s="30">
        <f>IF('MSR RAW'!$A$3="","",'MSR RAW'!$A$3)</f>
        <v/>
      </c>
      <c r="C16">
        <f>IF(LEFT(TRIM('MSR RAW'!A16),11)="Department:",TRIM('MSR RAW'!A16),C15)</f>
        <v/>
      </c>
      <c r="D16">
        <f>IF(LEFT(TRIM('MSR RAW'!B16),9)="Location:",TRIM(MID('MSR RAW'!B16,10,999)),D15)</f>
        <v/>
      </c>
      <c r="E16">
        <f>IF(AND(ISNUMBER(SEARCH(" - ",TRIM('MSR RAW'!C16))),RIGHT(TRIM('MSR RAW'!C16),6)="Total:"),LEFT(TRIM('MSR RAW'!C16),SEARCH(" - ",TRIM('MSR RAW'!C16))-1),"")</f>
        <v/>
      </c>
      <c r="F16">
        <f>IF(E16="","",TRIM(MID(TRIM('MSR RAW'!C16),SEARCH(" - ",TRIM('MSR RAW'!C16))+3,LEN(TRIM('MSR RAW'!C16))-SEARCH(" - ",TRIM('MSR RAW'!C16))-9)))</f>
        <v/>
      </c>
      <c r="G16">
        <f>IF(E16="","",IFERROR(VLOOKUP(E16,'CATEGORY MAP'!$A$2:$B$20,2,FALSE()),"REVIEW"))</f>
        <v/>
      </c>
      <c r="H16">
        <f>IF(E16="","",IFERROR(VALUE(SUBSTITUTE('MSR RAW'!P16,",","")),0))</f>
        <v/>
      </c>
      <c r="I16">
        <f>IF(E16="","",IFERROR(VALUE(SUBSTITUTE('MSR RAW'!S16,",","")),0))</f>
        <v/>
      </c>
    </row>
    <row r="17" ht="68.65000000000001" customHeight="1" s="126">
      <c r="A17" t="n">
        <v>17</v>
      </c>
      <c r="B17" s="30">
        <f>IF('MSR RAW'!$A$3="","",'MSR RAW'!$A$3)</f>
        <v/>
      </c>
      <c r="C17">
        <f>IF(LEFT(TRIM('MSR RAW'!A17),11)="Department:",TRIM('MSR RAW'!A17),C16)</f>
        <v/>
      </c>
      <c r="D17">
        <f>IF(LEFT(TRIM('MSR RAW'!B17),9)="Location:",TRIM(MID('MSR RAW'!B17,10,999)),D16)</f>
        <v/>
      </c>
      <c r="E17">
        <f>IF(AND(ISNUMBER(SEARCH(" - ",TRIM('MSR RAW'!C17))),RIGHT(TRIM('MSR RAW'!C17),6)="Total:"),LEFT(TRIM('MSR RAW'!C17),SEARCH(" - ",TRIM('MSR RAW'!C17))-1),"")</f>
        <v/>
      </c>
      <c r="F17">
        <f>IF(E17="","",TRIM(MID(TRIM('MSR RAW'!C17),SEARCH(" - ",TRIM('MSR RAW'!C17))+3,LEN(TRIM('MSR RAW'!C17))-SEARCH(" - ",TRIM('MSR RAW'!C17))-9)))</f>
        <v/>
      </c>
      <c r="G17">
        <f>IF(E17="","",IFERROR(VLOOKUP(E17,'CATEGORY MAP'!$A$2:$B$20,2,FALSE()),"REVIEW"))</f>
        <v/>
      </c>
      <c r="H17">
        <f>IF(E17="","",IFERROR(VALUE(SUBSTITUTE('MSR RAW'!P17,",","")),0))</f>
        <v/>
      </c>
      <c r="I17">
        <f>IF(E17="","",IFERROR(VALUE(SUBSTITUTE('MSR RAW'!S17,",","")),0))</f>
        <v/>
      </c>
    </row>
    <row r="18" ht="68.65000000000001" customHeight="1" s="126">
      <c r="A18" t="n">
        <v>18</v>
      </c>
      <c r="B18" s="30">
        <f>IF('MSR RAW'!$A$3="","",'MSR RAW'!$A$3)</f>
        <v/>
      </c>
      <c r="C18">
        <f>IF(LEFT(TRIM('MSR RAW'!A18),11)="Department:",TRIM('MSR RAW'!A18),C17)</f>
        <v/>
      </c>
      <c r="D18">
        <f>IF(LEFT(TRIM('MSR RAW'!B18),9)="Location:",TRIM(MID('MSR RAW'!B18,10,999)),D17)</f>
        <v/>
      </c>
      <c r="E18">
        <f>IF(AND(ISNUMBER(SEARCH(" - ",TRIM('MSR RAW'!C18))),RIGHT(TRIM('MSR RAW'!C18),6)="Total:"),LEFT(TRIM('MSR RAW'!C18),SEARCH(" - ",TRIM('MSR RAW'!C18))-1),"")</f>
        <v/>
      </c>
      <c r="F18">
        <f>IF(E18="","",TRIM(MID(TRIM('MSR RAW'!C18),SEARCH(" - ",TRIM('MSR RAW'!C18))+3,LEN(TRIM('MSR RAW'!C18))-SEARCH(" - ",TRIM('MSR RAW'!C18))-9)))</f>
        <v/>
      </c>
      <c r="G18">
        <f>IF(E18="","",IFERROR(VLOOKUP(E18,'CATEGORY MAP'!$A$2:$B$20,2,FALSE()),"REVIEW"))</f>
        <v/>
      </c>
      <c r="H18">
        <f>IF(E18="","",IFERROR(VALUE(SUBSTITUTE('MSR RAW'!P18,",","")),0))</f>
        <v/>
      </c>
      <c r="I18">
        <f>IF(E18="","",IFERROR(VALUE(SUBSTITUTE('MSR RAW'!S18,",","")),0))</f>
        <v/>
      </c>
    </row>
    <row r="19" ht="68.65000000000001" customHeight="1" s="126">
      <c r="A19" t="n">
        <v>19</v>
      </c>
      <c r="B19" s="30">
        <f>IF('MSR RAW'!$A$3="","",'MSR RAW'!$A$3)</f>
        <v/>
      </c>
      <c r="C19">
        <f>IF(LEFT(TRIM('MSR RAW'!A19),11)="Department:",TRIM('MSR RAW'!A19),C18)</f>
        <v/>
      </c>
      <c r="D19">
        <f>IF(LEFT(TRIM('MSR RAW'!B19),9)="Location:",TRIM(MID('MSR RAW'!B19,10,999)),D18)</f>
        <v/>
      </c>
      <c r="E19">
        <f>IF(AND(ISNUMBER(SEARCH(" - ",TRIM('MSR RAW'!C19))),RIGHT(TRIM('MSR RAW'!C19),6)="Total:"),LEFT(TRIM('MSR RAW'!C19),SEARCH(" - ",TRIM('MSR RAW'!C19))-1),"")</f>
        <v/>
      </c>
      <c r="F19">
        <f>IF(E19="","",TRIM(MID(TRIM('MSR RAW'!C19),SEARCH(" - ",TRIM('MSR RAW'!C19))+3,LEN(TRIM('MSR RAW'!C19))-SEARCH(" - ",TRIM('MSR RAW'!C19))-9)))</f>
        <v/>
      </c>
      <c r="G19">
        <f>IF(E19="","",IFERROR(VLOOKUP(E19,'CATEGORY MAP'!$A$2:$B$20,2,FALSE()),"REVIEW"))</f>
        <v/>
      </c>
      <c r="H19">
        <f>IF(E19="","",IFERROR(VALUE(SUBSTITUTE('MSR RAW'!P19,",","")),0))</f>
        <v/>
      </c>
      <c r="I19">
        <f>IF(E19="","",IFERROR(VALUE(SUBSTITUTE('MSR RAW'!S19,",","")),0))</f>
        <v/>
      </c>
    </row>
    <row r="20" ht="68.65000000000001" customHeight="1" s="126">
      <c r="A20" t="n">
        <v>20</v>
      </c>
      <c r="B20" s="30">
        <f>IF('MSR RAW'!$A$3="","",'MSR RAW'!$A$3)</f>
        <v/>
      </c>
      <c r="C20">
        <f>IF(LEFT(TRIM('MSR RAW'!A20),11)="Department:",TRIM('MSR RAW'!A20),C19)</f>
        <v/>
      </c>
      <c r="D20">
        <f>IF(LEFT(TRIM('MSR RAW'!B20),9)="Location:",TRIM(MID('MSR RAW'!B20,10,999)),D19)</f>
        <v/>
      </c>
      <c r="E20">
        <f>IF(AND(ISNUMBER(SEARCH(" - ",TRIM('MSR RAW'!C20))),RIGHT(TRIM('MSR RAW'!C20),6)="Total:"),LEFT(TRIM('MSR RAW'!C20),SEARCH(" - ",TRIM('MSR RAW'!C20))-1),"")</f>
        <v/>
      </c>
      <c r="F20">
        <f>IF(E20="","",TRIM(MID(TRIM('MSR RAW'!C20),SEARCH(" - ",TRIM('MSR RAW'!C20))+3,LEN(TRIM('MSR RAW'!C20))-SEARCH(" - ",TRIM('MSR RAW'!C20))-9)))</f>
        <v/>
      </c>
      <c r="G20">
        <f>IF(E20="","",IFERROR(VLOOKUP(E20,'CATEGORY MAP'!$A$2:$B$20,2,FALSE()),"REVIEW"))</f>
        <v/>
      </c>
      <c r="H20">
        <f>IF(E20="","",IFERROR(VALUE(SUBSTITUTE('MSR RAW'!P20,",","")),0))</f>
        <v/>
      </c>
      <c r="I20">
        <f>IF(E20="","",IFERROR(VALUE(SUBSTITUTE('MSR RAW'!S20,",","")),0))</f>
        <v/>
      </c>
    </row>
    <row r="21" ht="68.65000000000001" customHeight="1" s="126">
      <c r="A21" t="n">
        <v>21</v>
      </c>
      <c r="B21" s="30">
        <f>IF('MSR RAW'!$A$3="","",'MSR RAW'!$A$3)</f>
        <v/>
      </c>
      <c r="C21">
        <f>IF(LEFT(TRIM('MSR RAW'!A21),11)="Department:",TRIM('MSR RAW'!A21),C20)</f>
        <v/>
      </c>
      <c r="D21">
        <f>IF(LEFT(TRIM('MSR RAW'!B21),9)="Location:",TRIM(MID('MSR RAW'!B21,10,999)),D20)</f>
        <v/>
      </c>
      <c r="E21">
        <f>IF(AND(ISNUMBER(SEARCH(" - ",TRIM('MSR RAW'!C21))),RIGHT(TRIM('MSR RAW'!C21),6)="Total:"),LEFT(TRIM('MSR RAW'!C21),SEARCH(" - ",TRIM('MSR RAW'!C21))-1),"")</f>
        <v/>
      </c>
      <c r="F21">
        <f>IF(E21="","",TRIM(MID(TRIM('MSR RAW'!C21),SEARCH(" - ",TRIM('MSR RAW'!C21))+3,LEN(TRIM('MSR RAW'!C21))-SEARCH(" - ",TRIM('MSR RAW'!C21))-9)))</f>
        <v/>
      </c>
      <c r="G21">
        <f>IF(E21="","",IFERROR(VLOOKUP(E21,'CATEGORY MAP'!$A$2:$B$20,2,FALSE()),"REVIEW"))</f>
        <v/>
      </c>
      <c r="H21">
        <f>IF(E21="","",IFERROR(VALUE(SUBSTITUTE('MSR RAW'!P21,",","")),0))</f>
        <v/>
      </c>
      <c r="I21">
        <f>IF(E21="","",IFERROR(VALUE(SUBSTITUTE('MSR RAW'!S21,",","")),0))</f>
        <v/>
      </c>
    </row>
    <row r="22" ht="68.65000000000001" customHeight="1" s="126">
      <c r="A22" t="n">
        <v>22</v>
      </c>
      <c r="B22" s="30">
        <f>IF('MSR RAW'!$A$3="","",'MSR RAW'!$A$3)</f>
        <v/>
      </c>
      <c r="C22">
        <f>IF(LEFT(TRIM('MSR RAW'!A22),11)="Department:",TRIM('MSR RAW'!A22),C21)</f>
        <v/>
      </c>
      <c r="D22">
        <f>IF(LEFT(TRIM('MSR RAW'!B22),9)="Location:",TRIM(MID('MSR RAW'!B22,10,999)),D21)</f>
        <v/>
      </c>
      <c r="E22">
        <f>IF(AND(ISNUMBER(SEARCH(" - ",TRIM('MSR RAW'!C22))),RIGHT(TRIM('MSR RAW'!C22),6)="Total:"),LEFT(TRIM('MSR RAW'!C22),SEARCH(" - ",TRIM('MSR RAW'!C22))-1),"")</f>
        <v/>
      </c>
      <c r="F22">
        <f>IF(E22="","",TRIM(MID(TRIM('MSR RAW'!C22),SEARCH(" - ",TRIM('MSR RAW'!C22))+3,LEN(TRIM('MSR RAW'!C22))-SEARCH(" - ",TRIM('MSR RAW'!C22))-9)))</f>
        <v/>
      </c>
      <c r="G22">
        <f>IF(E22="","",IFERROR(VLOOKUP(E22,'CATEGORY MAP'!$A$2:$B$20,2,FALSE()),"REVIEW"))</f>
        <v/>
      </c>
      <c r="H22">
        <f>IF(E22="","",IFERROR(VALUE(SUBSTITUTE('MSR RAW'!P22,",","")),0))</f>
        <v/>
      </c>
      <c r="I22">
        <f>IF(E22="","",IFERROR(VALUE(SUBSTITUTE('MSR RAW'!S22,",","")),0))</f>
        <v/>
      </c>
    </row>
    <row r="23" ht="68.65000000000001" customHeight="1" s="126">
      <c r="A23" t="n">
        <v>23</v>
      </c>
      <c r="B23" s="30">
        <f>IF('MSR RAW'!$A$3="","",'MSR RAW'!$A$3)</f>
        <v/>
      </c>
      <c r="C23">
        <f>IF(LEFT(TRIM('MSR RAW'!A23),11)="Department:",TRIM('MSR RAW'!A23),C22)</f>
        <v/>
      </c>
      <c r="D23">
        <f>IF(LEFT(TRIM('MSR RAW'!B23),9)="Location:",TRIM(MID('MSR RAW'!B23,10,999)),D22)</f>
        <v/>
      </c>
      <c r="E23">
        <f>IF(AND(ISNUMBER(SEARCH(" - ",TRIM('MSR RAW'!C23))),RIGHT(TRIM('MSR RAW'!C23),6)="Total:"),LEFT(TRIM('MSR RAW'!C23),SEARCH(" - ",TRIM('MSR RAW'!C23))-1),"")</f>
        <v/>
      </c>
      <c r="F23">
        <f>IF(E23="","",TRIM(MID(TRIM('MSR RAW'!C23),SEARCH(" - ",TRIM('MSR RAW'!C23))+3,LEN(TRIM('MSR RAW'!C23))-SEARCH(" - ",TRIM('MSR RAW'!C23))-9)))</f>
        <v/>
      </c>
      <c r="G23">
        <f>IF(E23="","",IFERROR(VLOOKUP(E23,'CATEGORY MAP'!$A$2:$B$20,2,FALSE()),"REVIEW"))</f>
        <v/>
      </c>
      <c r="H23">
        <f>IF(E23="","",IFERROR(VALUE(SUBSTITUTE('MSR RAW'!P23,",","")),0))</f>
        <v/>
      </c>
      <c r="I23">
        <f>IF(E23="","",IFERROR(VALUE(SUBSTITUTE('MSR RAW'!S23,",","")),0))</f>
        <v/>
      </c>
    </row>
    <row r="24" ht="68.65000000000001" customHeight="1" s="126">
      <c r="A24" t="n">
        <v>24</v>
      </c>
      <c r="B24" s="30">
        <f>IF('MSR RAW'!$A$3="","",'MSR RAW'!$A$3)</f>
        <v/>
      </c>
      <c r="C24">
        <f>IF(LEFT(TRIM('MSR RAW'!A24),11)="Department:",TRIM('MSR RAW'!A24),C23)</f>
        <v/>
      </c>
      <c r="D24">
        <f>IF(LEFT(TRIM('MSR RAW'!B24),9)="Location:",TRIM(MID('MSR RAW'!B24,10,999)),D23)</f>
        <v/>
      </c>
      <c r="E24">
        <f>IF(AND(ISNUMBER(SEARCH(" - ",TRIM('MSR RAW'!C24))),RIGHT(TRIM('MSR RAW'!C24),6)="Total:"),LEFT(TRIM('MSR RAW'!C24),SEARCH(" - ",TRIM('MSR RAW'!C24))-1),"")</f>
        <v/>
      </c>
      <c r="F24">
        <f>IF(E24="","",TRIM(MID(TRIM('MSR RAW'!C24),SEARCH(" - ",TRIM('MSR RAW'!C24))+3,LEN(TRIM('MSR RAW'!C24))-SEARCH(" - ",TRIM('MSR RAW'!C24))-9)))</f>
        <v/>
      </c>
      <c r="G24">
        <f>IF(E24="","",IFERROR(VLOOKUP(E24,'CATEGORY MAP'!$A$2:$B$20,2,FALSE()),"REVIEW"))</f>
        <v/>
      </c>
      <c r="H24">
        <f>IF(E24="","",IFERROR(VALUE(SUBSTITUTE('MSR RAW'!P24,",","")),0))</f>
        <v/>
      </c>
      <c r="I24">
        <f>IF(E24="","",IFERROR(VALUE(SUBSTITUTE('MSR RAW'!S24,",","")),0))</f>
        <v/>
      </c>
    </row>
    <row r="25" ht="68.65000000000001" customHeight="1" s="126">
      <c r="A25" t="n">
        <v>25</v>
      </c>
      <c r="B25" s="30">
        <f>IF('MSR RAW'!$A$3="","",'MSR RAW'!$A$3)</f>
        <v/>
      </c>
      <c r="C25">
        <f>IF(LEFT(TRIM('MSR RAW'!A25),11)="Department:",TRIM('MSR RAW'!A25),C24)</f>
        <v/>
      </c>
      <c r="D25">
        <f>IF(LEFT(TRIM('MSR RAW'!B25),9)="Location:",TRIM(MID('MSR RAW'!B25,10,999)),D24)</f>
        <v/>
      </c>
      <c r="E25">
        <f>IF(AND(ISNUMBER(SEARCH(" - ",TRIM('MSR RAW'!C25))),RIGHT(TRIM('MSR RAW'!C25),6)="Total:"),LEFT(TRIM('MSR RAW'!C25),SEARCH(" - ",TRIM('MSR RAW'!C25))-1),"")</f>
        <v/>
      </c>
      <c r="F25">
        <f>IF(E25="","",TRIM(MID(TRIM('MSR RAW'!C25),SEARCH(" - ",TRIM('MSR RAW'!C25))+3,LEN(TRIM('MSR RAW'!C25))-SEARCH(" - ",TRIM('MSR RAW'!C25))-9)))</f>
        <v/>
      </c>
      <c r="G25">
        <f>IF(E25="","",IFERROR(VLOOKUP(E25,'CATEGORY MAP'!$A$2:$B$20,2,FALSE()),"REVIEW"))</f>
        <v/>
      </c>
      <c r="H25">
        <f>IF(E25="","",IFERROR(VALUE(SUBSTITUTE('MSR RAW'!P25,",","")),0))</f>
        <v/>
      </c>
      <c r="I25">
        <f>IF(E25="","",IFERROR(VALUE(SUBSTITUTE('MSR RAW'!S25,",","")),0))</f>
        <v/>
      </c>
    </row>
    <row r="26" ht="68.65000000000001" customHeight="1" s="126">
      <c r="A26" t="n">
        <v>26</v>
      </c>
      <c r="B26" s="30">
        <f>IF('MSR RAW'!$A$3="","",'MSR RAW'!$A$3)</f>
        <v/>
      </c>
      <c r="C26">
        <f>IF(LEFT(TRIM('MSR RAW'!A26),11)="Department:",TRIM('MSR RAW'!A26),C25)</f>
        <v/>
      </c>
      <c r="D26">
        <f>IF(LEFT(TRIM('MSR RAW'!B26),9)="Location:",TRIM(MID('MSR RAW'!B26,10,999)),D25)</f>
        <v/>
      </c>
      <c r="E26">
        <f>IF(AND(ISNUMBER(SEARCH(" - ",TRIM('MSR RAW'!C26))),RIGHT(TRIM('MSR RAW'!C26),6)="Total:"),LEFT(TRIM('MSR RAW'!C26),SEARCH(" - ",TRIM('MSR RAW'!C26))-1),"")</f>
        <v/>
      </c>
      <c r="F26">
        <f>IF(E26="","",TRIM(MID(TRIM('MSR RAW'!C26),SEARCH(" - ",TRIM('MSR RAW'!C26))+3,LEN(TRIM('MSR RAW'!C26))-SEARCH(" - ",TRIM('MSR RAW'!C26))-9)))</f>
        <v/>
      </c>
      <c r="G26">
        <f>IF(E26="","",IFERROR(VLOOKUP(E26,'CATEGORY MAP'!$A$2:$B$20,2,FALSE()),"REVIEW"))</f>
        <v/>
      </c>
      <c r="H26">
        <f>IF(E26="","",IFERROR(VALUE(SUBSTITUTE('MSR RAW'!P26,",","")),0))</f>
        <v/>
      </c>
      <c r="I26">
        <f>IF(E26="","",IFERROR(VALUE(SUBSTITUTE('MSR RAW'!S26,",","")),0))</f>
        <v/>
      </c>
    </row>
    <row r="27" ht="68.65000000000001" customHeight="1" s="126">
      <c r="A27" t="n">
        <v>27</v>
      </c>
      <c r="B27" s="30">
        <f>IF('MSR RAW'!$A$3="","",'MSR RAW'!$A$3)</f>
        <v/>
      </c>
      <c r="C27">
        <f>IF(LEFT(TRIM('MSR RAW'!A27),11)="Department:",TRIM('MSR RAW'!A27),C26)</f>
        <v/>
      </c>
      <c r="D27">
        <f>IF(LEFT(TRIM('MSR RAW'!B27),9)="Location:",TRIM(MID('MSR RAW'!B27,10,999)),D26)</f>
        <v/>
      </c>
      <c r="E27">
        <f>IF(AND(ISNUMBER(SEARCH(" - ",TRIM('MSR RAW'!C27))),RIGHT(TRIM('MSR RAW'!C27),6)="Total:"),LEFT(TRIM('MSR RAW'!C27),SEARCH(" - ",TRIM('MSR RAW'!C27))-1),"")</f>
        <v/>
      </c>
      <c r="F27">
        <f>IF(E27="","",TRIM(MID(TRIM('MSR RAW'!C27),SEARCH(" - ",TRIM('MSR RAW'!C27))+3,LEN(TRIM('MSR RAW'!C27))-SEARCH(" - ",TRIM('MSR RAW'!C27))-9)))</f>
        <v/>
      </c>
      <c r="G27">
        <f>IF(E27="","",IFERROR(VLOOKUP(E27,'CATEGORY MAP'!$A$2:$B$20,2,FALSE()),"REVIEW"))</f>
        <v/>
      </c>
      <c r="H27">
        <f>IF(E27="","",IFERROR(VALUE(SUBSTITUTE('MSR RAW'!P27,",","")),0))</f>
        <v/>
      </c>
      <c r="I27">
        <f>IF(E27="","",IFERROR(VALUE(SUBSTITUTE('MSR RAW'!S27,",","")),0))</f>
        <v/>
      </c>
    </row>
    <row r="28" ht="68.65000000000001" customHeight="1" s="126">
      <c r="A28" t="n">
        <v>28</v>
      </c>
      <c r="B28" s="30">
        <f>IF('MSR RAW'!$A$3="","",'MSR RAW'!$A$3)</f>
        <v/>
      </c>
      <c r="C28">
        <f>IF(LEFT(TRIM('MSR RAW'!A28),11)="Department:",TRIM('MSR RAW'!A28),C27)</f>
        <v/>
      </c>
      <c r="D28">
        <f>IF(LEFT(TRIM('MSR RAW'!B28),9)="Location:",TRIM(MID('MSR RAW'!B28,10,999)),D27)</f>
        <v/>
      </c>
      <c r="E28">
        <f>IF(AND(ISNUMBER(SEARCH(" - ",TRIM('MSR RAW'!C28))),RIGHT(TRIM('MSR RAW'!C28),6)="Total:"),LEFT(TRIM('MSR RAW'!C28),SEARCH(" - ",TRIM('MSR RAW'!C28))-1),"")</f>
        <v/>
      </c>
      <c r="F28">
        <f>IF(E28="","",TRIM(MID(TRIM('MSR RAW'!C28),SEARCH(" - ",TRIM('MSR RAW'!C28))+3,LEN(TRIM('MSR RAW'!C28))-SEARCH(" - ",TRIM('MSR RAW'!C28))-9)))</f>
        <v/>
      </c>
      <c r="G28">
        <f>IF(E28="","",IFERROR(VLOOKUP(E28,'CATEGORY MAP'!$A$2:$B$20,2,FALSE()),"REVIEW"))</f>
        <v/>
      </c>
      <c r="H28">
        <f>IF(E28="","",IFERROR(VALUE(SUBSTITUTE('MSR RAW'!P28,",","")),0))</f>
        <v/>
      </c>
      <c r="I28">
        <f>IF(E28="","",IFERROR(VALUE(SUBSTITUTE('MSR RAW'!S28,",","")),0))</f>
        <v/>
      </c>
    </row>
    <row r="29" ht="68.65000000000001" customHeight="1" s="126">
      <c r="A29" t="n">
        <v>29</v>
      </c>
      <c r="B29" s="30">
        <f>IF('MSR RAW'!$A$3="","",'MSR RAW'!$A$3)</f>
        <v/>
      </c>
      <c r="C29">
        <f>IF(LEFT(TRIM('MSR RAW'!A29),11)="Department:",TRIM('MSR RAW'!A29),C28)</f>
        <v/>
      </c>
      <c r="D29">
        <f>IF(LEFT(TRIM('MSR RAW'!B29),9)="Location:",TRIM(MID('MSR RAW'!B29,10,999)),D28)</f>
        <v/>
      </c>
      <c r="E29">
        <f>IF(AND(ISNUMBER(SEARCH(" - ",TRIM('MSR RAW'!C29))),RIGHT(TRIM('MSR RAW'!C29),6)="Total:"),LEFT(TRIM('MSR RAW'!C29),SEARCH(" - ",TRIM('MSR RAW'!C29))-1),"")</f>
        <v/>
      </c>
      <c r="F29">
        <f>IF(E29="","",TRIM(MID(TRIM('MSR RAW'!C29),SEARCH(" - ",TRIM('MSR RAW'!C29))+3,LEN(TRIM('MSR RAW'!C29))-SEARCH(" - ",TRIM('MSR RAW'!C29))-9)))</f>
        <v/>
      </c>
      <c r="G29">
        <f>IF(E29="","",IFERROR(VLOOKUP(E29,'CATEGORY MAP'!$A$2:$B$20,2,FALSE()),"REVIEW"))</f>
        <v/>
      </c>
      <c r="H29">
        <f>IF(E29="","",IFERROR(VALUE(SUBSTITUTE('MSR RAW'!P29,",","")),0))</f>
        <v/>
      </c>
      <c r="I29">
        <f>IF(E29="","",IFERROR(VALUE(SUBSTITUTE('MSR RAW'!S29,",","")),0))</f>
        <v/>
      </c>
    </row>
    <row r="30" ht="68.65000000000001" customHeight="1" s="126">
      <c r="A30" t="n">
        <v>30</v>
      </c>
      <c r="B30" s="30">
        <f>IF('MSR RAW'!$A$3="","",'MSR RAW'!$A$3)</f>
        <v/>
      </c>
      <c r="C30">
        <f>IF(LEFT(TRIM('MSR RAW'!A30),11)="Department:",TRIM('MSR RAW'!A30),C29)</f>
        <v/>
      </c>
      <c r="D30">
        <f>IF(LEFT(TRIM('MSR RAW'!B30),9)="Location:",TRIM(MID('MSR RAW'!B30,10,999)),D29)</f>
        <v/>
      </c>
      <c r="E30">
        <f>IF(AND(ISNUMBER(SEARCH(" - ",TRIM('MSR RAW'!C30))),RIGHT(TRIM('MSR RAW'!C30),6)="Total:"),LEFT(TRIM('MSR RAW'!C30),SEARCH(" - ",TRIM('MSR RAW'!C30))-1),"")</f>
        <v/>
      </c>
      <c r="F30">
        <f>IF(E30="","",TRIM(MID(TRIM('MSR RAW'!C30),SEARCH(" - ",TRIM('MSR RAW'!C30))+3,LEN(TRIM('MSR RAW'!C30))-SEARCH(" - ",TRIM('MSR RAW'!C30))-9)))</f>
        <v/>
      </c>
      <c r="G30">
        <f>IF(E30="","",IFERROR(VLOOKUP(E30,'CATEGORY MAP'!$A$2:$B$20,2,FALSE()),"REVIEW"))</f>
        <v/>
      </c>
      <c r="H30">
        <f>IF(E30="","",IFERROR(VALUE(SUBSTITUTE('MSR RAW'!P30,",","")),0))</f>
        <v/>
      </c>
      <c r="I30">
        <f>IF(E30="","",IFERROR(VALUE(SUBSTITUTE('MSR RAW'!S30,",","")),0))</f>
        <v/>
      </c>
    </row>
    <row r="31" ht="68.65000000000001" customHeight="1" s="126">
      <c r="A31" t="n">
        <v>31</v>
      </c>
      <c r="B31" s="30">
        <f>IF('MSR RAW'!$A$3="","",'MSR RAW'!$A$3)</f>
        <v/>
      </c>
      <c r="C31">
        <f>IF(LEFT(TRIM('MSR RAW'!A31),11)="Department:",TRIM('MSR RAW'!A31),C30)</f>
        <v/>
      </c>
      <c r="D31">
        <f>IF(LEFT(TRIM('MSR RAW'!B31),9)="Location:",TRIM(MID('MSR RAW'!B31,10,999)),D30)</f>
        <v/>
      </c>
      <c r="E31">
        <f>IF(AND(ISNUMBER(SEARCH(" - ",TRIM('MSR RAW'!C31))),RIGHT(TRIM('MSR RAW'!C31),6)="Total:"),LEFT(TRIM('MSR RAW'!C31),SEARCH(" - ",TRIM('MSR RAW'!C31))-1),"")</f>
        <v/>
      </c>
      <c r="F31">
        <f>IF(E31="","",TRIM(MID(TRIM('MSR RAW'!C31),SEARCH(" - ",TRIM('MSR RAW'!C31))+3,LEN(TRIM('MSR RAW'!C31))-SEARCH(" - ",TRIM('MSR RAW'!C31))-9)))</f>
        <v/>
      </c>
      <c r="G31">
        <f>IF(E31="","",IFERROR(VLOOKUP(E31,'CATEGORY MAP'!$A$2:$B$20,2,FALSE()),"REVIEW"))</f>
        <v/>
      </c>
      <c r="H31">
        <f>IF(E31="","",IFERROR(VALUE(SUBSTITUTE('MSR RAW'!P31,",","")),0))</f>
        <v/>
      </c>
      <c r="I31">
        <f>IF(E31="","",IFERROR(VALUE(SUBSTITUTE('MSR RAW'!S31,",","")),0))</f>
        <v/>
      </c>
    </row>
    <row r="32" ht="68.65000000000001" customHeight="1" s="126">
      <c r="A32" t="n">
        <v>32</v>
      </c>
      <c r="B32" s="30">
        <f>IF('MSR RAW'!$A$3="","",'MSR RAW'!$A$3)</f>
        <v/>
      </c>
      <c r="C32">
        <f>IF(LEFT(TRIM('MSR RAW'!A32),11)="Department:",TRIM('MSR RAW'!A32),C31)</f>
        <v/>
      </c>
      <c r="D32">
        <f>IF(LEFT(TRIM('MSR RAW'!B32),9)="Location:",TRIM(MID('MSR RAW'!B32,10,999)),D31)</f>
        <v/>
      </c>
      <c r="E32">
        <f>IF(AND(ISNUMBER(SEARCH(" - ",TRIM('MSR RAW'!C32))),RIGHT(TRIM('MSR RAW'!C32),6)="Total:"),LEFT(TRIM('MSR RAW'!C32),SEARCH(" - ",TRIM('MSR RAW'!C32))-1),"")</f>
        <v/>
      </c>
      <c r="F32">
        <f>IF(E32="","",TRIM(MID(TRIM('MSR RAW'!C32),SEARCH(" - ",TRIM('MSR RAW'!C32))+3,LEN(TRIM('MSR RAW'!C32))-SEARCH(" - ",TRIM('MSR RAW'!C32))-9)))</f>
        <v/>
      </c>
      <c r="G32">
        <f>IF(E32="","",IFERROR(VLOOKUP(E32,'CATEGORY MAP'!$A$2:$B$20,2,FALSE()),"REVIEW"))</f>
        <v/>
      </c>
      <c r="H32">
        <f>IF(E32="","",IFERROR(VALUE(SUBSTITUTE('MSR RAW'!P32,",","")),0))</f>
        <v/>
      </c>
      <c r="I32">
        <f>IF(E32="","",IFERROR(VALUE(SUBSTITUTE('MSR RAW'!S32,",","")),0))</f>
        <v/>
      </c>
    </row>
    <row r="33" ht="68.65000000000001" customHeight="1" s="126">
      <c r="A33" t="n">
        <v>33</v>
      </c>
      <c r="B33" s="30">
        <f>IF('MSR RAW'!$A$3="","",'MSR RAW'!$A$3)</f>
        <v/>
      </c>
      <c r="C33">
        <f>IF(LEFT(TRIM('MSR RAW'!A33),11)="Department:",TRIM('MSR RAW'!A33),C32)</f>
        <v/>
      </c>
      <c r="D33">
        <f>IF(LEFT(TRIM('MSR RAW'!B33),9)="Location:",TRIM(MID('MSR RAW'!B33,10,999)),D32)</f>
        <v/>
      </c>
      <c r="E33">
        <f>IF(AND(ISNUMBER(SEARCH(" - ",TRIM('MSR RAW'!C33))),RIGHT(TRIM('MSR RAW'!C33),6)="Total:"),LEFT(TRIM('MSR RAW'!C33),SEARCH(" - ",TRIM('MSR RAW'!C33))-1),"")</f>
        <v/>
      </c>
      <c r="F33">
        <f>IF(E33="","",TRIM(MID(TRIM('MSR RAW'!C33),SEARCH(" - ",TRIM('MSR RAW'!C33))+3,LEN(TRIM('MSR RAW'!C33))-SEARCH(" - ",TRIM('MSR RAW'!C33))-9)))</f>
        <v/>
      </c>
      <c r="G33">
        <f>IF(E33="","",IFERROR(VLOOKUP(E33,'CATEGORY MAP'!$A$2:$B$20,2,FALSE()),"REVIEW"))</f>
        <v/>
      </c>
      <c r="H33">
        <f>IF(E33="","",IFERROR(VALUE(SUBSTITUTE('MSR RAW'!P33,",","")),0))</f>
        <v/>
      </c>
      <c r="I33">
        <f>IF(E33="","",IFERROR(VALUE(SUBSTITUTE('MSR RAW'!S33,",","")),0))</f>
        <v/>
      </c>
    </row>
    <row r="34" ht="68.65000000000001" customHeight="1" s="126">
      <c r="A34" t="n">
        <v>34</v>
      </c>
      <c r="B34" s="30">
        <f>IF('MSR RAW'!$A$3="","",'MSR RAW'!$A$3)</f>
        <v/>
      </c>
      <c r="C34">
        <f>IF(LEFT(TRIM('MSR RAW'!A34),11)="Department:",TRIM('MSR RAW'!A34),C33)</f>
        <v/>
      </c>
      <c r="D34">
        <f>IF(LEFT(TRIM('MSR RAW'!B34),9)="Location:",TRIM(MID('MSR RAW'!B34,10,999)),D33)</f>
        <v/>
      </c>
      <c r="E34">
        <f>IF(AND(ISNUMBER(SEARCH(" - ",TRIM('MSR RAW'!C34))),RIGHT(TRIM('MSR RAW'!C34),6)="Total:"),LEFT(TRIM('MSR RAW'!C34),SEARCH(" - ",TRIM('MSR RAW'!C34))-1),"")</f>
        <v/>
      </c>
      <c r="F34">
        <f>IF(E34="","",TRIM(MID(TRIM('MSR RAW'!C34),SEARCH(" - ",TRIM('MSR RAW'!C34))+3,LEN(TRIM('MSR RAW'!C34))-SEARCH(" - ",TRIM('MSR RAW'!C34))-9)))</f>
        <v/>
      </c>
      <c r="G34">
        <f>IF(E34="","",IFERROR(VLOOKUP(E34,'CATEGORY MAP'!$A$2:$B$20,2,FALSE()),"REVIEW"))</f>
        <v/>
      </c>
      <c r="H34">
        <f>IF(E34="","",IFERROR(VALUE(SUBSTITUTE('MSR RAW'!P34,",","")),0))</f>
        <v/>
      </c>
      <c r="I34">
        <f>IF(E34="","",IFERROR(VALUE(SUBSTITUTE('MSR RAW'!S34,",","")),0))</f>
        <v/>
      </c>
    </row>
    <row r="35" ht="68.65000000000001" customHeight="1" s="126">
      <c r="A35" t="n">
        <v>35</v>
      </c>
      <c r="B35" s="30">
        <f>IF('MSR RAW'!$A$3="","",'MSR RAW'!$A$3)</f>
        <v/>
      </c>
      <c r="C35">
        <f>IF(LEFT(TRIM('MSR RAW'!A35),11)="Department:",TRIM('MSR RAW'!A35),C34)</f>
        <v/>
      </c>
      <c r="D35">
        <f>IF(LEFT(TRIM('MSR RAW'!B35),9)="Location:",TRIM(MID('MSR RAW'!B35,10,999)),D34)</f>
        <v/>
      </c>
      <c r="E35">
        <f>IF(AND(ISNUMBER(SEARCH(" - ",TRIM('MSR RAW'!C35))),RIGHT(TRIM('MSR RAW'!C35),6)="Total:"),LEFT(TRIM('MSR RAW'!C35),SEARCH(" - ",TRIM('MSR RAW'!C35))-1),"")</f>
        <v/>
      </c>
      <c r="F35">
        <f>IF(E35="","",TRIM(MID(TRIM('MSR RAW'!C35),SEARCH(" - ",TRIM('MSR RAW'!C35))+3,LEN(TRIM('MSR RAW'!C35))-SEARCH(" - ",TRIM('MSR RAW'!C35))-9)))</f>
        <v/>
      </c>
      <c r="G35">
        <f>IF(E35="","",IFERROR(VLOOKUP(E35,'CATEGORY MAP'!$A$2:$B$20,2,FALSE()),"REVIEW"))</f>
        <v/>
      </c>
      <c r="H35">
        <f>IF(E35="","",IFERROR(VALUE(SUBSTITUTE('MSR RAW'!P35,",","")),0))</f>
        <v/>
      </c>
      <c r="I35">
        <f>IF(E35="","",IFERROR(VALUE(SUBSTITUTE('MSR RAW'!S35,",","")),0))</f>
        <v/>
      </c>
    </row>
    <row r="36" ht="68.65000000000001" customHeight="1" s="126">
      <c r="A36" t="n">
        <v>36</v>
      </c>
      <c r="B36" s="30">
        <f>IF('MSR RAW'!$A$3="","",'MSR RAW'!$A$3)</f>
        <v/>
      </c>
      <c r="C36">
        <f>IF(LEFT(TRIM('MSR RAW'!A36),11)="Department:",TRIM('MSR RAW'!A36),C35)</f>
        <v/>
      </c>
      <c r="D36">
        <f>IF(LEFT(TRIM('MSR RAW'!B36),9)="Location:",TRIM(MID('MSR RAW'!B36,10,999)),D35)</f>
        <v/>
      </c>
      <c r="E36">
        <f>IF(AND(ISNUMBER(SEARCH(" - ",TRIM('MSR RAW'!C36))),RIGHT(TRIM('MSR RAW'!C36),6)="Total:"),LEFT(TRIM('MSR RAW'!C36),SEARCH(" - ",TRIM('MSR RAW'!C36))-1),"")</f>
        <v/>
      </c>
      <c r="F36">
        <f>IF(E36="","",TRIM(MID(TRIM('MSR RAW'!C36),SEARCH(" - ",TRIM('MSR RAW'!C36))+3,LEN(TRIM('MSR RAW'!C36))-SEARCH(" - ",TRIM('MSR RAW'!C36))-9)))</f>
        <v/>
      </c>
      <c r="G36">
        <f>IF(E36="","",IFERROR(VLOOKUP(E36,'CATEGORY MAP'!$A$2:$B$20,2,FALSE()),"REVIEW"))</f>
        <v/>
      </c>
      <c r="H36">
        <f>IF(E36="","",IFERROR(VALUE(SUBSTITUTE('MSR RAW'!P36,",","")),0))</f>
        <v/>
      </c>
      <c r="I36">
        <f>IF(E36="","",IFERROR(VALUE(SUBSTITUTE('MSR RAW'!S36,",","")),0))</f>
        <v/>
      </c>
    </row>
    <row r="37" ht="68.65000000000001" customHeight="1" s="126">
      <c r="A37" t="n">
        <v>37</v>
      </c>
      <c r="B37" s="30">
        <f>IF('MSR RAW'!$A$3="","",'MSR RAW'!$A$3)</f>
        <v/>
      </c>
      <c r="C37">
        <f>IF(LEFT(TRIM('MSR RAW'!A37),11)="Department:",TRIM('MSR RAW'!A37),C36)</f>
        <v/>
      </c>
      <c r="D37">
        <f>IF(LEFT(TRIM('MSR RAW'!B37),9)="Location:",TRIM(MID('MSR RAW'!B37,10,999)),D36)</f>
        <v/>
      </c>
      <c r="E37">
        <f>IF(AND(ISNUMBER(SEARCH(" - ",TRIM('MSR RAW'!C37))),RIGHT(TRIM('MSR RAW'!C37),6)="Total:"),LEFT(TRIM('MSR RAW'!C37),SEARCH(" - ",TRIM('MSR RAW'!C37))-1),"")</f>
        <v/>
      </c>
      <c r="F37">
        <f>IF(E37="","",TRIM(MID(TRIM('MSR RAW'!C37),SEARCH(" - ",TRIM('MSR RAW'!C37))+3,LEN(TRIM('MSR RAW'!C37))-SEARCH(" - ",TRIM('MSR RAW'!C37))-9)))</f>
        <v/>
      </c>
      <c r="G37">
        <f>IF(E37="","",IFERROR(VLOOKUP(E37,'CATEGORY MAP'!$A$2:$B$20,2,FALSE()),"REVIEW"))</f>
        <v/>
      </c>
      <c r="H37">
        <f>IF(E37="","",IFERROR(VALUE(SUBSTITUTE('MSR RAW'!P37,",","")),0))</f>
        <v/>
      </c>
      <c r="I37">
        <f>IF(E37="","",IFERROR(VALUE(SUBSTITUTE('MSR RAW'!S37,",","")),0))</f>
        <v/>
      </c>
    </row>
    <row r="38" ht="68.65000000000001" customHeight="1" s="126">
      <c r="A38" t="n">
        <v>38</v>
      </c>
      <c r="B38" s="30">
        <f>IF('MSR RAW'!$A$3="","",'MSR RAW'!$A$3)</f>
        <v/>
      </c>
      <c r="C38">
        <f>IF(LEFT(TRIM('MSR RAW'!A38),11)="Department:",TRIM('MSR RAW'!A38),C37)</f>
        <v/>
      </c>
      <c r="D38">
        <f>IF(LEFT(TRIM('MSR RAW'!B38),9)="Location:",TRIM(MID('MSR RAW'!B38,10,999)),D37)</f>
        <v/>
      </c>
      <c r="E38">
        <f>IF(AND(ISNUMBER(SEARCH(" - ",TRIM('MSR RAW'!C38))),RIGHT(TRIM('MSR RAW'!C38),6)="Total:"),LEFT(TRIM('MSR RAW'!C38),SEARCH(" - ",TRIM('MSR RAW'!C38))-1),"")</f>
        <v/>
      </c>
      <c r="F38">
        <f>IF(E38="","",TRIM(MID(TRIM('MSR RAW'!C38),SEARCH(" - ",TRIM('MSR RAW'!C38))+3,LEN(TRIM('MSR RAW'!C38))-SEARCH(" - ",TRIM('MSR RAW'!C38))-9)))</f>
        <v/>
      </c>
      <c r="G38">
        <f>IF(E38="","",IFERROR(VLOOKUP(E38,'CATEGORY MAP'!$A$2:$B$20,2,FALSE()),"REVIEW"))</f>
        <v/>
      </c>
      <c r="H38">
        <f>IF(E38="","",IFERROR(VALUE(SUBSTITUTE('MSR RAW'!P38,",","")),0))</f>
        <v/>
      </c>
      <c r="I38">
        <f>IF(E38="","",IFERROR(VALUE(SUBSTITUTE('MSR RAW'!S38,",","")),0))</f>
        <v/>
      </c>
    </row>
    <row r="39" ht="68.65000000000001" customHeight="1" s="126">
      <c r="A39" t="n">
        <v>39</v>
      </c>
      <c r="B39" s="30">
        <f>IF('MSR RAW'!$A$3="","",'MSR RAW'!$A$3)</f>
        <v/>
      </c>
      <c r="C39">
        <f>IF(LEFT(TRIM('MSR RAW'!A39),11)="Department:",TRIM('MSR RAW'!A39),C38)</f>
        <v/>
      </c>
      <c r="D39">
        <f>IF(LEFT(TRIM('MSR RAW'!B39),9)="Location:",TRIM(MID('MSR RAW'!B39,10,999)),D38)</f>
        <v/>
      </c>
      <c r="E39">
        <f>IF(AND(ISNUMBER(SEARCH(" - ",TRIM('MSR RAW'!C39))),RIGHT(TRIM('MSR RAW'!C39),6)="Total:"),LEFT(TRIM('MSR RAW'!C39),SEARCH(" - ",TRIM('MSR RAW'!C39))-1),"")</f>
        <v/>
      </c>
      <c r="F39">
        <f>IF(E39="","",TRIM(MID(TRIM('MSR RAW'!C39),SEARCH(" - ",TRIM('MSR RAW'!C39))+3,LEN(TRIM('MSR RAW'!C39))-SEARCH(" - ",TRIM('MSR RAW'!C39))-9)))</f>
        <v/>
      </c>
      <c r="G39">
        <f>IF(E39="","",IFERROR(VLOOKUP(E39,'CATEGORY MAP'!$A$2:$B$20,2,FALSE()),"REVIEW"))</f>
        <v/>
      </c>
      <c r="H39">
        <f>IF(E39="","",IFERROR(VALUE(SUBSTITUTE('MSR RAW'!P39,",","")),0))</f>
        <v/>
      </c>
      <c r="I39">
        <f>IF(E39="","",IFERROR(VALUE(SUBSTITUTE('MSR RAW'!S39,",","")),0))</f>
        <v/>
      </c>
    </row>
    <row r="40" ht="68.65000000000001" customHeight="1" s="126">
      <c r="A40" t="n">
        <v>40</v>
      </c>
      <c r="B40" s="30">
        <f>IF('MSR RAW'!$A$3="","",'MSR RAW'!$A$3)</f>
        <v/>
      </c>
      <c r="C40">
        <f>IF(LEFT(TRIM('MSR RAW'!A40),11)="Department:",TRIM('MSR RAW'!A40),C39)</f>
        <v/>
      </c>
      <c r="D40">
        <f>IF(LEFT(TRIM('MSR RAW'!B40),9)="Location:",TRIM(MID('MSR RAW'!B40,10,999)),D39)</f>
        <v/>
      </c>
      <c r="E40">
        <f>IF(AND(ISNUMBER(SEARCH(" - ",TRIM('MSR RAW'!C40))),RIGHT(TRIM('MSR RAW'!C40),6)="Total:"),LEFT(TRIM('MSR RAW'!C40),SEARCH(" - ",TRIM('MSR RAW'!C40))-1),"")</f>
        <v/>
      </c>
      <c r="F40">
        <f>IF(E40="","",TRIM(MID(TRIM('MSR RAW'!C40),SEARCH(" - ",TRIM('MSR RAW'!C40))+3,LEN(TRIM('MSR RAW'!C40))-SEARCH(" - ",TRIM('MSR RAW'!C40))-9)))</f>
        <v/>
      </c>
      <c r="G40">
        <f>IF(E40="","",IFERROR(VLOOKUP(E40,'CATEGORY MAP'!$A$2:$B$20,2,FALSE()),"REVIEW"))</f>
        <v/>
      </c>
      <c r="H40">
        <f>IF(E40="","",IFERROR(VALUE(SUBSTITUTE('MSR RAW'!P40,",","")),0))</f>
        <v/>
      </c>
      <c r="I40">
        <f>IF(E40="","",IFERROR(VALUE(SUBSTITUTE('MSR RAW'!S40,",","")),0))</f>
        <v/>
      </c>
    </row>
    <row r="41" ht="68.65000000000001" customHeight="1" s="126">
      <c r="A41" t="n">
        <v>41</v>
      </c>
      <c r="B41" s="30">
        <f>IF('MSR RAW'!$A$3="","",'MSR RAW'!$A$3)</f>
        <v/>
      </c>
      <c r="C41">
        <f>IF(LEFT(TRIM('MSR RAW'!A41),11)="Department:",TRIM('MSR RAW'!A41),C40)</f>
        <v/>
      </c>
      <c r="D41">
        <f>IF(LEFT(TRIM('MSR RAW'!B41),9)="Location:",TRIM(MID('MSR RAW'!B41,10,999)),D40)</f>
        <v/>
      </c>
      <c r="E41">
        <f>IF(AND(ISNUMBER(SEARCH(" - ",TRIM('MSR RAW'!C41))),RIGHT(TRIM('MSR RAW'!C41),6)="Total:"),LEFT(TRIM('MSR RAW'!C41),SEARCH(" - ",TRIM('MSR RAW'!C41))-1),"")</f>
        <v/>
      </c>
      <c r="F41">
        <f>IF(E41="","",TRIM(MID(TRIM('MSR RAW'!C41),SEARCH(" - ",TRIM('MSR RAW'!C41))+3,LEN(TRIM('MSR RAW'!C41))-SEARCH(" - ",TRIM('MSR RAW'!C41))-9)))</f>
        <v/>
      </c>
      <c r="G41">
        <f>IF(E41="","",IFERROR(VLOOKUP(E41,'CATEGORY MAP'!$A$2:$B$20,2,FALSE()),"REVIEW"))</f>
        <v/>
      </c>
      <c r="H41">
        <f>IF(E41="","",IFERROR(VALUE(SUBSTITUTE('MSR RAW'!P41,",","")),0))</f>
        <v/>
      </c>
      <c r="I41">
        <f>IF(E41="","",IFERROR(VALUE(SUBSTITUTE('MSR RAW'!S41,",","")),0))</f>
        <v/>
      </c>
    </row>
    <row r="42" ht="68.65000000000001" customHeight="1" s="126">
      <c r="A42" t="n">
        <v>42</v>
      </c>
      <c r="B42" s="30">
        <f>IF('MSR RAW'!$A$3="","",'MSR RAW'!$A$3)</f>
        <v/>
      </c>
      <c r="C42">
        <f>IF(LEFT(TRIM('MSR RAW'!A42),11)="Department:",TRIM('MSR RAW'!A42),C41)</f>
        <v/>
      </c>
      <c r="D42">
        <f>IF(LEFT(TRIM('MSR RAW'!B42),9)="Location:",TRIM(MID('MSR RAW'!B42,10,999)),D41)</f>
        <v/>
      </c>
      <c r="E42">
        <f>IF(AND(ISNUMBER(SEARCH(" - ",TRIM('MSR RAW'!C42))),RIGHT(TRIM('MSR RAW'!C42),6)="Total:"),LEFT(TRIM('MSR RAW'!C42),SEARCH(" - ",TRIM('MSR RAW'!C42))-1),"")</f>
        <v/>
      </c>
      <c r="F42">
        <f>IF(E42="","",TRIM(MID(TRIM('MSR RAW'!C42),SEARCH(" - ",TRIM('MSR RAW'!C42))+3,LEN(TRIM('MSR RAW'!C42))-SEARCH(" - ",TRIM('MSR RAW'!C42))-9)))</f>
        <v/>
      </c>
      <c r="G42">
        <f>IF(E42="","",IFERROR(VLOOKUP(E42,'CATEGORY MAP'!$A$2:$B$20,2,FALSE()),"REVIEW"))</f>
        <v/>
      </c>
      <c r="H42">
        <f>IF(E42="","",IFERROR(VALUE(SUBSTITUTE('MSR RAW'!P42,",","")),0))</f>
        <v/>
      </c>
      <c r="I42">
        <f>IF(E42="","",IFERROR(VALUE(SUBSTITUTE('MSR RAW'!S42,",","")),0))</f>
        <v/>
      </c>
    </row>
    <row r="43" ht="68.65000000000001" customHeight="1" s="126">
      <c r="A43" t="n">
        <v>43</v>
      </c>
      <c r="B43" s="30">
        <f>IF('MSR RAW'!$A$3="","",'MSR RAW'!$A$3)</f>
        <v/>
      </c>
      <c r="C43">
        <f>IF(LEFT(TRIM('MSR RAW'!A43),11)="Department:",TRIM('MSR RAW'!A43),C42)</f>
        <v/>
      </c>
      <c r="D43">
        <f>IF(LEFT(TRIM('MSR RAW'!B43),9)="Location:",TRIM(MID('MSR RAW'!B43,10,999)),D42)</f>
        <v/>
      </c>
      <c r="E43">
        <f>IF(AND(ISNUMBER(SEARCH(" - ",TRIM('MSR RAW'!C43))),RIGHT(TRIM('MSR RAW'!C43),6)="Total:"),LEFT(TRIM('MSR RAW'!C43),SEARCH(" - ",TRIM('MSR RAW'!C43))-1),"")</f>
        <v/>
      </c>
      <c r="F43">
        <f>IF(E43="","",TRIM(MID(TRIM('MSR RAW'!C43),SEARCH(" - ",TRIM('MSR RAW'!C43))+3,LEN(TRIM('MSR RAW'!C43))-SEARCH(" - ",TRIM('MSR RAW'!C43))-9)))</f>
        <v/>
      </c>
      <c r="G43">
        <f>IF(E43="","",IFERROR(VLOOKUP(E43,'CATEGORY MAP'!$A$2:$B$20,2,FALSE()),"REVIEW"))</f>
        <v/>
      </c>
      <c r="H43">
        <f>IF(E43="","",IFERROR(VALUE(SUBSTITUTE('MSR RAW'!P43,",","")),0))</f>
        <v/>
      </c>
      <c r="I43">
        <f>IF(E43="","",IFERROR(VALUE(SUBSTITUTE('MSR RAW'!S43,",","")),0))</f>
        <v/>
      </c>
    </row>
    <row r="44" ht="68.65000000000001" customHeight="1" s="126">
      <c r="A44" t="n">
        <v>44</v>
      </c>
      <c r="B44" s="30">
        <f>IF('MSR RAW'!$A$3="","",'MSR RAW'!$A$3)</f>
        <v/>
      </c>
      <c r="C44">
        <f>IF(LEFT(TRIM('MSR RAW'!A44),11)="Department:",TRIM('MSR RAW'!A44),C43)</f>
        <v/>
      </c>
      <c r="D44">
        <f>IF(LEFT(TRIM('MSR RAW'!B44),9)="Location:",TRIM(MID('MSR RAW'!B44,10,999)),D43)</f>
        <v/>
      </c>
      <c r="E44">
        <f>IF(AND(ISNUMBER(SEARCH(" - ",TRIM('MSR RAW'!C44))),RIGHT(TRIM('MSR RAW'!C44),6)="Total:"),LEFT(TRIM('MSR RAW'!C44),SEARCH(" - ",TRIM('MSR RAW'!C44))-1),"")</f>
        <v/>
      </c>
      <c r="F44">
        <f>IF(E44="","",TRIM(MID(TRIM('MSR RAW'!C44),SEARCH(" - ",TRIM('MSR RAW'!C44))+3,LEN(TRIM('MSR RAW'!C44))-SEARCH(" - ",TRIM('MSR RAW'!C44))-9)))</f>
        <v/>
      </c>
      <c r="G44">
        <f>IF(E44="","",IFERROR(VLOOKUP(E44,'CATEGORY MAP'!$A$2:$B$20,2,FALSE()),"REVIEW"))</f>
        <v/>
      </c>
      <c r="H44">
        <f>IF(E44="","",IFERROR(VALUE(SUBSTITUTE('MSR RAW'!P44,",","")),0))</f>
        <v/>
      </c>
      <c r="I44">
        <f>IF(E44="","",IFERROR(VALUE(SUBSTITUTE('MSR RAW'!S44,",","")),0))</f>
        <v/>
      </c>
    </row>
    <row r="45" ht="68.65000000000001" customHeight="1" s="126">
      <c r="A45" t="n">
        <v>45</v>
      </c>
      <c r="B45" s="30">
        <f>IF('MSR RAW'!$A$3="","",'MSR RAW'!$A$3)</f>
        <v/>
      </c>
      <c r="C45">
        <f>IF(LEFT(TRIM('MSR RAW'!A45),11)="Department:",TRIM('MSR RAW'!A45),C44)</f>
        <v/>
      </c>
      <c r="D45">
        <f>IF(LEFT(TRIM('MSR RAW'!B45),9)="Location:",TRIM(MID('MSR RAW'!B45,10,999)),D44)</f>
        <v/>
      </c>
      <c r="E45">
        <f>IF(AND(ISNUMBER(SEARCH(" - ",TRIM('MSR RAW'!C45))),RIGHT(TRIM('MSR RAW'!C45),6)="Total:"),LEFT(TRIM('MSR RAW'!C45),SEARCH(" - ",TRIM('MSR RAW'!C45))-1),"")</f>
        <v/>
      </c>
      <c r="F45">
        <f>IF(E45="","",TRIM(MID(TRIM('MSR RAW'!C45),SEARCH(" - ",TRIM('MSR RAW'!C45))+3,LEN(TRIM('MSR RAW'!C45))-SEARCH(" - ",TRIM('MSR RAW'!C45))-9)))</f>
        <v/>
      </c>
      <c r="G45">
        <f>IF(E45="","",IFERROR(VLOOKUP(E45,'CATEGORY MAP'!$A$2:$B$20,2,FALSE()),"REVIEW"))</f>
        <v/>
      </c>
      <c r="H45">
        <f>IF(E45="","",IFERROR(VALUE(SUBSTITUTE('MSR RAW'!P45,",","")),0))</f>
        <v/>
      </c>
      <c r="I45">
        <f>IF(E45="","",IFERROR(VALUE(SUBSTITUTE('MSR RAW'!S45,",","")),0))</f>
        <v/>
      </c>
    </row>
    <row r="46" ht="68.65000000000001" customHeight="1" s="126">
      <c r="A46" t="n">
        <v>46</v>
      </c>
      <c r="B46" s="30">
        <f>IF('MSR RAW'!$A$3="","",'MSR RAW'!$A$3)</f>
        <v/>
      </c>
      <c r="C46">
        <f>IF(LEFT(TRIM('MSR RAW'!A46),11)="Department:",TRIM('MSR RAW'!A46),C45)</f>
        <v/>
      </c>
      <c r="D46">
        <f>IF(LEFT(TRIM('MSR RAW'!B46),9)="Location:",TRIM(MID('MSR RAW'!B46,10,999)),D45)</f>
        <v/>
      </c>
      <c r="E46">
        <f>IF(AND(ISNUMBER(SEARCH(" - ",TRIM('MSR RAW'!C46))),RIGHT(TRIM('MSR RAW'!C46),6)="Total:"),LEFT(TRIM('MSR RAW'!C46),SEARCH(" - ",TRIM('MSR RAW'!C46))-1),"")</f>
        <v/>
      </c>
      <c r="F46">
        <f>IF(E46="","",TRIM(MID(TRIM('MSR RAW'!C46),SEARCH(" - ",TRIM('MSR RAW'!C46))+3,LEN(TRIM('MSR RAW'!C46))-SEARCH(" - ",TRIM('MSR RAW'!C46))-9)))</f>
        <v/>
      </c>
      <c r="G46">
        <f>IF(E46="","",IFERROR(VLOOKUP(E46,'CATEGORY MAP'!$A$2:$B$20,2,FALSE()),"REVIEW"))</f>
        <v/>
      </c>
      <c r="H46">
        <f>IF(E46="","",IFERROR(VALUE(SUBSTITUTE('MSR RAW'!P46,",","")),0))</f>
        <v/>
      </c>
      <c r="I46">
        <f>IF(E46="","",IFERROR(VALUE(SUBSTITUTE('MSR RAW'!S46,",","")),0))</f>
        <v/>
      </c>
    </row>
    <row r="47" ht="68.65000000000001" customHeight="1" s="126">
      <c r="A47" t="n">
        <v>47</v>
      </c>
      <c r="B47" s="30">
        <f>IF('MSR RAW'!$A$3="","",'MSR RAW'!$A$3)</f>
        <v/>
      </c>
      <c r="C47">
        <f>IF(LEFT(TRIM('MSR RAW'!A47),11)="Department:",TRIM('MSR RAW'!A47),C46)</f>
        <v/>
      </c>
      <c r="D47">
        <f>IF(LEFT(TRIM('MSR RAW'!B47),9)="Location:",TRIM(MID('MSR RAW'!B47,10,999)),D46)</f>
        <v/>
      </c>
      <c r="E47">
        <f>IF(AND(ISNUMBER(SEARCH(" - ",TRIM('MSR RAW'!C47))),RIGHT(TRIM('MSR RAW'!C47),6)="Total:"),LEFT(TRIM('MSR RAW'!C47),SEARCH(" - ",TRIM('MSR RAW'!C47))-1),"")</f>
        <v/>
      </c>
      <c r="F47">
        <f>IF(E47="","",TRIM(MID(TRIM('MSR RAW'!C47),SEARCH(" - ",TRIM('MSR RAW'!C47))+3,LEN(TRIM('MSR RAW'!C47))-SEARCH(" - ",TRIM('MSR RAW'!C47))-9)))</f>
        <v/>
      </c>
      <c r="G47">
        <f>IF(E47="","",IFERROR(VLOOKUP(E47,'CATEGORY MAP'!$A$2:$B$20,2,FALSE()),"REVIEW"))</f>
        <v/>
      </c>
      <c r="H47">
        <f>IF(E47="","",IFERROR(VALUE(SUBSTITUTE('MSR RAW'!P47,",","")),0))</f>
        <v/>
      </c>
      <c r="I47">
        <f>IF(E47="","",IFERROR(VALUE(SUBSTITUTE('MSR RAW'!S47,",","")),0))</f>
        <v/>
      </c>
    </row>
    <row r="48" ht="68.65000000000001" customHeight="1" s="126">
      <c r="A48" t="n">
        <v>48</v>
      </c>
      <c r="B48" s="30">
        <f>IF('MSR RAW'!$A$3="","",'MSR RAW'!$A$3)</f>
        <v/>
      </c>
      <c r="C48">
        <f>IF(LEFT(TRIM('MSR RAW'!A48),11)="Department:",TRIM('MSR RAW'!A48),C47)</f>
        <v/>
      </c>
      <c r="D48">
        <f>IF(LEFT(TRIM('MSR RAW'!B48),9)="Location:",TRIM(MID('MSR RAW'!B48,10,999)),D47)</f>
        <v/>
      </c>
      <c r="E48">
        <f>IF(AND(ISNUMBER(SEARCH(" - ",TRIM('MSR RAW'!C48))),RIGHT(TRIM('MSR RAW'!C48),6)="Total:"),LEFT(TRIM('MSR RAW'!C48),SEARCH(" - ",TRIM('MSR RAW'!C48))-1),"")</f>
        <v/>
      </c>
      <c r="F48">
        <f>IF(E48="","",TRIM(MID(TRIM('MSR RAW'!C48),SEARCH(" - ",TRIM('MSR RAW'!C48))+3,LEN(TRIM('MSR RAW'!C48))-SEARCH(" - ",TRIM('MSR RAW'!C48))-9)))</f>
        <v/>
      </c>
      <c r="G48">
        <f>IF(E48="","",IFERROR(VLOOKUP(E48,'CATEGORY MAP'!$A$2:$B$20,2,FALSE()),"REVIEW"))</f>
        <v/>
      </c>
      <c r="H48">
        <f>IF(E48="","",IFERROR(VALUE(SUBSTITUTE('MSR RAW'!P48,",","")),0))</f>
        <v/>
      </c>
      <c r="I48">
        <f>IF(E48="","",IFERROR(VALUE(SUBSTITUTE('MSR RAW'!S48,",","")),0))</f>
        <v/>
      </c>
    </row>
    <row r="49" ht="68.65000000000001" customHeight="1" s="126">
      <c r="A49" t="n">
        <v>49</v>
      </c>
      <c r="B49" s="30">
        <f>IF('MSR RAW'!$A$3="","",'MSR RAW'!$A$3)</f>
        <v/>
      </c>
      <c r="C49">
        <f>IF(LEFT(TRIM('MSR RAW'!A49),11)="Department:",TRIM('MSR RAW'!A49),C48)</f>
        <v/>
      </c>
      <c r="D49">
        <f>IF(LEFT(TRIM('MSR RAW'!B49),9)="Location:",TRIM(MID('MSR RAW'!B49,10,999)),D48)</f>
        <v/>
      </c>
      <c r="E49">
        <f>IF(AND(ISNUMBER(SEARCH(" - ",TRIM('MSR RAW'!C49))),RIGHT(TRIM('MSR RAW'!C49),6)="Total:"),LEFT(TRIM('MSR RAW'!C49),SEARCH(" - ",TRIM('MSR RAW'!C49))-1),"")</f>
        <v/>
      </c>
      <c r="F49">
        <f>IF(E49="","",TRIM(MID(TRIM('MSR RAW'!C49),SEARCH(" - ",TRIM('MSR RAW'!C49))+3,LEN(TRIM('MSR RAW'!C49))-SEARCH(" - ",TRIM('MSR RAW'!C49))-9)))</f>
        <v/>
      </c>
      <c r="G49">
        <f>IF(E49="","",IFERROR(VLOOKUP(E49,'CATEGORY MAP'!$A$2:$B$20,2,FALSE()),"REVIEW"))</f>
        <v/>
      </c>
      <c r="H49">
        <f>IF(E49="","",IFERROR(VALUE(SUBSTITUTE('MSR RAW'!P49,",","")),0))</f>
        <v/>
      </c>
      <c r="I49">
        <f>IF(E49="","",IFERROR(VALUE(SUBSTITUTE('MSR RAW'!S49,",","")),0))</f>
        <v/>
      </c>
    </row>
    <row r="50" ht="68.65000000000001" customHeight="1" s="126">
      <c r="A50" t="n">
        <v>50</v>
      </c>
      <c r="B50" s="30">
        <f>IF('MSR RAW'!$A$3="","",'MSR RAW'!$A$3)</f>
        <v/>
      </c>
      <c r="C50">
        <f>IF(LEFT(TRIM('MSR RAW'!A50),11)="Department:",TRIM('MSR RAW'!A50),C49)</f>
        <v/>
      </c>
      <c r="D50">
        <f>IF(LEFT(TRIM('MSR RAW'!B50),9)="Location:",TRIM(MID('MSR RAW'!B50,10,999)),D49)</f>
        <v/>
      </c>
      <c r="E50">
        <f>IF(AND(ISNUMBER(SEARCH(" - ",TRIM('MSR RAW'!C50))),RIGHT(TRIM('MSR RAW'!C50),6)="Total:"),LEFT(TRIM('MSR RAW'!C50),SEARCH(" - ",TRIM('MSR RAW'!C50))-1),"")</f>
        <v/>
      </c>
      <c r="F50">
        <f>IF(E50="","",TRIM(MID(TRIM('MSR RAW'!C50),SEARCH(" - ",TRIM('MSR RAW'!C50))+3,LEN(TRIM('MSR RAW'!C50))-SEARCH(" - ",TRIM('MSR RAW'!C50))-9)))</f>
        <v/>
      </c>
      <c r="G50">
        <f>IF(E50="","",IFERROR(VLOOKUP(E50,'CATEGORY MAP'!$A$2:$B$20,2,FALSE()),"REVIEW"))</f>
        <v/>
      </c>
      <c r="H50">
        <f>IF(E50="","",IFERROR(VALUE(SUBSTITUTE('MSR RAW'!P50,",","")),0))</f>
        <v/>
      </c>
      <c r="I50">
        <f>IF(E50="","",IFERROR(VALUE(SUBSTITUTE('MSR RAW'!S50,",","")),0))</f>
        <v/>
      </c>
    </row>
    <row r="51" ht="68.65000000000001" customHeight="1" s="126">
      <c r="A51" t="n">
        <v>51</v>
      </c>
      <c r="B51" s="30">
        <f>IF('MSR RAW'!$A$3="","",'MSR RAW'!$A$3)</f>
        <v/>
      </c>
      <c r="C51">
        <f>IF(LEFT(TRIM('MSR RAW'!A51),11)="Department:",TRIM('MSR RAW'!A51),C50)</f>
        <v/>
      </c>
      <c r="D51">
        <f>IF(LEFT(TRIM('MSR RAW'!B51),9)="Location:",TRIM(MID('MSR RAW'!B51,10,999)),D50)</f>
        <v/>
      </c>
      <c r="E51">
        <f>IF(AND(ISNUMBER(SEARCH(" - ",TRIM('MSR RAW'!C51))),RIGHT(TRIM('MSR RAW'!C51),6)="Total:"),LEFT(TRIM('MSR RAW'!C51),SEARCH(" - ",TRIM('MSR RAW'!C51))-1),"")</f>
        <v/>
      </c>
      <c r="F51">
        <f>IF(E51="","",TRIM(MID(TRIM('MSR RAW'!C51),SEARCH(" - ",TRIM('MSR RAW'!C51))+3,LEN(TRIM('MSR RAW'!C51))-SEARCH(" - ",TRIM('MSR RAW'!C51))-9)))</f>
        <v/>
      </c>
      <c r="G51">
        <f>IF(E51="","",IFERROR(VLOOKUP(E51,'CATEGORY MAP'!$A$2:$B$20,2,FALSE()),"REVIEW"))</f>
        <v/>
      </c>
      <c r="H51">
        <f>IF(E51="","",IFERROR(VALUE(SUBSTITUTE('MSR RAW'!P51,",","")),0))</f>
        <v/>
      </c>
      <c r="I51">
        <f>IF(E51="","",IFERROR(VALUE(SUBSTITUTE('MSR RAW'!S51,",","")),0))</f>
        <v/>
      </c>
    </row>
    <row r="52" ht="68.65000000000001" customHeight="1" s="126">
      <c r="A52" t="n">
        <v>52</v>
      </c>
      <c r="B52" s="30">
        <f>IF('MSR RAW'!$A$3="","",'MSR RAW'!$A$3)</f>
        <v/>
      </c>
      <c r="C52">
        <f>IF(LEFT(TRIM('MSR RAW'!A52),11)="Department:",TRIM('MSR RAW'!A52),C51)</f>
        <v/>
      </c>
      <c r="D52">
        <f>IF(LEFT(TRIM('MSR RAW'!B52),9)="Location:",TRIM(MID('MSR RAW'!B52,10,999)),D51)</f>
        <v/>
      </c>
      <c r="E52">
        <f>IF(AND(ISNUMBER(SEARCH(" - ",TRIM('MSR RAW'!C52))),RIGHT(TRIM('MSR RAW'!C52),6)="Total:"),LEFT(TRIM('MSR RAW'!C52),SEARCH(" - ",TRIM('MSR RAW'!C52))-1),"")</f>
        <v/>
      </c>
      <c r="F52">
        <f>IF(E52="","",TRIM(MID(TRIM('MSR RAW'!C52),SEARCH(" - ",TRIM('MSR RAW'!C52))+3,LEN(TRIM('MSR RAW'!C52))-SEARCH(" - ",TRIM('MSR RAW'!C52))-9)))</f>
        <v/>
      </c>
      <c r="G52">
        <f>IF(E52="","",IFERROR(VLOOKUP(E52,'CATEGORY MAP'!$A$2:$B$20,2,FALSE()),"REVIEW"))</f>
        <v/>
      </c>
      <c r="H52">
        <f>IF(E52="","",IFERROR(VALUE(SUBSTITUTE('MSR RAW'!P52,",","")),0))</f>
        <v/>
      </c>
      <c r="I52">
        <f>IF(E52="","",IFERROR(VALUE(SUBSTITUTE('MSR RAW'!S52,",","")),0))</f>
        <v/>
      </c>
    </row>
    <row r="53" ht="68.65000000000001" customHeight="1" s="126">
      <c r="A53" t="n">
        <v>53</v>
      </c>
      <c r="B53" s="30">
        <f>IF('MSR RAW'!$A$3="","",'MSR RAW'!$A$3)</f>
        <v/>
      </c>
      <c r="C53">
        <f>IF(LEFT(TRIM('MSR RAW'!A53),11)="Department:",TRIM('MSR RAW'!A53),C52)</f>
        <v/>
      </c>
      <c r="D53">
        <f>IF(LEFT(TRIM('MSR RAW'!B53),9)="Location:",TRIM(MID('MSR RAW'!B53,10,999)),D52)</f>
        <v/>
      </c>
      <c r="E53">
        <f>IF(AND(ISNUMBER(SEARCH(" - ",TRIM('MSR RAW'!C53))),RIGHT(TRIM('MSR RAW'!C53),6)="Total:"),LEFT(TRIM('MSR RAW'!C53),SEARCH(" - ",TRIM('MSR RAW'!C53))-1),"")</f>
        <v/>
      </c>
      <c r="F53">
        <f>IF(E53="","",TRIM(MID(TRIM('MSR RAW'!C53),SEARCH(" - ",TRIM('MSR RAW'!C53))+3,LEN(TRIM('MSR RAW'!C53))-SEARCH(" - ",TRIM('MSR RAW'!C53))-9)))</f>
        <v/>
      </c>
      <c r="G53">
        <f>IF(E53="","",IFERROR(VLOOKUP(E53,'CATEGORY MAP'!$A$2:$B$20,2,FALSE()),"REVIEW"))</f>
        <v/>
      </c>
      <c r="H53">
        <f>IF(E53="","",IFERROR(VALUE(SUBSTITUTE('MSR RAW'!P53,",","")),0))</f>
        <v/>
      </c>
      <c r="I53">
        <f>IF(E53="","",IFERROR(VALUE(SUBSTITUTE('MSR RAW'!S53,",","")),0))</f>
        <v/>
      </c>
    </row>
    <row r="54" ht="68.65000000000001" customHeight="1" s="126">
      <c r="A54" t="n">
        <v>54</v>
      </c>
      <c r="B54" s="30">
        <f>IF('MSR RAW'!$A$3="","",'MSR RAW'!$A$3)</f>
        <v/>
      </c>
      <c r="C54">
        <f>IF(LEFT(TRIM('MSR RAW'!A54),11)="Department:",TRIM('MSR RAW'!A54),C53)</f>
        <v/>
      </c>
      <c r="D54">
        <f>IF(LEFT(TRIM('MSR RAW'!B54),9)="Location:",TRIM(MID('MSR RAW'!B54,10,999)),D53)</f>
        <v/>
      </c>
      <c r="E54">
        <f>IF(AND(ISNUMBER(SEARCH(" - ",TRIM('MSR RAW'!C54))),RIGHT(TRIM('MSR RAW'!C54),6)="Total:"),LEFT(TRIM('MSR RAW'!C54),SEARCH(" - ",TRIM('MSR RAW'!C54))-1),"")</f>
        <v/>
      </c>
      <c r="F54">
        <f>IF(E54="","",TRIM(MID(TRIM('MSR RAW'!C54),SEARCH(" - ",TRIM('MSR RAW'!C54))+3,LEN(TRIM('MSR RAW'!C54))-SEARCH(" - ",TRIM('MSR RAW'!C54))-9)))</f>
        <v/>
      </c>
      <c r="G54">
        <f>IF(E54="","",IFERROR(VLOOKUP(E54,'CATEGORY MAP'!$A$2:$B$20,2,FALSE()),"REVIEW"))</f>
        <v/>
      </c>
      <c r="H54">
        <f>IF(E54="","",IFERROR(VALUE(SUBSTITUTE('MSR RAW'!P54,",","")),0))</f>
        <v/>
      </c>
      <c r="I54">
        <f>IF(E54="","",IFERROR(VALUE(SUBSTITUTE('MSR RAW'!S54,",","")),0))</f>
        <v/>
      </c>
    </row>
    <row r="55" ht="68.65000000000001" customHeight="1" s="126">
      <c r="A55" t="n">
        <v>55</v>
      </c>
      <c r="B55" s="30">
        <f>IF('MSR RAW'!$A$3="","",'MSR RAW'!$A$3)</f>
        <v/>
      </c>
      <c r="C55">
        <f>IF(LEFT(TRIM('MSR RAW'!A55),11)="Department:",TRIM('MSR RAW'!A55),C54)</f>
        <v/>
      </c>
      <c r="D55">
        <f>IF(LEFT(TRIM('MSR RAW'!B55),9)="Location:",TRIM(MID('MSR RAW'!B55,10,999)),D54)</f>
        <v/>
      </c>
      <c r="E55">
        <f>IF(AND(ISNUMBER(SEARCH(" - ",TRIM('MSR RAW'!C55))),RIGHT(TRIM('MSR RAW'!C55),6)="Total:"),LEFT(TRIM('MSR RAW'!C55),SEARCH(" - ",TRIM('MSR RAW'!C55))-1),"")</f>
        <v/>
      </c>
      <c r="F55">
        <f>IF(E55="","",TRIM(MID(TRIM('MSR RAW'!C55),SEARCH(" - ",TRIM('MSR RAW'!C55))+3,LEN(TRIM('MSR RAW'!C55))-SEARCH(" - ",TRIM('MSR RAW'!C55))-9)))</f>
        <v/>
      </c>
      <c r="G55">
        <f>IF(E55="","",IFERROR(VLOOKUP(E55,'CATEGORY MAP'!$A$2:$B$20,2,FALSE()),"REVIEW"))</f>
        <v/>
      </c>
      <c r="H55">
        <f>IF(E55="","",IFERROR(VALUE(SUBSTITUTE('MSR RAW'!P55,",","")),0))</f>
        <v/>
      </c>
      <c r="I55">
        <f>IF(E55="","",IFERROR(VALUE(SUBSTITUTE('MSR RAW'!S55,",","")),0))</f>
        <v/>
      </c>
    </row>
    <row r="56" ht="68.65000000000001" customHeight="1" s="126">
      <c r="A56" t="n">
        <v>56</v>
      </c>
      <c r="B56" s="30">
        <f>IF('MSR RAW'!$A$3="","",'MSR RAW'!$A$3)</f>
        <v/>
      </c>
      <c r="C56">
        <f>IF(LEFT(TRIM('MSR RAW'!A56),11)="Department:",TRIM('MSR RAW'!A56),C55)</f>
        <v/>
      </c>
      <c r="D56">
        <f>IF(LEFT(TRIM('MSR RAW'!B56),9)="Location:",TRIM(MID('MSR RAW'!B56,10,999)),D55)</f>
        <v/>
      </c>
      <c r="E56">
        <f>IF(AND(ISNUMBER(SEARCH(" - ",TRIM('MSR RAW'!C56))),RIGHT(TRIM('MSR RAW'!C56),6)="Total:"),LEFT(TRIM('MSR RAW'!C56),SEARCH(" - ",TRIM('MSR RAW'!C56))-1),"")</f>
        <v/>
      </c>
      <c r="F56">
        <f>IF(E56="","",TRIM(MID(TRIM('MSR RAW'!C56),SEARCH(" - ",TRIM('MSR RAW'!C56))+3,LEN(TRIM('MSR RAW'!C56))-SEARCH(" - ",TRIM('MSR RAW'!C56))-9)))</f>
        <v/>
      </c>
      <c r="G56">
        <f>IF(E56="","",IFERROR(VLOOKUP(E56,'CATEGORY MAP'!$A$2:$B$20,2,FALSE()),"REVIEW"))</f>
        <v/>
      </c>
      <c r="H56">
        <f>IF(E56="","",IFERROR(VALUE(SUBSTITUTE('MSR RAW'!P56,",","")),0))</f>
        <v/>
      </c>
      <c r="I56">
        <f>IF(E56="","",IFERROR(VALUE(SUBSTITUTE('MSR RAW'!S56,",","")),0))</f>
        <v/>
      </c>
    </row>
    <row r="57" ht="68.65000000000001" customHeight="1" s="126">
      <c r="A57" t="n">
        <v>57</v>
      </c>
      <c r="B57" s="30">
        <f>IF('MSR RAW'!$A$3="","",'MSR RAW'!$A$3)</f>
        <v/>
      </c>
      <c r="C57">
        <f>IF(LEFT(TRIM('MSR RAW'!A57),11)="Department:",TRIM('MSR RAW'!A57),C56)</f>
        <v/>
      </c>
      <c r="D57">
        <f>IF(LEFT(TRIM('MSR RAW'!B57),9)="Location:",TRIM(MID('MSR RAW'!B57,10,999)),D56)</f>
        <v/>
      </c>
      <c r="E57">
        <f>IF(AND(ISNUMBER(SEARCH(" - ",TRIM('MSR RAW'!C57))),RIGHT(TRIM('MSR RAW'!C57),6)="Total:"),LEFT(TRIM('MSR RAW'!C57),SEARCH(" - ",TRIM('MSR RAW'!C57))-1),"")</f>
        <v/>
      </c>
      <c r="F57">
        <f>IF(E57="","",TRIM(MID(TRIM('MSR RAW'!C57),SEARCH(" - ",TRIM('MSR RAW'!C57))+3,LEN(TRIM('MSR RAW'!C57))-SEARCH(" - ",TRIM('MSR RAW'!C57))-9)))</f>
        <v/>
      </c>
      <c r="G57">
        <f>IF(E57="","",IFERROR(VLOOKUP(E57,'CATEGORY MAP'!$A$2:$B$20,2,FALSE()),"REVIEW"))</f>
        <v/>
      </c>
      <c r="H57">
        <f>IF(E57="","",IFERROR(VALUE(SUBSTITUTE('MSR RAW'!P57,",","")),0))</f>
        <v/>
      </c>
      <c r="I57">
        <f>IF(E57="","",IFERROR(VALUE(SUBSTITUTE('MSR RAW'!S57,",","")),0))</f>
        <v/>
      </c>
    </row>
    <row r="58" ht="68.65000000000001" customHeight="1" s="126">
      <c r="A58" t="n">
        <v>58</v>
      </c>
      <c r="B58" s="30">
        <f>IF('MSR RAW'!$A$3="","",'MSR RAW'!$A$3)</f>
        <v/>
      </c>
      <c r="C58">
        <f>IF(LEFT(TRIM('MSR RAW'!A58),11)="Department:",TRIM('MSR RAW'!A58),C57)</f>
        <v/>
      </c>
      <c r="D58">
        <f>IF(LEFT(TRIM('MSR RAW'!B58),9)="Location:",TRIM(MID('MSR RAW'!B58,10,999)),D57)</f>
        <v/>
      </c>
      <c r="E58">
        <f>IF(AND(ISNUMBER(SEARCH(" - ",TRIM('MSR RAW'!C58))),RIGHT(TRIM('MSR RAW'!C58),6)="Total:"),LEFT(TRIM('MSR RAW'!C58),SEARCH(" - ",TRIM('MSR RAW'!C58))-1),"")</f>
        <v/>
      </c>
      <c r="F58">
        <f>IF(E58="","",TRIM(MID(TRIM('MSR RAW'!C58),SEARCH(" - ",TRIM('MSR RAW'!C58))+3,LEN(TRIM('MSR RAW'!C58))-SEARCH(" - ",TRIM('MSR RAW'!C58))-9)))</f>
        <v/>
      </c>
      <c r="G58">
        <f>IF(E58="","",IFERROR(VLOOKUP(E58,'CATEGORY MAP'!$A$2:$B$20,2,FALSE()),"REVIEW"))</f>
        <v/>
      </c>
      <c r="H58">
        <f>IF(E58="","",IFERROR(VALUE(SUBSTITUTE('MSR RAW'!P58,",","")),0))</f>
        <v/>
      </c>
      <c r="I58">
        <f>IF(E58="","",IFERROR(VALUE(SUBSTITUTE('MSR RAW'!S58,",","")),0))</f>
        <v/>
      </c>
    </row>
    <row r="59" ht="68.65000000000001" customHeight="1" s="126">
      <c r="A59" t="n">
        <v>59</v>
      </c>
      <c r="B59" s="30">
        <f>IF('MSR RAW'!$A$3="","",'MSR RAW'!$A$3)</f>
        <v/>
      </c>
      <c r="C59">
        <f>IF(LEFT(TRIM('MSR RAW'!A59),11)="Department:",TRIM('MSR RAW'!A59),C58)</f>
        <v/>
      </c>
      <c r="D59">
        <f>IF(LEFT(TRIM('MSR RAW'!B59),9)="Location:",TRIM(MID('MSR RAW'!B59,10,999)),D58)</f>
        <v/>
      </c>
      <c r="E59">
        <f>IF(AND(ISNUMBER(SEARCH(" - ",TRIM('MSR RAW'!C59))),RIGHT(TRIM('MSR RAW'!C59),6)="Total:"),LEFT(TRIM('MSR RAW'!C59),SEARCH(" - ",TRIM('MSR RAW'!C59))-1),"")</f>
        <v/>
      </c>
      <c r="F59">
        <f>IF(E59="","",TRIM(MID(TRIM('MSR RAW'!C59),SEARCH(" - ",TRIM('MSR RAW'!C59))+3,LEN(TRIM('MSR RAW'!C59))-SEARCH(" - ",TRIM('MSR RAW'!C59))-9)))</f>
        <v/>
      </c>
      <c r="G59">
        <f>IF(E59="","",IFERROR(VLOOKUP(E59,'CATEGORY MAP'!$A$2:$B$20,2,FALSE()),"REVIEW"))</f>
        <v/>
      </c>
      <c r="H59">
        <f>IF(E59="","",IFERROR(VALUE(SUBSTITUTE('MSR RAW'!P59,",","")),0))</f>
        <v/>
      </c>
      <c r="I59">
        <f>IF(E59="","",IFERROR(VALUE(SUBSTITUTE('MSR RAW'!S59,",","")),0))</f>
        <v/>
      </c>
    </row>
    <row r="60" ht="68.65000000000001" customHeight="1" s="126">
      <c r="A60" t="n">
        <v>60</v>
      </c>
      <c r="B60" s="30">
        <f>IF('MSR RAW'!$A$3="","",'MSR RAW'!$A$3)</f>
        <v/>
      </c>
      <c r="C60">
        <f>IF(LEFT(TRIM('MSR RAW'!A60),11)="Department:",TRIM('MSR RAW'!A60),C59)</f>
        <v/>
      </c>
      <c r="D60">
        <f>IF(LEFT(TRIM('MSR RAW'!B60),9)="Location:",TRIM(MID('MSR RAW'!B60,10,999)),D59)</f>
        <v/>
      </c>
      <c r="E60">
        <f>IF(AND(ISNUMBER(SEARCH(" - ",TRIM('MSR RAW'!C60))),RIGHT(TRIM('MSR RAW'!C60),6)="Total:"),LEFT(TRIM('MSR RAW'!C60),SEARCH(" - ",TRIM('MSR RAW'!C60))-1),"")</f>
        <v/>
      </c>
      <c r="F60">
        <f>IF(E60="","",TRIM(MID(TRIM('MSR RAW'!C60),SEARCH(" - ",TRIM('MSR RAW'!C60))+3,LEN(TRIM('MSR RAW'!C60))-SEARCH(" - ",TRIM('MSR RAW'!C60))-9)))</f>
        <v/>
      </c>
      <c r="G60">
        <f>IF(E60="","",IFERROR(VLOOKUP(E60,'CATEGORY MAP'!$A$2:$B$20,2,FALSE()),"REVIEW"))</f>
        <v/>
      </c>
      <c r="H60">
        <f>IF(E60="","",IFERROR(VALUE(SUBSTITUTE('MSR RAW'!P60,",","")),0))</f>
        <v/>
      </c>
      <c r="I60">
        <f>IF(E60="","",IFERROR(VALUE(SUBSTITUTE('MSR RAW'!S60,",","")),0))</f>
        <v/>
      </c>
    </row>
    <row r="61" ht="68.65000000000001" customHeight="1" s="126">
      <c r="A61" t="n">
        <v>61</v>
      </c>
      <c r="B61" s="30">
        <f>IF('MSR RAW'!$A$3="","",'MSR RAW'!$A$3)</f>
        <v/>
      </c>
      <c r="C61">
        <f>IF(LEFT(TRIM('MSR RAW'!A61),11)="Department:",TRIM('MSR RAW'!A61),C60)</f>
        <v/>
      </c>
      <c r="D61">
        <f>IF(LEFT(TRIM('MSR RAW'!B61),9)="Location:",TRIM(MID('MSR RAW'!B61,10,999)),D60)</f>
        <v/>
      </c>
      <c r="E61">
        <f>IF(AND(ISNUMBER(SEARCH(" - ",TRIM('MSR RAW'!C61))),RIGHT(TRIM('MSR RAW'!C61),6)="Total:"),LEFT(TRIM('MSR RAW'!C61),SEARCH(" - ",TRIM('MSR RAW'!C61))-1),"")</f>
        <v/>
      </c>
      <c r="F61">
        <f>IF(E61="","",TRIM(MID(TRIM('MSR RAW'!C61),SEARCH(" - ",TRIM('MSR RAW'!C61))+3,LEN(TRIM('MSR RAW'!C61))-SEARCH(" - ",TRIM('MSR RAW'!C61))-9)))</f>
        <v/>
      </c>
      <c r="G61">
        <f>IF(E61="","",IFERROR(VLOOKUP(E61,'CATEGORY MAP'!$A$2:$B$20,2,FALSE()),"REVIEW"))</f>
        <v/>
      </c>
      <c r="H61">
        <f>IF(E61="","",IFERROR(VALUE(SUBSTITUTE('MSR RAW'!P61,",","")),0))</f>
        <v/>
      </c>
      <c r="I61">
        <f>IF(E61="","",IFERROR(VALUE(SUBSTITUTE('MSR RAW'!S61,",","")),0))</f>
        <v/>
      </c>
    </row>
    <row r="62" ht="68.65000000000001" customHeight="1" s="126">
      <c r="A62" t="n">
        <v>62</v>
      </c>
      <c r="B62" s="30">
        <f>IF('MSR RAW'!$A$3="","",'MSR RAW'!$A$3)</f>
        <v/>
      </c>
      <c r="C62">
        <f>IF(LEFT(TRIM('MSR RAW'!A62),11)="Department:",TRIM('MSR RAW'!A62),C61)</f>
        <v/>
      </c>
      <c r="D62">
        <f>IF(LEFT(TRIM('MSR RAW'!B62),9)="Location:",TRIM(MID('MSR RAW'!B62,10,999)),D61)</f>
        <v/>
      </c>
      <c r="E62">
        <f>IF(AND(ISNUMBER(SEARCH(" - ",TRIM('MSR RAW'!C62))),RIGHT(TRIM('MSR RAW'!C62),6)="Total:"),LEFT(TRIM('MSR RAW'!C62),SEARCH(" - ",TRIM('MSR RAW'!C62))-1),"")</f>
        <v/>
      </c>
      <c r="F62">
        <f>IF(E62="","",TRIM(MID(TRIM('MSR RAW'!C62),SEARCH(" - ",TRIM('MSR RAW'!C62))+3,LEN(TRIM('MSR RAW'!C62))-SEARCH(" - ",TRIM('MSR RAW'!C62))-9)))</f>
        <v/>
      </c>
      <c r="G62">
        <f>IF(E62="","",IFERROR(VLOOKUP(E62,'CATEGORY MAP'!$A$2:$B$20,2,FALSE()),"REVIEW"))</f>
        <v/>
      </c>
      <c r="H62">
        <f>IF(E62="","",IFERROR(VALUE(SUBSTITUTE('MSR RAW'!P62,",","")),0))</f>
        <v/>
      </c>
      <c r="I62">
        <f>IF(E62="","",IFERROR(VALUE(SUBSTITUTE('MSR RAW'!S62,",","")),0))</f>
        <v/>
      </c>
    </row>
    <row r="63" ht="68.65000000000001" customHeight="1" s="126">
      <c r="A63" t="n">
        <v>63</v>
      </c>
      <c r="B63" s="30">
        <f>IF('MSR RAW'!$A$3="","",'MSR RAW'!$A$3)</f>
        <v/>
      </c>
      <c r="C63">
        <f>IF(LEFT(TRIM('MSR RAW'!A63),11)="Department:",TRIM('MSR RAW'!A63),C62)</f>
        <v/>
      </c>
      <c r="D63">
        <f>IF(LEFT(TRIM('MSR RAW'!B63),9)="Location:",TRIM(MID('MSR RAW'!B63,10,999)),D62)</f>
        <v/>
      </c>
      <c r="E63">
        <f>IF(AND(ISNUMBER(SEARCH(" - ",TRIM('MSR RAW'!C63))),RIGHT(TRIM('MSR RAW'!C63),6)="Total:"),LEFT(TRIM('MSR RAW'!C63),SEARCH(" - ",TRIM('MSR RAW'!C63))-1),"")</f>
        <v/>
      </c>
      <c r="F63">
        <f>IF(E63="","",TRIM(MID(TRIM('MSR RAW'!C63),SEARCH(" - ",TRIM('MSR RAW'!C63))+3,LEN(TRIM('MSR RAW'!C63))-SEARCH(" - ",TRIM('MSR RAW'!C63))-9)))</f>
        <v/>
      </c>
      <c r="G63">
        <f>IF(E63="","",IFERROR(VLOOKUP(E63,'CATEGORY MAP'!$A$2:$B$20,2,FALSE()),"REVIEW"))</f>
        <v/>
      </c>
      <c r="H63">
        <f>IF(E63="","",IFERROR(VALUE(SUBSTITUTE('MSR RAW'!P63,",","")),0))</f>
        <v/>
      </c>
      <c r="I63">
        <f>IF(E63="","",IFERROR(VALUE(SUBSTITUTE('MSR RAW'!S63,",","")),0))</f>
        <v/>
      </c>
    </row>
    <row r="64" ht="68.65000000000001" customHeight="1" s="126">
      <c r="A64" t="n">
        <v>64</v>
      </c>
      <c r="B64" s="30">
        <f>IF('MSR RAW'!$A$3="","",'MSR RAW'!$A$3)</f>
        <v/>
      </c>
      <c r="C64">
        <f>IF(LEFT(TRIM('MSR RAW'!A64),11)="Department:",TRIM('MSR RAW'!A64),C63)</f>
        <v/>
      </c>
      <c r="D64">
        <f>IF(LEFT(TRIM('MSR RAW'!B64),9)="Location:",TRIM(MID('MSR RAW'!B64,10,999)),D63)</f>
        <v/>
      </c>
      <c r="E64">
        <f>IF(AND(ISNUMBER(SEARCH(" - ",TRIM('MSR RAW'!C64))),RIGHT(TRIM('MSR RAW'!C64),6)="Total:"),LEFT(TRIM('MSR RAW'!C64),SEARCH(" - ",TRIM('MSR RAW'!C64))-1),"")</f>
        <v/>
      </c>
      <c r="F64">
        <f>IF(E64="","",TRIM(MID(TRIM('MSR RAW'!C64),SEARCH(" - ",TRIM('MSR RAW'!C64))+3,LEN(TRIM('MSR RAW'!C64))-SEARCH(" - ",TRIM('MSR RAW'!C64))-9)))</f>
        <v/>
      </c>
      <c r="G64">
        <f>IF(E64="","",IFERROR(VLOOKUP(E64,'CATEGORY MAP'!$A$2:$B$20,2,FALSE()),"REVIEW"))</f>
        <v/>
      </c>
      <c r="H64">
        <f>IF(E64="","",IFERROR(VALUE(SUBSTITUTE('MSR RAW'!P64,",","")),0))</f>
        <v/>
      </c>
      <c r="I64">
        <f>IF(E64="","",IFERROR(VALUE(SUBSTITUTE('MSR RAW'!S64,",","")),0))</f>
        <v/>
      </c>
    </row>
    <row r="65" ht="68.65000000000001" customHeight="1" s="126">
      <c r="A65" t="n">
        <v>65</v>
      </c>
      <c r="B65" s="30">
        <f>IF('MSR RAW'!$A$3="","",'MSR RAW'!$A$3)</f>
        <v/>
      </c>
      <c r="C65">
        <f>IF(LEFT(TRIM('MSR RAW'!A65),11)="Department:",TRIM('MSR RAW'!A65),C64)</f>
        <v/>
      </c>
      <c r="D65">
        <f>IF(LEFT(TRIM('MSR RAW'!B65),9)="Location:",TRIM(MID('MSR RAW'!B65,10,999)),D64)</f>
        <v/>
      </c>
      <c r="E65">
        <f>IF(AND(ISNUMBER(SEARCH(" - ",TRIM('MSR RAW'!C65))),RIGHT(TRIM('MSR RAW'!C65),6)="Total:"),LEFT(TRIM('MSR RAW'!C65),SEARCH(" - ",TRIM('MSR RAW'!C65))-1),"")</f>
        <v/>
      </c>
      <c r="F65">
        <f>IF(E65="","",TRIM(MID(TRIM('MSR RAW'!C65),SEARCH(" - ",TRIM('MSR RAW'!C65))+3,LEN(TRIM('MSR RAW'!C65))-SEARCH(" - ",TRIM('MSR RAW'!C65))-9)))</f>
        <v/>
      </c>
      <c r="G65">
        <f>IF(E65="","",IFERROR(VLOOKUP(E65,'CATEGORY MAP'!$A$2:$B$20,2,FALSE()),"REVIEW"))</f>
        <v/>
      </c>
      <c r="H65">
        <f>IF(E65="","",IFERROR(VALUE(SUBSTITUTE('MSR RAW'!P65,",","")),0))</f>
        <v/>
      </c>
      <c r="I65">
        <f>IF(E65="","",IFERROR(VALUE(SUBSTITUTE('MSR RAW'!S65,",","")),0))</f>
        <v/>
      </c>
    </row>
    <row r="66" ht="68.65000000000001" customHeight="1" s="126">
      <c r="A66" t="n">
        <v>66</v>
      </c>
      <c r="B66" s="30">
        <f>IF('MSR RAW'!$A$3="","",'MSR RAW'!$A$3)</f>
        <v/>
      </c>
      <c r="C66">
        <f>IF(LEFT(TRIM('MSR RAW'!A66),11)="Department:",TRIM('MSR RAW'!A66),C65)</f>
        <v/>
      </c>
      <c r="D66">
        <f>IF(LEFT(TRIM('MSR RAW'!B66),9)="Location:",TRIM(MID('MSR RAW'!B66,10,999)),D65)</f>
        <v/>
      </c>
      <c r="E66">
        <f>IF(AND(ISNUMBER(SEARCH(" - ",TRIM('MSR RAW'!C66))),RIGHT(TRIM('MSR RAW'!C66),6)="Total:"),LEFT(TRIM('MSR RAW'!C66),SEARCH(" - ",TRIM('MSR RAW'!C66))-1),"")</f>
        <v/>
      </c>
      <c r="F66">
        <f>IF(E66="","",TRIM(MID(TRIM('MSR RAW'!C66),SEARCH(" - ",TRIM('MSR RAW'!C66))+3,LEN(TRIM('MSR RAW'!C66))-SEARCH(" - ",TRIM('MSR RAW'!C66))-9)))</f>
        <v/>
      </c>
      <c r="G66">
        <f>IF(E66="","",IFERROR(VLOOKUP(E66,'CATEGORY MAP'!$A$2:$B$20,2,FALSE()),"REVIEW"))</f>
        <v/>
      </c>
      <c r="H66">
        <f>IF(E66="","",IFERROR(VALUE(SUBSTITUTE('MSR RAW'!P66,",","")),0))</f>
        <v/>
      </c>
      <c r="I66">
        <f>IF(E66="","",IFERROR(VALUE(SUBSTITUTE('MSR RAW'!S66,",","")),0))</f>
        <v/>
      </c>
    </row>
    <row r="67" ht="68.65000000000001" customHeight="1" s="126">
      <c r="A67" t="n">
        <v>67</v>
      </c>
      <c r="B67" s="30">
        <f>IF('MSR RAW'!$A$3="","",'MSR RAW'!$A$3)</f>
        <v/>
      </c>
      <c r="C67">
        <f>IF(LEFT(TRIM('MSR RAW'!A67),11)="Department:",TRIM('MSR RAW'!A67),C66)</f>
        <v/>
      </c>
      <c r="D67">
        <f>IF(LEFT(TRIM('MSR RAW'!B67),9)="Location:",TRIM(MID('MSR RAW'!B67,10,999)),D66)</f>
        <v/>
      </c>
      <c r="E67">
        <f>IF(AND(ISNUMBER(SEARCH(" - ",TRIM('MSR RAW'!C67))),RIGHT(TRIM('MSR RAW'!C67),6)="Total:"),LEFT(TRIM('MSR RAW'!C67),SEARCH(" - ",TRIM('MSR RAW'!C67))-1),"")</f>
        <v/>
      </c>
      <c r="F67">
        <f>IF(E67="","",TRIM(MID(TRIM('MSR RAW'!C67),SEARCH(" - ",TRIM('MSR RAW'!C67))+3,LEN(TRIM('MSR RAW'!C67))-SEARCH(" - ",TRIM('MSR RAW'!C67))-9)))</f>
        <v/>
      </c>
      <c r="G67">
        <f>IF(E67="","",IFERROR(VLOOKUP(E67,'CATEGORY MAP'!$A$2:$B$20,2,FALSE()),"REVIEW"))</f>
        <v/>
      </c>
      <c r="H67">
        <f>IF(E67="","",IFERROR(VALUE(SUBSTITUTE('MSR RAW'!P67,",","")),0))</f>
        <v/>
      </c>
      <c r="I67">
        <f>IF(E67="","",IFERROR(VALUE(SUBSTITUTE('MSR RAW'!S67,",","")),0))</f>
        <v/>
      </c>
    </row>
    <row r="68" ht="68.65000000000001" customHeight="1" s="126">
      <c r="A68" t="n">
        <v>68</v>
      </c>
      <c r="B68" s="30">
        <f>IF('MSR RAW'!$A$3="","",'MSR RAW'!$A$3)</f>
        <v/>
      </c>
      <c r="C68">
        <f>IF(LEFT(TRIM('MSR RAW'!A68),11)="Department:",TRIM('MSR RAW'!A68),C67)</f>
        <v/>
      </c>
      <c r="D68">
        <f>IF(LEFT(TRIM('MSR RAW'!B68),9)="Location:",TRIM(MID('MSR RAW'!B68,10,999)),D67)</f>
        <v/>
      </c>
      <c r="E68">
        <f>IF(AND(ISNUMBER(SEARCH(" - ",TRIM('MSR RAW'!C68))),RIGHT(TRIM('MSR RAW'!C68),6)="Total:"),LEFT(TRIM('MSR RAW'!C68),SEARCH(" - ",TRIM('MSR RAW'!C68))-1),"")</f>
        <v/>
      </c>
      <c r="F68">
        <f>IF(E68="","",TRIM(MID(TRIM('MSR RAW'!C68),SEARCH(" - ",TRIM('MSR RAW'!C68))+3,LEN(TRIM('MSR RAW'!C68))-SEARCH(" - ",TRIM('MSR RAW'!C68))-9)))</f>
        <v/>
      </c>
      <c r="G68">
        <f>IF(E68="","",IFERROR(VLOOKUP(E68,'CATEGORY MAP'!$A$2:$B$20,2,FALSE()),"REVIEW"))</f>
        <v/>
      </c>
      <c r="H68">
        <f>IF(E68="","",IFERROR(VALUE(SUBSTITUTE('MSR RAW'!P68,",","")),0))</f>
        <v/>
      </c>
      <c r="I68">
        <f>IF(E68="","",IFERROR(VALUE(SUBSTITUTE('MSR RAW'!S68,",","")),0))</f>
        <v/>
      </c>
    </row>
    <row r="69" ht="68.65000000000001" customHeight="1" s="126">
      <c r="A69" t="n">
        <v>69</v>
      </c>
      <c r="B69" s="30">
        <f>IF('MSR RAW'!$A$3="","",'MSR RAW'!$A$3)</f>
        <v/>
      </c>
      <c r="C69">
        <f>IF(LEFT(TRIM('MSR RAW'!A69),11)="Department:",TRIM('MSR RAW'!A69),C68)</f>
        <v/>
      </c>
      <c r="D69">
        <f>IF(LEFT(TRIM('MSR RAW'!B69),9)="Location:",TRIM(MID('MSR RAW'!B69,10,999)),D68)</f>
        <v/>
      </c>
      <c r="E69">
        <f>IF(AND(ISNUMBER(SEARCH(" - ",TRIM('MSR RAW'!C69))),RIGHT(TRIM('MSR RAW'!C69),6)="Total:"),LEFT(TRIM('MSR RAW'!C69),SEARCH(" - ",TRIM('MSR RAW'!C69))-1),"")</f>
        <v/>
      </c>
      <c r="F69">
        <f>IF(E69="","",TRIM(MID(TRIM('MSR RAW'!C69),SEARCH(" - ",TRIM('MSR RAW'!C69))+3,LEN(TRIM('MSR RAW'!C69))-SEARCH(" - ",TRIM('MSR RAW'!C69))-9)))</f>
        <v/>
      </c>
      <c r="G69">
        <f>IF(E69="","",IFERROR(VLOOKUP(E69,'CATEGORY MAP'!$A$2:$B$20,2,FALSE()),"REVIEW"))</f>
        <v/>
      </c>
      <c r="H69">
        <f>IF(E69="","",IFERROR(VALUE(SUBSTITUTE('MSR RAW'!P69,",","")),0))</f>
        <v/>
      </c>
      <c r="I69">
        <f>IF(E69="","",IFERROR(VALUE(SUBSTITUTE('MSR RAW'!S69,",","")),0))</f>
        <v/>
      </c>
    </row>
    <row r="70" ht="68.65000000000001" customHeight="1" s="126">
      <c r="A70" t="n">
        <v>70</v>
      </c>
      <c r="B70" s="30">
        <f>IF('MSR RAW'!$A$3="","",'MSR RAW'!$A$3)</f>
        <v/>
      </c>
      <c r="C70">
        <f>IF(LEFT(TRIM('MSR RAW'!A70),11)="Department:",TRIM('MSR RAW'!A70),C69)</f>
        <v/>
      </c>
      <c r="D70">
        <f>IF(LEFT(TRIM('MSR RAW'!B70),9)="Location:",TRIM(MID('MSR RAW'!B70,10,999)),D69)</f>
        <v/>
      </c>
      <c r="E70">
        <f>IF(AND(ISNUMBER(SEARCH(" - ",TRIM('MSR RAW'!C70))),RIGHT(TRIM('MSR RAW'!C70),6)="Total:"),LEFT(TRIM('MSR RAW'!C70),SEARCH(" - ",TRIM('MSR RAW'!C70))-1),"")</f>
        <v/>
      </c>
      <c r="F70">
        <f>IF(E70="","",TRIM(MID(TRIM('MSR RAW'!C70),SEARCH(" - ",TRIM('MSR RAW'!C70))+3,LEN(TRIM('MSR RAW'!C70))-SEARCH(" - ",TRIM('MSR RAW'!C70))-9)))</f>
        <v/>
      </c>
      <c r="G70">
        <f>IF(E70="","",IFERROR(VLOOKUP(E70,'CATEGORY MAP'!$A$2:$B$20,2,FALSE()),"REVIEW"))</f>
        <v/>
      </c>
      <c r="H70">
        <f>IF(E70="","",IFERROR(VALUE(SUBSTITUTE('MSR RAW'!P70,",","")),0))</f>
        <v/>
      </c>
      <c r="I70">
        <f>IF(E70="","",IFERROR(VALUE(SUBSTITUTE('MSR RAW'!S70,",","")),0))</f>
        <v/>
      </c>
    </row>
    <row r="71" ht="68.65000000000001" customHeight="1" s="126">
      <c r="A71" t="n">
        <v>71</v>
      </c>
      <c r="B71" s="30">
        <f>IF('MSR RAW'!$A$3="","",'MSR RAW'!$A$3)</f>
        <v/>
      </c>
      <c r="C71">
        <f>IF(LEFT(TRIM('MSR RAW'!A71),11)="Department:",TRIM('MSR RAW'!A71),C70)</f>
        <v/>
      </c>
      <c r="D71">
        <f>IF(LEFT(TRIM('MSR RAW'!B71),9)="Location:",TRIM(MID('MSR RAW'!B71,10,999)),D70)</f>
        <v/>
      </c>
      <c r="E71">
        <f>IF(AND(ISNUMBER(SEARCH(" - ",TRIM('MSR RAW'!C71))),RIGHT(TRIM('MSR RAW'!C71),6)="Total:"),LEFT(TRIM('MSR RAW'!C71),SEARCH(" - ",TRIM('MSR RAW'!C71))-1),"")</f>
        <v/>
      </c>
      <c r="F71">
        <f>IF(E71="","",TRIM(MID(TRIM('MSR RAW'!C71),SEARCH(" - ",TRIM('MSR RAW'!C71))+3,LEN(TRIM('MSR RAW'!C71))-SEARCH(" - ",TRIM('MSR RAW'!C71))-9)))</f>
        <v/>
      </c>
      <c r="G71">
        <f>IF(E71="","",IFERROR(VLOOKUP(E71,'CATEGORY MAP'!$A$2:$B$20,2,FALSE()),"REVIEW"))</f>
        <v/>
      </c>
      <c r="H71">
        <f>IF(E71="","",IFERROR(VALUE(SUBSTITUTE('MSR RAW'!P71,",","")),0))</f>
        <v/>
      </c>
      <c r="I71">
        <f>IF(E71="","",IFERROR(VALUE(SUBSTITUTE('MSR RAW'!S71,",","")),0))</f>
        <v/>
      </c>
    </row>
    <row r="72" ht="68.65000000000001" customHeight="1" s="126">
      <c r="A72" t="n">
        <v>72</v>
      </c>
      <c r="B72" s="30">
        <f>IF('MSR RAW'!$A$3="","",'MSR RAW'!$A$3)</f>
        <v/>
      </c>
      <c r="C72">
        <f>IF(LEFT(TRIM('MSR RAW'!A72),11)="Department:",TRIM('MSR RAW'!A72),C71)</f>
        <v/>
      </c>
      <c r="D72">
        <f>IF(LEFT(TRIM('MSR RAW'!B72),9)="Location:",TRIM(MID('MSR RAW'!B72,10,999)),D71)</f>
        <v/>
      </c>
      <c r="E72">
        <f>IF(AND(ISNUMBER(SEARCH(" - ",TRIM('MSR RAW'!C72))),RIGHT(TRIM('MSR RAW'!C72),6)="Total:"),LEFT(TRIM('MSR RAW'!C72),SEARCH(" - ",TRIM('MSR RAW'!C72))-1),"")</f>
        <v/>
      </c>
      <c r="F72">
        <f>IF(E72="","",TRIM(MID(TRIM('MSR RAW'!C72),SEARCH(" - ",TRIM('MSR RAW'!C72))+3,LEN(TRIM('MSR RAW'!C72))-SEARCH(" - ",TRIM('MSR RAW'!C72))-9)))</f>
        <v/>
      </c>
      <c r="G72">
        <f>IF(E72="","",IFERROR(VLOOKUP(E72,'CATEGORY MAP'!$A$2:$B$20,2,FALSE()),"REVIEW"))</f>
        <v/>
      </c>
      <c r="H72">
        <f>IF(E72="","",IFERROR(VALUE(SUBSTITUTE('MSR RAW'!P72,",","")),0))</f>
        <v/>
      </c>
      <c r="I72">
        <f>IF(E72="","",IFERROR(VALUE(SUBSTITUTE('MSR RAW'!S72,",","")),0))</f>
        <v/>
      </c>
    </row>
    <row r="73" ht="68.65000000000001" customHeight="1" s="126">
      <c r="A73" t="n">
        <v>73</v>
      </c>
      <c r="B73" s="30">
        <f>IF('MSR RAW'!$A$3="","",'MSR RAW'!$A$3)</f>
        <v/>
      </c>
      <c r="C73">
        <f>IF(LEFT(TRIM('MSR RAW'!A73),11)="Department:",TRIM('MSR RAW'!A73),C72)</f>
        <v/>
      </c>
      <c r="D73">
        <f>IF(LEFT(TRIM('MSR RAW'!B73),9)="Location:",TRIM(MID('MSR RAW'!B73,10,999)),D72)</f>
        <v/>
      </c>
      <c r="E73">
        <f>IF(AND(ISNUMBER(SEARCH(" - ",TRIM('MSR RAW'!C73))),RIGHT(TRIM('MSR RAW'!C73),6)="Total:"),LEFT(TRIM('MSR RAW'!C73),SEARCH(" - ",TRIM('MSR RAW'!C73))-1),"")</f>
        <v/>
      </c>
      <c r="F73">
        <f>IF(E73="","",TRIM(MID(TRIM('MSR RAW'!C73),SEARCH(" - ",TRIM('MSR RAW'!C73))+3,LEN(TRIM('MSR RAW'!C73))-SEARCH(" - ",TRIM('MSR RAW'!C73))-9)))</f>
        <v/>
      </c>
      <c r="G73">
        <f>IF(E73="","",IFERROR(VLOOKUP(E73,'CATEGORY MAP'!$A$2:$B$20,2,FALSE()),"REVIEW"))</f>
        <v/>
      </c>
      <c r="H73">
        <f>IF(E73="","",IFERROR(VALUE(SUBSTITUTE('MSR RAW'!P73,",","")),0))</f>
        <v/>
      </c>
      <c r="I73">
        <f>IF(E73="","",IFERROR(VALUE(SUBSTITUTE('MSR RAW'!S73,",","")),0))</f>
        <v/>
      </c>
    </row>
    <row r="74" ht="68.65000000000001" customHeight="1" s="126">
      <c r="A74" t="n">
        <v>74</v>
      </c>
      <c r="B74" s="30">
        <f>IF('MSR RAW'!$A$3="","",'MSR RAW'!$A$3)</f>
        <v/>
      </c>
      <c r="C74">
        <f>IF(LEFT(TRIM('MSR RAW'!A74),11)="Department:",TRIM('MSR RAW'!A74),C73)</f>
        <v/>
      </c>
      <c r="D74">
        <f>IF(LEFT(TRIM('MSR RAW'!B74),9)="Location:",TRIM(MID('MSR RAW'!B74,10,999)),D73)</f>
        <v/>
      </c>
      <c r="E74">
        <f>IF(AND(ISNUMBER(SEARCH(" - ",TRIM('MSR RAW'!C74))),RIGHT(TRIM('MSR RAW'!C74),6)="Total:"),LEFT(TRIM('MSR RAW'!C74),SEARCH(" - ",TRIM('MSR RAW'!C74))-1),"")</f>
        <v/>
      </c>
      <c r="F74">
        <f>IF(E74="","",TRIM(MID(TRIM('MSR RAW'!C74),SEARCH(" - ",TRIM('MSR RAW'!C74))+3,LEN(TRIM('MSR RAW'!C74))-SEARCH(" - ",TRIM('MSR RAW'!C74))-9)))</f>
        <v/>
      </c>
      <c r="G74">
        <f>IF(E74="","",IFERROR(VLOOKUP(E74,'CATEGORY MAP'!$A$2:$B$20,2,FALSE()),"REVIEW"))</f>
        <v/>
      </c>
      <c r="H74">
        <f>IF(E74="","",IFERROR(VALUE(SUBSTITUTE('MSR RAW'!P74,",","")),0))</f>
        <v/>
      </c>
      <c r="I74">
        <f>IF(E74="","",IFERROR(VALUE(SUBSTITUTE('MSR RAW'!S74,",","")),0))</f>
        <v/>
      </c>
    </row>
    <row r="75" ht="68.65000000000001" customHeight="1" s="126">
      <c r="A75" t="n">
        <v>75</v>
      </c>
      <c r="B75" s="30">
        <f>IF('MSR RAW'!$A$3="","",'MSR RAW'!$A$3)</f>
        <v/>
      </c>
      <c r="C75">
        <f>IF(LEFT(TRIM('MSR RAW'!A75),11)="Department:",TRIM('MSR RAW'!A75),C74)</f>
        <v/>
      </c>
      <c r="D75">
        <f>IF(LEFT(TRIM('MSR RAW'!B75),9)="Location:",TRIM(MID('MSR RAW'!B75,10,999)),D74)</f>
        <v/>
      </c>
      <c r="E75">
        <f>IF(AND(ISNUMBER(SEARCH(" - ",TRIM('MSR RAW'!C75))),RIGHT(TRIM('MSR RAW'!C75),6)="Total:"),LEFT(TRIM('MSR RAW'!C75),SEARCH(" - ",TRIM('MSR RAW'!C75))-1),"")</f>
        <v/>
      </c>
      <c r="F75">
        <f>IF(E75="","",TRIM(MID(TRIM('MSR RAW'!C75),SEARCH(" - ",TRIM('MSR RAW'!C75))+3,LEN(TRIM('MSR RAW'!C75))-SEARCH(" - ",TRIM('MSR RAW'!C75))-9)))</f>
        <v/>
      </c>
      <c r="G75">
        <f>IF(E75="","",IFERROR(VLOOKUP(E75,'CATEGORY MAP'!$A$2:$B$20,2,FALSE()),"REVIEW"))</f>
        <v/>
      </c>
      <c r="H75">
        <f>IF(E75="","",IFERROR(VALUE(SUBSTITUTE('MSR RAW'!P75,",","")),0))</f>
        <v/>
      </c>
      <c r="I75">
        <f>IF(E75="","",IFERROR(VALUE(SUBSTITUTE('MSR RAW'!S75,",","")),0))</f>
        <v/>
      </c>
    </row>
    <row r="76" ht="68.65000000000001" customHeight="1" s="126">
      <c r="A76" t="n">
        <v>76</v>
      </c>
      <c r="B76" s="30">
        <f>IF('MSR RAW'!$A$3="","",'MSR RAW'!$A$3)</f>
        <v/>
      </c>
      <c r="C76">
        <f>IF(LEFT(TRIM('MSR RAW'!A76),11)="Department:",TRIM('MSR RAW'!A76),C75)</f>
        <v/>
      </c>
      <c r="D76">
        <f>IF(LEFT(TRIM('MSR RAW'!B76),9)="Location:",TRIM(MID('MSR RAW'!B76,10,999)),D75)</f>
        <v/>
      </c>
      <c r="E76">
        <f>IF(AND(ISNUMBER(SEARCH(" - ",TRIM('MSR RAW'!C76))),RIGHT(TRIM('MSR RAW'!C76),6)="Total:"),LEFT(TRIM('MSR RAW'!C76),SEARCH(" - ",TRIM('MSR RAW'!C76))-1),"")</f>
        <v/>
      </c>
      <c r="F76">
        <f>IF(E76="","",TRIM(MID(TRIM('MSR RAW'!C76),SEARCH(" - ",TRIM('MSR RAW'!C76))+3,LEN(TRIM('MSR RAW'!C76))-SEARCH(" - ",TRIM('MSR RAW'!C76))-9)))</f>
        <v/>
      </c>
      <c r="G76">
        <f>IF(E76="","",IFERROR(VLOOKUP(E76,'CATEGORY MAP'!$A$2:$B$20,2,FALSE()),"REVIEW"))</f>
        <v/>
      </c>
      <c r="H76">
        <f>IF(E76="","",IFERROR(VALUE(SUBSTITUTE('MSR RAW'!P76,",","")),0))</f>
        <v/>
      </c>
      <c r="I76">
        <f>IF(E76="","",IFERROR(VALUE(SUBSTITUTE('MSR RAW'!S76,",","")),0))</f>
        <v/>
      </c>
    </row>
    <row r="77" ht="68.65000000000001" customHeight="1" s="126">
      <c r="A77" t="n">
        <v>77</v>
      </c>
      <c r="B77" s="30">
        <f>IF('MSR RAW'!$A$3="","",'MSR RAW'!$A$3)</f>
        <v/>
      </c>
      <c r="C77">
        <f>IF(LEFT(TRIM('MSR RAW'!A77),11)="Department:",TRIM('MSR RAW'!A77),C76)</f>
        <v/>
      </c>
      <c r="D77">
        <f>IF(LEFT(TRIM('MSR RAW'!B77),9)="Location:",TRIM(MID('MSR RAW'!B77,10,999)),D76)</f>
        <v/>
      </c>
      <c r="E77">
        <f>IF(AND(ISNUMBER(SEARCH(" - ",TRIM('MSR RAW'!C77))),RIGHT(TRIM('MSR RAW'!C77),6)="Total:"),LEFT(TRIM('MSR RAW'!C77),SEARCH(" - ",TRIM('MSR RAW'!C77))-1),"")</f>
        <v/>
      </c>
      <c r="F77">
        <f>IF(E77="","",TRIM(MID(TRIM('MSR RAW'!C77),SEARCH(" - ",TRIM('MSR RAW'!C77))+3,LEN(TRIM('MSR RAW'!C77))-SEARCH(" - ",TRIM('MSR RAW'!C77))-9)))</f>
        <v/>
      </c>
      <c r="G77">
        <f>IF(E77="","",IFERROR(VLOOKUP(E77,'CATEGORY MAP'!$A$2:$B$20,2,FALSE()),"REVIEW"))</f>
        <v/>
      </c>
      <c r="H77">
        <f>IF(E77="","",IFERROR(VALUE(SUBSTITUTE('MSR RAW'!P77,",","")),0))</f>
        <v/>
      </c>
      <c r="I77">
        <f>IF(E77="","",IFERROR(VALUE(SUBSTITUTE('MSR RAW'!S77,",","")),0))</f>
        <v/>
      </c>
    </row>
    <row r="78" ht="68.65000000000001" customHeight="1" s="126">
      <c r="A78" t="n">
        <v>78</v>
      </c>
      <c r="B78" s="30">
        <f>IF('MSR RAW'!$A$3="","",'MSR RAW'!$A$3)</f>
        <v/>
      </c>
      <c r="C78">
        <f>IF(LEFT(TRIM('MSR RAW'!A78),11)="Department:",TRIM('MSR RAW'!A78),C77)</f>
        <v/>
      </c>
      <c r="D78">
        <f>IF(LEFT(TRIM('MSR RAW'!B78),9)="Location:",TRIM(MID('MSR RAW'!B78,10,999)),D77)</f>
        <v/>
      </c>
      <c r="E78">
        <f>IF(AND(ISNUMBER(SEARCH(" - ",TRIM('MSR RAW'!C78))),RIGHT(TRIM('MSR RAW'!C78),6)="Total:"),LEFT(TRIM('MSR RAW'!C78),SEARCH(" - ",TRIM('MSR RAW'!C78))-1),"")</f>
        <v/>
      </c>
      <c r="F78">
        <f>IF(E78="","",TRIM(MID(TRIM('MSR RAW'!C78),SEARCH(" - ",TRIM('MSR RAW'!C78))+3,LEN(TRIM('MSR RAW'!C78))-SEARCH(" - ",TRIM('MSR RAW'!C78))-9)))</f>
        <v/>
      </c>
      <c r="G78">
        <f>IF(E78="","",IFERROR(VLOOKUP(E78,'CATEGORY MAP'!$A$2:$B$20,2,FALSE()),"REVIEW"))</f>
        <v/>
      </c>
      <c r="H78">
        <f>IF(E78="","",IFERROR(VALUE(SUBSTITUTE('MSR RAW'!P78,",","")),0))</f>
        <v/>
      </c>
      <c r="I78">
        <f>IF(E78="","",IFERROR(VALUE(SUBSTITUTE('MSR RAW'!S78,",","")),0))</f>
        <v/>
      </c>
    </row>
    <row r="79" ht="68.65000000000001" customHeight="1" s="126">
      <c r="A79" t="n">
        <v>79</v>
      </c>
      <c r="B79" s="30">
        <f>IF('MSR RAW'!$A$3="","",'MSR RAW'!$A$3)</f>
        <v/>
      </c>
      <c r="C79">
        <f>IF(LEFT(TRIM('MSR RAW'!A79),11)="Department:",TRIM('MSR RAW'!A79),C78)</f>
        <v/>
      </c>
      <c r="D79">
        <f>IF(LEFT(TRIM('MSR RAW'!B79),9)="Location:",TRIM(MID('MSR RAW'!B79,10,999)),D78)</f>
        <v/>
      </c>
      <c r="E79">
        <f>IF(AND(ISNUMBER(SEARCH(" - ",TRIM('MSR RAW'!C79))),RIGHT(TRIM('MSR RAW'!C79),6)="Total:"),LEFT(TRIM('MSR RAW'!C79),SEARCH(" - ",TRIM('MSR RAW'!C79))-1),"")</f>
        <v/>
      </c>
      <c r="F79">
        <f>IF(E79="","",TRIM(MID(TRIM('MSR RAW'!C79),SEARCH(" - ",TRIM('MSR RAW'!C79))+3,LEN(TRIM('MSR RAW'!C79))-SEARCH(" - ",TRIM('MSR RAW'!C79))-9)))</f>
        <v/>
      </c>
      <c r="G79">
        <f>IF(E79="","",IFERROR(VLOOKUP(E79,'CATEGORY MAP'!$A$2:$B$20,2,FALSE()),"REVIEW"))</f>
        <v/>
      </c>
      <c r="H79">
        <f>IF(E79="","",IFERROR(VALUE(SUBSTITUTE('MSR RAW'!P79,",","")),0))</f>
        <v/>
      </c>
      <c r="I79">
        <f>IF(E79="","",IFERROR(VALUE(SUBSTITUTE('MSR RAW'!S79,",","")),0))</f>
        <v/>
      </c>
    </row>
    <row r="80" ht="68.65000000000001" customHeight="1" s="126">
      <c r="A80" t="n">
        <v>80</v>
      </c>
      <c r="B80" s="30">
        <f>IF('MSR RAW'!$A$3="","",'MSR RAW'!$A$3)</f>
        <v/>
      </c>
      <c r="C80">
        <f>IF(LEFT(TRIM('MSR RAW'!A80),11)="Department:",TRIM('MSR RAW'!A80),C79)</f>
        <v/>
      </c>
      <c r="D80">
        <f>IF(LEFT(TRIM('MSR RAW'!B80),9)="Location:",TRIM(MID('MSR RAW'!B80,10,999)),D79)</f>
        <v/>
      </c>
      <c r="E80">
        <f>IF(AND(ISNUMBER(SEARCH(" - ",TRIM('MSR RAW'!C80))),RIGHT(TRIM('MSR RAW'!C80),6)="Total:"),LEFT(TRIM('MSR RAW'!C80),SEARCH(" - ",TRIM('MSR RAW'!C80))-1),"")</f>
        <v/>
      </c>
      <c r="F80">
        <f>IF(E80="","",TRIM(MID(TRIM('MSR RAW'!C80),SEARCH(" - ",TRIM('MSR RAW'!C80))+3,LEN(TRIM('MSR RAW'!C80))-SEARCH(" - ",TRIM('MSR RAW'!C80))-9)))</f>
        <v/>
      </c>
      <c r="G80">
        <f>IF(E80="","",IFERROR(VLOOKUP(E80,'CATEGORY MAP'!$A$2:$B$20,2,FALSE()),"REVIEW"))</f>
        <v/>
      </c>
      <c r="H80">
        <f>IF(E80="","",IFERROR(VALUE(SUBSTITUTE('MSR RAW'!P80,",","")),0))</f>
        <v/>
      </c>
      <c r="I80">
        <f>IF(E80="","",IFERROR(VALUE(SUBSTITUTE('MSR RAW'!S80,",","")),0))</f>
        <v/>
      </c>
    </row>
    <row r="81" ht="68.65000000000001" customHeight="1" s="126">
      <c r="A81" t="n">
        <v>81</v>
      </c>
      <c r="B81" s="30">
        <f>IF('MSR RAW'!$A$3="","",'MSR RAW'!$A$3)</f>
        <v/>
      </c>
      <c r="C81">
        <f>IF(LEFT(TRIM('MSR RAW'!A81),11)="Department:",TRIM('MSR RAW'!A81),C80)</f>
        <v/>
      </c>
      <c r="D81">
        <f>IF(LEFT(TRIM('MSR RAW'!B81),9)="Location:",TRIM(MID('MSR RAW'!B81,10,999)),D80)</f>
        <v/>
      </c>
      <c r="E81">
        <f>IF(AND(ISNUMBER(SEARCH(" - ",TRIM('MSR RAW'!C81))),RIGHT(TRIM('MSR RAW'!C81),6)="Total:"),LEFT(TRIM('MSR RAW'!C81),SEARCH(" - ",TRIM('MSR RAW'!C81))-1),"")</f>
        <v/>
      </c>
      <c r="F81">
        <f>IF(E81="","",TRIM(MID(TRIM('MSR RAW'!C81),SEARCH(" - ",TRIM('MSR RAW'!C81))+3,LEN(TRIM('MSR RAW'!C81))-SEARCH(" - ",TRIM('MSR RAW'!C81))-9)))</f>
        <v/>
      </c>
      <c r="G81">
        <f>IF(E81="","",IFERROR(VLOOKUP(E81,'CATEGORY MAP'!$A$2:$B$20,2,FALSE()),"REVIEW"))</f>
        <v/>
      </c>
      <c r="H81">
        <f>IF(E81="","",IFERROR(VALUE(SUBSTITUTE('MSR RAW'!P81,",","")),0))</f>
        <v/>
      </c>
      <c r="I81">
        <f>IF(E81="","",IFERROR(VALUE(SUBSTITUTE('MSR RAW'!S81,",","")),0))</f>
        <v/>
      </c>
    </row>
    <row r="82" ht="68.65000000000001" customHeight="1" s="126">
      <c r="A82" t="n">
        <v>82</v>
      </c>
      <c r="B82" s="30">
        <f>IF('MSR RAW'!$A$3="","",'MSR RAW'!$A$3)</f>
        <v/>
      </c>
      <c r="C82">
        <f>IF(LEFT(TRIM('MSR RAW'!A82),11)="Department:",TRIM('MSR RAW'!A82),C81)</f>
        <v/>
      </c>
      <c r="D82">
        <f>IF(LEFT(TRIM('MSR RAW'!B82),9)="Location:",TRIM(MID('MSR RAW'!B82,10,999)),D81)</f>
        <v/>
      </c>
      <c r="E82">
        <f>IF(AND(ISNUMBER(SEARCH(" - ",TRIM('MSR RAW'!C82))),RIGHT(TRIM('MSR RAW'!C82),6)="Total:"),LEFT(TRIM('MSR RAW'!C82),SEARCH(" - ",TRIM('MSR RAW'!C82))-1),"")</f>
        <v/>
      </c>
      <c r="F82">
        <f>IF(E82="","",TRIM(MID(TRIM('MSR RAW'!C82),SEARCH(" - ",TRIM('MSR RAW'!C82))+3,LEN(TRIM('MSR RAW'!C82))-SEARCH(" - ",TRIM('MSR RAW'!C82))-9)))</f>
        <v/>
      </c>
      <c r="G82">
        <f>IF(E82="","",IFERROR(VLOOKUP(E82,'CATEGORY MAP'!$A$2:$B$20,2,FALSE()),"REVIEW"))</f>
        <v/>
      </c>
      <c r="H82">
        <f>IF(E82="","",IFERROR(VALUE(SUBSTITUTE('MSR RAW'!P82,",","")),0))</f>
        <v/>
      </c>
      <c r="I82">
        <f>IF(E82="","",IFERROR(VALUE(SUBSTITUTE('MSR RAW'!S82,",","")),0))</f>
        <v/>
      </c>
    </row>
    <row r="83" ht="68.65000000000001" customHeight="1" s="126">
      <c r="A83" t="n">
        <v>83</v>
      </c>
      <c r="B83" s="30">
        <f>IF('MSR RAW'!$A$3="","",'MSR RAW'!$A$3)</f>
        <v/>
      </c>
      <c r="C83">
        <f>IF(LEFT(TRIM('MSR RAW'!A83),11)="Department:",TRIM('MSR RAW'!A83),C82)</f>
        <v/>
      </c>
      <c r="D83">
        <f>IF(LEFT(TRIM('MSR RAW'!B83),9)="Location:",TRIM(MID('MSR RAW'!B83,10,999)),D82)</f>
        <v/>
      </c>
      <c r="E83">
        <f>IF(AND(ISNUMBER(SEARCH(" - ",TRIM('MSR RAW'!C83))),RIGHT(TRIM('MSR RAW'!C83),6)="Total:"),LEFT(TRIM('MSR RAW'!C83),SEARCH(" - ",TRIM('MSR RAW'!C83))-1),"")</f>
        <v/>
      </c>
      <c r="F83">
        <f>IF(E83="","",TRIM(MID(TRIM('MSR RAW'!C83),SEARCH(" - ",TRIM('MSR RAW'!C83))+3,LEN(TRIM('MSR RAW'!C83))-SEARCH(" - ",TRIM('MSR RAW'!C83))-9)))</f>
        <v/>
      </c>
      <c r="G83">
        <f>IF(E83="","",IFERROR(VLOOKUP(E83,'CATEGORY MAP'!$A$2:$B$20,2,FALSE()),"REVIEW"))</f>
        <v/>
      </c>
      <c r="H83">
        <f>IF(E83="","",IFERROR(VALUE(SUBSTITUTE('MSR RAW'!P83,",","")),0))</f>
        <v/>
      </c>
      <c r="I83">
        <f>IF(E83="","",IFERROR(VALUE(SUBSTITUTE('MSR RAW'!S83,",","")),0))</f>
        <v/>
      </c>
    </row>
    <row r="84" ht="68.65000000000001" customHeight="1" s="126">
      <c r="A84" t="n">
        <v>84</v>
      </c>
      <c r="B84" s="30">
        <f>IF('MSR RAW'!$A$3="","",'MSR RAW'!$A$3)</f>
        <v/>
      </c>
      <c r="C84">
        <f>IF(LEFT(TRIM('MSR RAW'!A84),11)="Department:",TRIM('MSR RAW'!A84),C83)</f>
        <v/>
      </c>
      <c r="D84">
        <f>IF(LEFT(TRIM('MSR RAW'!B84),9)="Location:",TRIM(MID('MSR RAW'!B84,10,999)),D83)</f>
        <v/>
      </c>
      <c r="E84">
        <f>IF(AND(ISNUMBER(SEARCH(" - ",TRIM('MSR RAW'!C84))),RIGHT(TRIM('MSR RAW'!C84),6)="Total:"),LEFT(TRIM('MSR RAW'!C84),SEARCH(" - ",TRIM('MSR RAW'!C84))-1),"")</f>
        <v/>
      </c>
      <c r="F84">
        <f>IF(E84="","",TRIM(MID(TRIM('MSR RAW'!C84),SEARCH(" - ",TRIM('MSR RAW'!C84))+3,LEN(TRIM('MSR RAW'!C84))-SEARCH(" - ",TRIM('MSR RAW'!C84))-9)))</f>
        <v/>
      </c>
      <c r="G84">
        <f>IF(E84="","",IFERROR(VLOOKUP(E84,'CATEGORY MAP'!$A$2:$B$20,2,FALSE()),"REVIEW"))</f>
        <v/>
      </c>
      <c r="H84">
        <f>IF(E84="","",IFERROR(VALUE(SUBSTITUTE('MSR RAW'!P84,",","")),0))</f>
        <v/>
      </c>
      <c r="I84">
        <f>IF(E84="","",IFERROR(VALUE(SUBSTITUTE('MSR RAW'!S84,",","")),0))</f>
        <v/>
      </c>
    </row>
    <row r="85" ht="68.65000000000001" customHeight="1" s="126">
      <c r="A85" t="n">
        <v>85</v>
      </c>
      <c r="B85" s="30">
        <f>IF('MSR RAW'!$A$3="","",'MSR RAW'!$A$3)</f>
        <v/>
      </c>
      <c r="C85">
        <f>IF(LEFT(TRIM('MSR RAW'!A85),11)="Department:",TRIM('MSR RAW'!A85),C84)</f>
        <v/>
      </c>
      <c r="D85">
        <f>IF(LEFT(TRIM('MSR RAW'!B85),9)="Location:",TRIM(MID('MSR RAW'!B85,10,999)),D84)</f>
        <v/>
      </c>
      <c r="E85">
        <f>IF(AND(ISNUMBER(SEARCH(" - ",TRIM('MSR RAW'!C85))),RIGHT(TRIM('MSR RAW'!C85),6)="Total:"),LEFT(TRIM('MSR RAW'!C85),SEARCH(" - ",TRIM('MSR RAW'!C85))-1),"")</f>
        <v/>
      </c>
      <c r="F85">
        <f>IF(E85="","",TRIM(MID(TRIM('MSR RAW'!C85),SEARCH(" - ",TRIM('MSR RAW'!C85))+3,LEN(TRIM('MSR RAW'!C85))-SEARCH(" - ",TRIM('MSR RAW'!C85))-9)))</f>
        <v/>
      </c>
      <c r="G85">
        <f>IF(E85="","",IFERROR(VLOOKUP(E85,'CATEGORY MAP'!$A$2:$B$20,2,FALSE()),"REVIEW"))</f>
        <v/>
      </c>
      <c r="H85">
        <f>IF(E85="","",IFERROR(VALUE(SUBSTITUTE('MSR RAW'!P85,",","")),0))</f>
        <v/>
      </c>
      <c r="I85">
        <f>IF(E85="","",IFERROR(VALUE(SUBSTITUTE('MSR RAW'!S85,",","")),0))</f>
        <v/>
      </c>
    </row>
    <row r="86" ht="68.65000000000001" customHeight="1" s="126">
      <c r="A86" t="n">
        <v>86</v>
      </c>
      <c r="B86" s="30">
        <f>IF('MSR RAW'!$A$3="","",'MSR RAW'!$A$3)</f>
        <v/>
      </c>
      <c r="C86">
        <f>IF(LEFT(TRIM('MSR RAW'!A86),11)="Department:",TRIM('MSR RAW'!A86),C85)</f>
        <v/>
      </c>
      <c r="D86">
        <f>IF(LEFT(TRIM('MSR RAW'!B86),9)="Location:",TRIM(MID('MSR RAW'!B86,10,999)),D85)</f>
        <v/>
      </c>
      <c r="E86">
        <f>IF(AND(ISNUMBER(SEARCH(" - ",TRIM('MSR RAW'!C86))),RIGHT(TRIM('MSR RAW'!C86),6)="Total:"),LEFT(TRIM('MSR RAW'!C86),SEARCH(" - ",TRIM('MSR RAW'!C86))-1),"")</f>
        <v/>
      </c>
      <c r="F86">
        <f>IF(E86="","",TRIM(MID(TRIM('MSR RAW'!C86),SEARCH(" - ",TRIM('MSR RAW'!C86))+3,LEN(TRIM('MSR RAW'!C86))-SEARCH(" - ",TRIM('MSR RAW'!C86))-9)))</f>
        <v/>
      </c>
      <c r="G86">
        <f>IF(E86="","",IFERROR(VLOOKUP(E86,'CATEGORY MAP'!$A$2:$B$20,2,FALSE()),"REVIEW"))</f>
        <v/>
      </c>
      <c r="H86">
        <f>IF(E86="","",IFERROR(VALUE(SUBSTITUTE('MSR RAW'!P86,",","")),0))</f>
        <v/>
      </c>
      <c r="I86">
        <f>IF(E86="","",IFERROR(VALUE(SUBSTITUTE('MSR RAW'!S86,",","")),0))</f>
        <v/>
      </c>
    </row>
    <row r="87" ht="68.65000000000001" customHeight="1" s="126">
      <c r="A87" t="n">
        <v>87</v>
      </c>
      <c r="B87" s="30">
        <f>IF('MSR RAW'!$A$3="","",'MSR RAW'!$A$3)</f>
        <v/>
      </c>
      <c r="C87">
        <f>IF(LEFT(TRIM('MSR RAW'!A87),11)="Department:",TRIM('MSR RAW'!A87),C86)</f>
        <v/>
      </c>
      <c r="D87">
        <f>IF(LEFT(TRIM('MSR RAW'!B87),9)="Location:",TRIM(MID('MSR RAW'!B87,10,999)),D86)</f>
        <v/>
      </c>
      <c r="E87">
        <f>IF(AND(ISNUMBER(SEARCH(" - ",TRIM('MSR RAW'!C87))),RIGHT(TRIM('MSR RAW'!C87),6)="Total:"),LEFT(TRIM('MSR RAW'!C87),SEARCH(" - ",TRIM('MSR RAW'!C87))-1),"")</f>
        <v/>
      </c>
      <c r="F87">
        <f>IF(E87="","",TRIM(MID(TRIM('MSR RAW'!C87),SEARCH(" - ",TRIM('MSR RAW'!C87))+3,LEN(TRIM('MSR RAW'!C87))-SEARCH(" - ",TRIM('MSR RAW'!C87))-9)))</f>
        <v/>
      </c>
      <c r="G87">
        <f>IF(E87="","",IFERROR(VLOOKUP(E87,'CATEGORY MAP'!$A$2:$B$20,2,FALSE()),"REVIEW"))</f>
        <v/>
      </c>
      <c r="H87">
        <f>IF(E87="","",IFERROR(VALUE(SUBSTITUTE('MSR RAW'!P87,",","")),0))</f>
        <v/>
      </c>
      <c r="I87">
        <f>IF(E87="","",IFERROR(VALUE(SUBSTITUTE('MSR RAW'!S87,",","")),0))</f>
        <v/>
      </c>
    </row>
    <row r="88" ht="68.65000000000001" customHeight="1" s="126">
      <c r="A88" t="n">
        <v>88</v>
      </c>
      <c r="B88" s="30">
        <f>IF('MSR RAW'!$A$3="","",'MSR RAW'!$A$3)</f>
        <v/>
      </c>
      <c r="C88">
        <f>IF(LEFT(TRIM('MSR RAW'!A88),11)="Department:",TRIM('MSR RAW'!A88),C87)</f>
        <v/>
      </c>
      <c r="D88">
        <f>IF(LEFT(TRIM('MSR RAW'!B88),9)="Location:",TRIM(MID('MSR RAW'!B88,10,999)),D87)</f>
        <v/>
      </c>
      <c r="E88">
        <f>IF(AND(ISNUMBER(SEARCH(" - ",TRIM('MSR RAW'!C88))),RIGHT(TRIM('MSR RAW'!C88),6)="Total:"),LEFT(TRIM('MSR RAW'!C88),SEARCH(" - ",TRIM('MSR RAW'!C88))-1),"")</f>
        <v/>
      </c>
      <c r="F88">
        <f>IF(E88="","",TRIM(MID(TRIM('MSR RAW'!C88),SEARCH(" - ",TRIM('MSR RAW'!C88))+3,LEN(TRIM('MSR RAW'!C88))-SEARCH(" - ",TRIM('MSR RAW'!C88))-9)))</f>
        <v/>
      </c>
      <c r="G88">
        <f>IF(E88="","",IFERROR(VLOOKUP(E88,'CATEGORY MAP'!$A$2:$B$20,2,FALSE()),"REVIEW"))</f>
        <v/>
      </c>
      <c r="H88">
        <f>IF(E88="","",IFERROR(VALUE(SUBSTITUTE('MSR RAW'!P88,",","")),0))</f>
        <v/>
      </c>
      <c r="I88">
        <f>IF(E88="","",IFERROR(VALUE(SUBSTITUTE('MSR RAW'!S88,",","")),0))</f>
        <v/>
      </c>
    </row>
    <row r="89" ht="68.65000000000001" customHeight="1" s="126">
      <c r="A89" t="n">
        <v>89</v>
      </c>
      <c r="B89" s="30">
        <f>IF('MSR RAW'!$A$3="","",'MSR RAW'!$A$3)</f>
        <v/>
      </c>
      <c r="C89">
        <f>IF(LEFT(TRIM('MSR RAW'!A89),11)="Department:",TRIM('MSR RAW'!A89),C88)</f>
        <v/>
      </c>
      <c r="D89">
        <f>IF(LEFT(TRIM('MSR RAW'!B89),9)="Location:",TRIM(MID('MSR RAW'!B89,10,999)),D88)</f>
        <v/>
      </c>
      <c r="E89">
        <f>IF(AND(ISNUMBER(SEARCH(" - ",TRIM('MSR RAW'!C89))),RIGHT(TRIM('MSR RAW'!C89),6)="Total:"),LEFT(TRIM('MSR RAW'!C89),SEARCH(" - ",TRIM('MSR RAW'!C89))-1),"")</f>
        <v/>
      </c>
      <c r="F89">
        <f>IF(E89="","",TRIM(MID(TRIM('MSR RAW'!C89),SEARCH(" - ",TRIM('MSR RAW'!C89))+3,LEN(TRIM('MSR RAW'!C89))-SEARCH(" - ",TRIM('MSR RAW'!C89))-9)))</f>
        <v/>
      </c>
      <c r="G89">
        <f>IF(E89="","",IFERROR(VLOOKUP(E89,'CATEGORY MAP'!$A$2:$B$20,2,FALSE()),"REVIEW"))</f>
        <v/>
      </c>
      <c r="H89">
        <f>IF(E89="","",IFERROR(VALUE(SUBSTITUTE('MSR RAW'!P89,",","")),0))</f>
        <v/>
      </c>
      <c r="I89">
        <f>IF(E89="","",IFERROR(VALUE(SUBSTITUTE('MSR RAW'!S89,",","")),0))</f>
        <v/>
      </c>
    </row>
    <row r="90" ht="68.65000000000001" customHeight="1" s="126">
      <c r="A90" t="n">
        <v>90</v>
      </c>
      <c r="B90" s="30">
        <f>IF('MSR RAW'!$A$3="","",'MSR RAW'!$A$3)</f>
        <v/>
      </c>
      <c r="C90">
        <f>IF(LEFT(TRIM('MSR RAW'!A90),11)="Department:",TRIM('MSR RAW'!A90),C89)</f>
        <v/>
      </c>
      <c r="D90">
        <f>IF(LEFT(TRIM('MSR RAW'!B90),9)="Location:",TRIM(MID('MSR RAW'!B90,10,999)),D89)</f>
        <v/>
      </c>
      <c r="E90">
        <f>IF(AND(ISNUMBER(SEARCH(" - ",TRIM('MSR RAW'!C90))),RIGHT(TRIM('MSR RAW'!C90),6)="Total:"),LEFT(TRIM('MSR RAW'!C90),SEARCH(" - ",TRIM('MSR RAW'!C90))-1),"")</f>
        <v/>
      </c>
      <c r="F90">
        <f>IF(E90="","",TRIM(MID(TRIM('MSR RAW'!C90),SEARCH(" - ",TRIM('MSR RAW'!C90))+3,LEN(TRIM('MSR RAW'!C90))-SEARCH(" - ",TRIM('MSR RAW'!C90))-9)))</f>
        <v/>
      </c>
      <c r="G90">
        <f>IF(E90="","",IFERROR(VLOOKUP(E90,'CATEGORY MAP'!$A$2:$B$20,2,FALSE()),"REVIEW"))</f>
        <v/>
      </c>
      <c r="H90">
        <f>IF(E90="","",IFERROR(VALUE(SUBSTITUTE('MSR RAW'!P90,",","")),0))</f>
        <v/>
      </c>
      <c r="I90">
        <f>IF(E90="","",IFERROR(VALUE(SUBSTITUTE('MSR RAW'!S90,",","")),0))</f>
        <v/>
      </c>
    </row>
    <row r="91" ht="68.65000000000001" customHeight="1" s="126">
      <c r="A91" t="n">
        <v>91</v>
      </c>
      <c r="B91" s="30">
        <f>IF('MSR RAW'!$A$3="","",'MSR RAW'!$A$3)</f>
        <v/>
      </c>
      <c r="C91">
        <f>IF(LEFT(TRIM('MSR RAW'!A91),11)="Department:",TRIM('MSR RAW'!A91),C90)</f>
        <v/>
      </c>
      <c r="D91">
        <f>IF(LEFT(TRIM('MSR RAW'!B91),9)="Location:",TRIM(MID('MSR RAW'!B91,10,999)),D90)</f>
        <v/>
      </c>
      <c r="E91">
        <f>IF(AND(ISNUMBER(SEARCH(" - ",TRIM('MSR RAW'!C91))),RIGHT(TRIM('MSR RAW'!C91),6)="Total:"),LEFT(TRIM('MSR RAW'!C91),SEARCH(" - ",TRIM('MSR RAW'!C91))-1),"")</f>
        <v/>
      </c>
      <c r="F91">
        <f>IF(E91="","",TRIM(MID(TRIM('MSR RAW'!C91),SEARCH(" - ",TRIM('MSR RAW'!C91))+3,LEN(TRIM('MSR RAW'!C91))-SEARCH(" - ",TRIM('MSR RAW'!C91))-9)))</f>
        <v/>
      </c>
      <c r="G91">
        <f>IF(E91="","",IFERROR(VLOOKUP(E91,'CATEGORY MAP'!$A$2:$B$20,2,FALSE()),"REVIEW"))</f>
        <v/>
      </c>
      <c r="H91">
        <f>IF(E91="","",IFERROR(VALUE(SUBSTITUTE('MSR RAW'!P91,",","")),0))</f>
        <v/>
      </c>
      <c r="I91">
        <f>IF(E91="","",IFERROR(VALUE(SUBSTITUTE('MSR RAW'!S91,",","")),0))</f>
        <v/>
      </c>
    </row>
    <row r="92" ht="68.65000000000001" customHeight="1" s="126">
      <c r="A92" t="n">
        <v>92</v>
      </c>
      <c r="B92" s="30">
        <f>IF('MSR RAW'!$A$3="","",'MSR RAW'!$A$3)</f>
        <v/>
      </c>
      <c r="C92">
        <f>IF(LEFT(TRIM('MSR RAW'!A92),11)="Department:",TRIM('MSR RAW'!A92),C91)</f>
        <v/>
      </c>
      <c r="D92">
        <f>IF(LEFT(TRIM('MSR RAW'!B92),9)="Location:",TRIM(MID('MSR RAW'!B92,10,999)),D91)</f>
        <v/>
      </c>
      <c r="E92">
        <f>IF(AND(ISNUMBER(SEARCH(" - ",TRIM('MSR RAW'!C92))),RIGHT(TRIM('MSR RAW'!C92),6)="Total:"),LEFT(TRIM('MSR RAW'!C92),SEARCH(" - ",TRIM('MSR RAW'!C92))-1),"")</f>
        <v/>
      </c>
      <c r="F92">
        <f>IF(E92="","",TRIM(MID(TRIM('MSR RAW'!C92),SEARCH(" - ",TRIM('MSR RAW'!C92))+3,LEN(TRIM('MSR RAW'!C92))-SEARCH(" - ",TRIM('MSR RAW'!C92))-9)))</f>
        <v/>
      </c>
      <c r="G92">
        <f>IF(E92="","",IFERROR(VLOOKUP(E92,'CATEGORY MAP'!$A$2:$B$20,2,FALSE()),"REVIEW"))</f>
        <v/>
      </c>
      <c r="H92">
        <f>IF(E92="","",IFERROR(VALUE(SUBSTITUTE('MSR RAW'!P92,",","")),0))</f>
        <v/>
      </c>
      <c r="I92">
        <f>IF(E92="","",IFERROR(VALUE(SUBSTITUTE('MSR RAW'!S92,",","")),0))</f>
        <v/>
      </c>
    </row>
    <row r="93" ht="68.65000000000001" customHeight="1" s="126">
      <c r="A93" t="n">
        <v>93</v>
      </c>
      <c r="B93" s="30">
        <f>IF('MSR RAW'!$A$3="","",'MSR RAW'!$A$3)</f>
        <v/>
      </c>
      <c r="C93">
        <f>IF(LEFT(TRIM('MSR RAW'!A93),11)="Department:",TRIM('MSR RAW'!A93),C92)</f>
        <v/>
      </c>
      <c r="D93">
        <f>IF(LEFT(TRIM('MSR RAW'!B93),9)="Location:",TRIM(MID('MSR RAW'!B93,10,999)),D92)</f>
        <v/>
      </c>
      <c r="E93">
        <f>IF(AND(ISNUMBER(SEARCH(" - ",TRIM('MSR RAW'!C93))),RIGHT(TRIM('MSR RAW'!C93),6)="Total:"),LEFT(TRIM('MSR RAW'!C93),SEARCH(" - ",TRIM('MSR RAW'!C93))-1),"")</f>
        <v/>
      </c>
      <c r="F93">
        <f>IF(E93="","",TRIM(MID(TRIM('MSR RAW'!C93),SEARCH(" - ",TRIM('MSR RAW'!C93))+3,LEN(TRIM('MSR RAW'!C93))-SEARCH(" - ",TRIM('MSR RAW'!C93))-9)))</f>
        <v/>
      </c>
      <c r="G93">
        <f>IF(E93="","",IFERROR(VLOOKUP(E93,'CATEGORY MAP'!$A$2:$B$20,2,FALSE()),"REVIEW"))</f>
        <v/>
      </c>
      <c r="H93">
        <f>IF(E93="","",IFERROR(VALUE(SUBSTITUTE('MSR RAW'!P93,",","")),0))</f>
        <v/>
      </c>
      <c r="I93">
        <f>IF(E93="","",IFERROR(VALUE(SUBSTITUTE('MSR RAW'!S93,",","")),0))</f>
        <v/>
      </c>
    </row>
    <row r="94" ht="68.65000000000001" customHeight="1" s="126">
      <c r="A94" t="n">
        <v>94</v>
      </c>
      <c r="B94" s="30">
        <f>IF('MSR RAW'!$A$3="","",'MSR RAW'!$A$3)</f>
        <v/>
      </c>
      <c r="C94">
        <f>IF(LEFT(TRIM('MSR RAW'!A94),11)="Department:",TRIM('MSR RAW'!A94),C93)</f>
        <v/>
      </c>
      <c r="D94">
        <f>IF(LEFT(TRIM('MSR RAW'!B94),9)="Location:",TRIM(MID('MSR RAW'!B94,10,999)),D93)</f>
        <v/>
      </c>
      <c r="E94">
        <f>IF(AND(ISNUMBER(SEARCH(" - ",TRIM('MSR RAW'!C94))),RIGHT(TRIM('MSR RAW'!C94),6)="Total:"),LEFT(TRIM('MSR RAW'!C94),SEARCH(" - ",TRIM('MSR RAW'!C94))-1),"")</f>
        <v/>
      </c>
      <c r="F94">
        <f>IF(E94="","",TRIM(MID(TRIM('MSR RAW'!C94),SEARCH(" - ",TRIM('MSR RAW'!C94))+3,LEN(TRIM('MSR RAW'!C94))-SEARCH(" - ",TRIM('MSR RAW'!C94))-9)))</f>
        <v/>
      </c>
      <c r="G94">
        <f>IF(E94="","",IFERROR(VLOOKUP(E94,'CATEGORY MAP'!$A$2:$B$20,2,FALSE()),"REVIEW"))</f>
        <v/>
      </c>
      <c r="H94">
        <f>IF(E94="","",IFERROR(VALUE(SUBSTITUTE('MSR RAW'!P94,",","")),0))</f>
        <v/>
      </c>
      <c r="I94">
        <f>IF(E94="","",IFERROR(VALUE(SUBSTITUTE('MSR RAW'!S94,",","")),0))</f>
        <v/>
      </c>
    </row>
    <row r="95" ht="68.65000000000001" customHeight="1" s="126">
      <c r="A95" t="n">
        <v>95</v>
      </c>
      <c r="B95" s="30">
        <f>IF('MSR RAW'!$A$3="","",'MSR RAW'!$A$3)</f>
        <v/>
      </c>
      <c r="C95">
        <f>IF(LEFT(TRIM('MSR RAW'!A95),11)="Department:",TRIM('MSR RAW'!A95),C94)</f>
        <v/>
      </c>
      <c r="D95">
        <f>IF(LEFT(TRIM('MSR RAW'!B95),9)="Location:",TRIM(MID('MSR RAW'!B95,10,999)),D94)</f>
        <v/>
      </c>
      <c r="E95">
        <f>IF(AND(ISNUMBER(SEARCH(" - ",TRIM('MSR RAW'!C95))),RIGHT(TRIM('MSR RAW'!C95),6)="Total:"),LEFT(TRIM('MSR RAW'!C95),SEARCH(" - ",TRIM('MSR RAW'!C95))-1),"")</f>
        <v/>
      </c>
      <c r="F95">
        <f>IF(E95="","",TRIM(MID(TRIM('MSR RAW'!C95),SEARCH(" - ",TRIM('MSR RAW'!C95))+3,LEN(TRIM('MSR RAW'!C95))-SEARCH(" - ",TRIM('MSR RAW'!C95))-9)))</f>
        <v/>
      </c>
      <c r="G95">
        <f>IF(E95="","",IFERROR(VLOOKUP(E95,'CATEGORY MAP'!$A$2:$B$20,2,FALSE()),"REVIEW"))</f>
        <v/>
      </c>
      <c r="H95">
        <f>IF(E95="","",IFERROR(VALUE(SUBSTITUTE('MSR RAW'!P95,",","")),0))</f>
        <v/>
      </c>
      <c r="I95">
        <f>IF(E95="","",IFERROR(VALUE(SUBSTITUTE('MSR RAW'!S95,",","")),0))</f>
        <v/>
      </c>
    </row>
    <row r="96" ht="68.65000000000001" customHeight="1" s="126">
      <c r="A96" t="n">
        <v>96</v>
      </c>
      <c r="B96" s="30">
        <f>IF('MSR RAW'!$A$3="","",'MSR RAW'!$A$3)</f>
        <v/>
      </c>
      <c r="C96">
        <f>IF(LEFT(TRIM('MSR RAW'!A96),11)="Department:",TRIM('MSR RAW'!A96),C95)</f>
        <v/>
      </c>
      <c r="D96">
        <f>IF(LEFT(TRIM('MSR RAW'!B96),9)="Location:",TRIM(MID('MSR RAW'!B96,10,999)),D95)</f>
        <v/>
      </c>
      <c r="E96">
        <f>IF(AND(ISNUMBER(SEARCH(" - ",TRIM('MSR RAW'!C96))),RIGHT(TRIM('MSR RAW'!C96),6)="Total:"),LEFT(TRIM('MSR RAW'!C96),SEARCH(" - ",TRIM('MSR RAW'!C96))-1),"")</f>
        <v/>
      </c>
      <c r="F96">
        <f>IF(E96="","",TRIM(MID(TRIM('MSR RAW'!C96),SEARCH(" - ",TRIM('MSR RAW'!C96))+3,LEN(TRIM('MSR RAW'!C96))-SEARCH(" - ",TRIM('MSR RAW'!C96))-9)))</f>
        <v/>
      </c>
      <c r="G96">
        <f>IF(E96="","",IFERROR(VLOOKUP(E96,'CATEGORY MAP'!$A$2:$B$20,2,FALSE()),"REVIEW"))</f>
        <v/>
      </c>
      <c r="H96">
        <f>IF(E96="","",IFERROR(VALUE(SUBSTITUTE('MSR RAW'!P96,",","")),0))</f>
        <v/>
      </c>
      <c r="I96">
        <f>IF(E96="","",IFERROR(VALUE(SUBSTITUTE('MSR RAW'!S96,",","")),0))</f>
        <v/>
      </c>
    </row>
    <row r="97" ht="68.65000000000001" customHeight="1" s="126">
      <c r="A97" t="n">
        <v>97</v>
      </c>
      <c r="B97" s="30">
        <f>IF('MSR RAW'!$A$3="","",'MSR RAW'!$A$3)</f>
        <v/>
      </c>
      <c r="C97">
        <f>IF(LEFT(TRIM('MSR RAW'!A97),11)="Department:",TRIM('MSR RAW'!A97),C96)</f>
        <v/>
      </c>
      <c r="D97">
        <f>IF(LEFT(TRIM('MSR RAW'!B97),9)="Location:",TRIM(MID('MSR RAW'!B97,10,999)),D96)</f>
        <v/>
      </c>
      <c r="E97">
        <f>IF(AND(ISNUMBER(SEARCH(" - ",TRIM('MSR RAW'!C97))),RIGHT(TRIM('MSR RAW'!C97),6)="Total:"),LEFT(TRIM('MSR RAW'!C97),SEARCH(" - ",TRIM('MSR RAW'!C97))-1),"")</f>
        <v/>
      </c>
      <c r="F97">
        <f>IF(E97="","",TRIM(MID(TRIM('MSR RAW'!C97),SEARCH(" - ",TRIM('MSR RAW'!C97))+3,LEN(TRIM('MSR RAW'!C97))-SEARCH(" - ",TRIM('MSR RAW'!C97))-9)))</f>
        <v/>
      </c>
      <c r="G97">
        <f>IF(E97="","",IFERROR(VLOOKUP(E97,'CATEGORY MAP'!$A$2:$B$20,2,FALSE()),"REVIEW"))</f>
        <v/>
      </c>
      <c r="H97">
        <f>IF(E97="","",IFERROR(VALUE(SUBSTITUTE('MSR RAW'!P97,",","")),0))</f>
        <v/>
      </c>
      <c r="I97">
        <f>IF(E97="","",IFERROR(VALUE(SUBSTITUTE('MSR RAW'!S97,",","")),0))</f>
        <v/>
      </c>
    </row>
    <row r="98" ht="68.65000000000001" customHeight="1" s="126">
      <c r="A98" t="n">
        <v>98</v>
      </c>
      <c r="B98" s="30">
        <f>IF('MSR RAW'!$A$3="","",'MSR RAW'!$A$3)</f>
        <v/>
      </c>
      <c r="C98">
        <f>IF(LEFT(TRIM('MSR RAW'!A98),11)="Department:",TRIM('MSR RAW'!A98),C97)</f>
        <v/>
      </c>
      <c r="D98">
        <f>IF(LEFT(TRIM('MSR RAW'!B98),9)="Location:",TRIM(MID('MSR RAW'!B98,10,999)),D97)</f>
        <v/>
      </c>
      <c r="E98">
        <f>IF(AND(ISNUMBER(SEARCH(" - ",TRIM('MSR RAW'!C98))),RIGHT(TRIM('MSR RAW'!C98),6)="Total:"),LEFT(TRIM('MSR RAW'!C98),SEARCH(" - ",TRIM('MSR RAW'!C98))-1),"")</f>
        <v/>
      </c>
      <c r="F98">
        <f>IF(E98="","",TRIM(MID(TRIM('MSR RAW'!C98),SEARCH(" - ",TRIM('MSR RAW'!C98))+3,LEN(TRIM('MSR RAW'!C98))-SEARCH(" - ",TRIM('MSR RAW'!C98))-9)))</f>
        <v/>
      </c>
      <c r="G98">
        <f>IF(E98="","",IFERROR(VLOOKUP(E98,'CATEGORY MAP'!$A$2:$B$20,2,FALSE()),"REVIEW"))</f>
        <v/>
      </c>
      <c r="H98">
        <f>IF(E98="","",IFERROR(VALUE(SUBSTITUTE('MSR RAW'!P98,",","")),0))</f>
        <v/>
      </c>
      <c r="I98">
        <f>IF(E98="","",IFERROR(VALUE(SUBSTITUTE('MSR RAW'!S98,",","")),0))</f>
        <v/>
      </c>
    </row>
    <row r="99" ht="68.65000000000001" customHeight="1" s="126">
      <c r="A99" t="n">
        <v>99</v>
      </c>
      <c r="B99" s="30">
        <f>IF('MSR RAW'!$A$3="","",'MSR RAW'!$A$3)</f>
        <v/>
      </c>
      <c r="C99">
        <f>IF(LEFT(TRIM('MSR RAW'!A99),11)="Department:",TRIM('MSR RAW'!A99),C98)</f>
        <v/>
      </c>
      <c r="D99">
        <f>IF(LEFT(TRIM('MSR RAW'!B99),9)="Location:",TRIM(MID('MSR RAW'!B99,10,999)),D98)</f>
        <v/>
      </c>
      <c r="E99">
        <f>IF(AND(ISNUMBER(SEARCH(" - ",TRIM('MSR RAW'!C99))),RIGHT(TRIM('MSR RAW'!C99),6)="Total:"),LEFT(TRIM('MSR RAW'!C99),SEARCH(" - ",TRIM('MSR RAW'!C99))-1),"")</f>
        <v/>
      </c>
      <c r="F99">
        <f>IF(E99="","",TRIM(MID(TRIM('MSR RAW'!C99),SEARCH(" - ",TRIM('MSR RAW'!C99))+3,LEN(TRIM('MSR RAW'!C99))-SEARCH(" - ",TRIM('MSR RAW'!C99))-9)))</f>
        <v/>
      </c>
      <c r="G99">
        <f>IF(E99="","",IFERROR(VLOOKUP(E99,'CATEGORY MAP'!$A$2:$B$20,2,FALSE()),"REVIEW"))</f>
        <v/>
      </c>
      <c r="H99">
        <f>IF(E99="","",IFERROR(VALUE(SUBSTITUTE('MSR RAW'!P99,",","")),0))</f>
        <v/>
      </c>
      <c r="I99">
        <f>IF(E99="","",IFERROR(VALUE(SUBSTITUTE('MSR RAW'!S99,",","")),0))</f>
        <v/>
      </c>
    </row>
    <row r="100" ht="68.65000000000001" customHeight="1" s="126">
      <c r="A100" t="n">
        <v>100</v>
      </c>
      <c r="B100" s="30">
        <f>IF('MSR RAW'!$A$3="","",'MSR RAW'!$A$3)</f>
        <v/>
      </c>
      <c r="C100">
        <f>IF(LEFT(TRIM('MSR RAW'!A100),11)="Department:",TRIM('MSR RAW'!A100),C99)</f>
        <v/>
      </c>
      <c r="D100">
        <f>IF(LEFT(TRIM('MSR RAW'!B100),9)="Location:",TRIM(MID('MSR RAW'!B100,10,999)),D99)</f>
        <v/>
      </c>
      <c r="E100">
        <f>IF(AND(ISNUMBER(SEARCH(" - ",TRIM('MSR RAW'!C100))),RIGHT(TRIM('MSR RAW'!C100),6)="Total:"),LEFT(TRIM('MSR RAW'!C100),SEARCH(" - ",TRIM('MSR RAW'!C100))-1),"")</f>
        <v/>
      </c>
      <c r="F100">
        <f>IF(E100="","",TRIM(MID(TRIM('MSR RAW'!C100),SEARCH(" - ",TRIM('MSR RAW'!C100))+3,LEN(TRIM('MSR RAW'!C100))-SEARCH(" - ",TRIM('MSR RAW'!C100))-9)))</f>
        <v/>
      </c>
      <c r="G100">
        <f>IF(E100="","",IFERROR(VLOOKUP(E100,'CATEGORY MAP'!$A$2:$B$20,2,FALSE()),"REVIEW"))</f>
        <v/>
      </c>
      <c r="H100">
        <f>IF(E100="","",IFERROR(VALUE(SUBSTITUTE('MSR RAW'!P100,",","")),0))</f>
        <v/>
      </c>
      <c r="I100">
        <f>IF(E100="","",IFERROR(VALUE(SUBSTITUTE('MSR RAW'!S100,",","")),0))</f>
        <v/>
      </c>
    </row>
    <row r="101" ht="68.65000000000001" customHeight="1" s="126">
      <c r="A101" t="n">
        <v>101</v>
      </c>
      <c r="B101" s="30">
        <f>IF('MSR RAW'!$A$3="","",'MSR RAW'!$A$3)</f>
        <v/>
      </c>
      <c r="C101">
        <f>IF(LEFT(TRIM('MSR RAW'!A101),11)="Department:",TRIM('MSR RAW'!A101),C100)</f>
        <v/>
      </c>
      <c r="D101">
        <f>IF(LEFT(TRIM('MSR RAW'!B101),9)="Location:",TRIM(MID('MSR RAW'!B101,10,999)),D100)</f>
        <v/>
      </c>
      <c r="E101">
        <f>IF(AND(ISNUMBER(SEARCH(" - ",TRIM('MSR RAW'!C101))),RIGHT(TRIM('MSR RAW'!C101),6)="Total:"),LEFT(TRIM('MSR RAW'!C101),SEARCH(" - ",TRIM('MSR RAW'!C101))-1),"")</f>
        <v/>
      </c>
      <c r="F101">
        <f>IF(E101="","",TRIM(MID(TRIM('MSR RAW'!C101),SEARCH(" - ",TRIM('MSR RAW'!C101))+3,LEN(TRIM('MSR RAW'!C101))-SEARCH(" - ",TRIM('MSR RAW'!C101))-9)))</f>
        <v/>
      </c>
      <c r="G101">
        <f>IF(E101="","",IFERROR(VLOOKUP(E101,'CATEGORY MAP'!$A$2:$B$20,2,FALSE()),"REVIEW"))</f>
        <v/>
      </c>
      <c r="H101">
        <f>IF(E101="","",IFERROR(VALUE(SUBSTITUTE('MSR RAW'!P101,",","")),0))</f>
        <v/>
      </c>
      <c r="I101">
        <f>IF(E101="","",IFERROR(VALUE(SUBSTITUTE('MSR RAW'!S101,",","")),0))</f>
        <v/>
      </c>
    </row>
    <row r="102" ht="68.65000000000001" customHeight="1" s="126">
      <c r="A102" t="n">
        <v>102</v>
      </c>
      <c r="B102" s="30">
        <f>IF('MSR RAW'!$A$3="","",'MSR RAW'!$A$3)</f>
        <v/>
      </c>
      <c r="C102">
        <f>IF(LEFT(TRIM('MSR RAW'!A102),11)="Department:",TRIM('MSR RAW'!A102),C101)</f>
        <v/>
      </c>
      <c r="D102">
        <f>IF(LEFT(TRIM('MSR RAW'!B102),9)="Location:",TRIM(MID('MSR RAW'!B102,10,999)),D101)</f>
        <v/>
      </c>
      <c r="E102">
        <f>IF(AND(ISNUMBER(SEARCH(" - ",TRIM('MSR RAW'!C102))),RIGHT(TRIM('MSR RAW'!C102),6)="Total:"),LEFT(TRIM('MSR RAW'!C102),SEARCH(" - ",TRIM('MSR RAW'!C102))-1),"")</f>
        <v/>
      </c>
      <c r="F102">
        <f>IF(E102="","",TRIM(MID(TRIM('MSR RAW'!C102),SEARCH(" - ",TRIM('MSR RAW'!C102))+3,LEN(TRIM('MSR RAW'!C102))-SEARCH(" - ",TRIM('MSR RAW'!C102))-9)))</f>
        <v/>
      </c>
      <c r="G102">
        <f>IF(E102="","",IFERROR(VLOOKUP(E102,'CATEGORY MAP'!$A$2:$B$20,2,FALSE()),"REVIEW"))</f>
        <v/>
      </c>
      <c r="H102">
        <f>IF(E102="","",IFERROR(VALUE(SUBSTITUTE('MSR RAW'!P102,",","")),0))</f>
        <v/>
      </c>
      <c r="I102">
        <f>IF(E102="","",IFERROR(VALUE(SUBSTITUTE('MSR RAW'!S102,",","")),0))</f>
        <v/>
      </c>
    </row>
    <row r="103" ht="68.65000000000001" customHeight="1" s="126">
      <c r="A103" t="n">
        <v>103</v>
      </c>
      <c r="B103" s="30">
        <f>IF('MSR RAW'!$A$3="","",'MSR RAW'!$A$3)</f>
        <v/>
      </c>
      <c r="C103">
        <f>IF(LEFT(TRIM('MSR RAW'!A103),11)="Department:",TRIM('MSR RAW'!A103),C102)</f>
        <v/>
      </c>
      <c r="D103">
        <f>IF(LEFT(TRIM('MSR RAW'!B103),9)="Location:",TRIM(MID('MSR RAW'!B103,10,999)),D102)</f>
        <v/>
      </c>
      <c r="E103">
        <f>IF(AND(ISNUMBER(SEARCH(" - ",TRIM('MSR RAW'!C103))),RIGHT(TRIM('MSR RAW'!C103),6)="Total:"),LEFT(TRIM('MSR RAW'!C103),SEARCH(" - ",TRIM('MSR RAW'!C103))-1),"")</f>
        <v/>
      </c>
      <c r="F103">
        <f>IF(E103="","",TRIM(MID(TRIM('MSR RAW'!C103),SEARCH(" - ",TRIM('MSR RAW'!C103))+3,LEN(TRIM('MSR RAW'!C103))-SEARCH(" - ",TRIM('MSR RAW'!C103))-9)))</f>
        <v/>
      </c>
      <c r="G103">
        <f>IF(E103="","",IFERROR(VLOOKUP(E103,'CATEGORY MAP'!$A$2:$B$20,2,FALSE()),"REVIEW"))</f>
        <v/>
      </c>
      <c r="H103">
        <f>IF(E103="","",IFERROR(VALUE(SUBSTITUTE('MSR RAW'!P103,",","")),0))</f>
        <v/>
      </c>
      <c r="I103">
        <f>IF(E103="","",IFERROR(VALUE(SUBSTITUTE('MSR RAW'!S103,",","")),0))</f>
        <v/>
      </c>
    </row>
    <row r="104" ht="68.65000000000001" customHeight="1" s="126">
      <c r="A104" t="n">
        <v>104</v>
      </c>
      <c r="B104" s="30">
        <f>IF('MSR RAW'!$A$3="","",'MSR RAW'!$A$3)</f>
        <v/>
      </c>
      <c r="C104">
        <f>IF(LEFT(TRIM('MSR RAW'!A104),11)="Department:",TRIM('MSR RAW'!A104),C103)</f>
        <v/>
      </c>
      <c r="D104">
        <f>IF(LEFT(TRIM('MSR RAW'!B104),9)="Location:",TRIM(MID('MSR RAW'!B104,10,999)),D103)</f>
        <v/>
      </c>
      <c r="E104">
        <f>IF(AND(ISNUMBER(SEARCH(" - ",TRIM('MSR RAW'!C104))),RIGHT(TRIM('MSR RAW'!C104),6)="Total:"),LEFT(TRIM('MSR RAW'!C104),SEARCH(" - ",TRIM('MSR RAW'!C104))-1),"")</f>
        <v/>
      </c>
      <c r="F104">
        <f>IF(E104="","",TRIM(MID(TRIM('MSR RAW'!C104),SEARCH(" - ",TRIM('MSR RAW'!C104))+3,LEN(TRIM('MSR RAW'!C104))-SEARCH(" - ",TRIM('MSR RAW'!C104))-9)))</f>
        <v/>
      </c>
      <c r="G104">
        <f>IF(E104="","",IFERROR(VLOOKUP(E104,'CATEGORY MAP'!$A$2:$B$20,2,FALSE()),"REVIEW"))</f>
        <v/>
      </c>
      <c r="H104">
        <f>IF(E104="","",IFERROR(VALUE(SUBSTITUTE('MSR RAW'!P104,",","")),0))</f>
        <v/>
      </c>
      <c r="I104">
        <f>IF(E104="","",IFERROR(VALUE(SUBSTITUTE('MSR RAW'!S104,",","")),0))</f>
        <v/>
      </c>
    </row>
    <row r="105" ht="68.65000000000001" customHeight="1" s="126">
      <c r="A105" t="n">
        <v>105</v>
      </c>
      <c r="B105" s="30">
        <f>IF('MSR RAW'!$A$3="","",'MSR RAW'!$A$3)</f>
        <v/>
      </c>
      <c r="C105">
        <f>IF(LEFT(TRIM('MSR RAW'!A105),11)="Department:",TRIM('MSR RAW'!A105),C104)</f>
        <v/>
      </c>
      <c r="D105">
        <f>IF(LEFT(TRIM('MSR RAW'!B105),9)="Location:",TRIM(MID('MSR RAW'!B105,10,999)),D104)</f>
        <v/>
      </c>
      <c r="E105">
        <f>IF(AND(ISNUMBER(SEARCH(" - ",TRIM('MSR RAW'!C105))),RIGHT(TRIM('MSR RAW'!C105),6)="Total:"),LEFT(TRIM('MSR RAW'!C105),SEARCH(" - ",TRIM('MSR RAW'!C105))-1),"")</f>
        <v/>
      </c>
      <c r="F105">
        <f>IF(E105="","",TRIM(MID(TRIM('MSR RAW'!C105),SEARCH(" - ",TRIM('MSR RAW'!C105))+3,LEN(TRIM('MSR RAW'!C105))-SEARCH(" - ",TRIM('MSR RAW'!C105))-9)))</f>
        <v/>
      </c>
      <c r="G105">
        <f>IF(E105="","",IFERROR(VLOOKUP(E105,'CATEGORY MAP'!$A$2:$B$20,2,FALSE()),"REVIEW"))</f>
        <v/>
      </c>
      <c r="H105">
        <f>IF(E105="","",IFERROR(VALUE(SUBSTITUTE('MSR RAW'!P105,",","")),0))</f>
        <v/>
      </c>
      <c r="I105">
        <f>IF(E105="","",IFERROR(VALUE(SUBSTITUTE('MSR RAW'!S105,",","")),0))</f>
        <v/>
      </c>
    </row>
    <row r="106" ht="68.65000000000001" customHeight="1" s="126">
      <c r="A106" t="n">
        <v>106</v>
      </c>
      <c r="B106" s="30">
        <f>IF('MSR RAW'!$A$3="","",'MSR RAW'!$A$3)</f>
        <v/>
      </c>
      <c r="C106">
        <f>IF(LEFT(TRIM('MSR RAW'!A106),11)="Department:",TRIM('MSR RAW'!A106),C105)</f>
        <v/>
      </c>
      <c r="D106">
        <f>IF(LEFT(TRIM('MSR RAW'!B106),9)="Location:",TRIM(MID('MSR RAW'!B106,10,999)),D105)</f>
        <v/>
      </c>
      <c r="E106">
        <f>IF(AND(ISNUMBER(SEARCH(" - ",TRIM('MSR RAW'!C106))),RIGHT(TRIM('MSR RAW'!C106),6)="Total:"),LEFT(TRIM('MSR RAW'!C106),SEARCH(" - ",TRIM('MSR RAW'!C106))-1),"")</f>
        <v/>
      </c>
      <c r="F106">
        <f>IF(E106="","",TRIM(MID(TRIM('MSR RAW'!C106),SEARCH(" - ",TRIM('MSR RAW'!C106))+3,LEN(TRIM('MSR RAW'!C106))-SEARCH(" - ",TRIM('MSR RAW'!C106))-9)))</f>
        <v/>
      </c>
      <c r="G106">
        <f>IF(E106="","",IFERROR(VLOOKUP(E106,'CATEGORY MAP'!$A$2:$B$20,2,FALSE()),"REVIEW"))</f>
        <v/>
      </c>
      <c r="H106">
        <f>IF(E106="","",IFERROR(VALUE(SUBSTITUTE('MSR RAW'!P106,",","")),0))</f>
        <v/>
      </c>
      <c r="I106">
        <f>IF(E106="","",IFERROR(VALUE(SUBSTITUTE('MSR RAW'!S106,",","")),0))</f>
        <v/>
      </c>
    </row>
    <row r="107" ht="68.65000000000001" customHeight="1" s="126">
      <c r="A107" t="n">
        <v>107</v>
      </c>
      <c r="B107" s="30">
        <f>IF('MSR RAW'!$A$3="","",'MSR RAW'!$A$3)</f>
        <v/>
      </c>
      <c r="C107">
        <f>IF(LEFT(TRIM('MSR RAW'!A107),11)="Department:",TRIM('MSR RAW'!A107),C106)</f>
        <v/>
      </c>
      <c r="D107">
        <f>IF(LEFT(TRIM('MSR RAW'!B107),9)="Location:",TRIM(MID('MSR RAW'!B107,10,999)),D106)</f>
        <v/>
      </c>
      <c r="E107">
        <f>IF(AND(ISNUMBER(SEARCH(" - ",TRIM('MSR RAW'!C107))),RIGHT(TRIM('MSR RAW'!C107),6)="Total:"),LEFT(TRIM('MSR RAW'!C107),SEARCH(" - ",TRIM('MSR RAW'!C107))-1),"")</f>
        <v/>
      </c>
      <c r="F107">
        <f>IF(E107="","",TRIM(MID(TRIM('MSR RAW'!C107),SEARCH(" - ",TRIM('MSR RAW'!C107))+3,LEN(TRIM('MSR RAW'!C107))-SEARCH(" - ",TRIM('MSR RAW'!C107))-9)))</f>
        <v/>
      </c>
      <c r="G107">
        <f>IF(E107="","",IFERROR(VLOOKUP(E107,'CATEGORY MAP'!$A$2:$B$20,2,FALSE()),"REVIEW"))</f>
        <v/>
      </c>
      <c r="H107">
        <f>IF(E107="","",IFERROR(VALUE(SUBSTITUTE('MSR RAW'!P107,",","")),0))</f>
        <v/>
      </c>
      <c r="I107">
        <f>IF(E107="","",IFERROR(VALUE(SUBSTITUTE('MSR RAW'!S107,",","")),0))</f>
        <v/>
      </c>
    </row>
    <row r="108" ht="68.65000000000001" customHeight="1" s="126">
      <c r="A108" t="n">
        <v>108</v>
      </c>
      <c r="B108" s="30">
        <f>IF('MSR RAW'!$A$3="","",'MSR RAW'!$A$3)</f>
        <v/>
      </c>
      <c r="C108">
        <f>IF(LEFT(TRIM('MSR RAW'!A108),11)="Department:",TRIM('MSR RAW'!A108),C107)</f>
        <v/>
      </c>
      <c r="D108">
        <f>IF(LEFT(TRIM('MSR RAW'!B108),9)="Location:",TRIM(MID('MSR RAW'!B108,10,999)),D107)</f>
        <v/>
      </c>
      <c r="E108">
        <f>IF(AND(ISNUMBER(SEARCH(" - ",TRIM('MSR RAW'!C108))),RIGHT(TRIM('MSR RAW'!C108),6)="Total:"),LEFT(TRIM('MSR RAW'!C108),SEARCH(" - ",TRIM('MSR RAW'!C108))-1),"")</f>
        <v/>
      </c>
      <c r="F108">
        <f>IF(E108="","",TRIM(MID(TRIM('MSR RAW'!C108),SEARCH(" - ",TRIM('MSR RAW'!C108))+3,LEN(TRIM('MSR RAW'!C108))-SEARCH(" - ",TRIM('MSR RAW'!C108))-9)))</f>
        <v/>
      </c>
      <c r="G108">
        <f>IF(E108="","",IFERROR(VLOOKUP(E108,'CATEGORY MAP'!$A$2:$B$20,2,FALSE()),"REVIEW"))</f>
        <v/>
      </c>
      <c r="H108">
        <f>IF(E108="","",IFERROR(VALUE(SUBSTITUTE('MSR RAW'!P108,",","")),0))</f>
        <v/>
      </c>
      <c r="I108">
        <f>IF(E108="","",IFERROR(VALUE(SUBSTITUTE('MSR RAW'!S108,",","")),0))</f>
        <v/>
      </c>
    </row>
    <row r="109" ht="68.65000000000001" customHeight="1" s="126">
      <c r="A109" t="n">
        <v>109</v>
      </c>
      <c r="B109" s="30">
        <f>IF('MSR RAW'!$A$3="","",'MSR RAW'!$A$3)</f>
        <v/>
      </c>
      <c r="C109">
        <f>IF(LEFT(TRIM('MSR RAW'!A109),11)="Department:",TRIM('MSR RAW'!A109),C108)</f>
        <v/>
      </c>
      <c r="D109">
        <f>IF(LEFT(TRIM('MSR RAW'!B109),9)="Location:",TRIM(MID('MSR RAW'!B109,10,999)),D108)</f>
        <v/>
      </c>
      <c r="E109">
        <f>IF(AND(ISNUMBER(SEARCH(" - ",TRIM('MSR RAW'!C109))),RIGHT(TRIM('MSR RAW'!C109),6)="Total:"),LEFT(TRIM('MSR RAW'!C109),SEARCH(" - ",TRIM('MSR RAW'!C109))-1),"")</f>
        <v/>
      </c>
      <c r="F109">
        <f>IF(E109="","",TRIM(MID(TRIM('MSR RAW'!C109),SEARCH(" - ",TRIM('MSR RAW'!C109))+3,LEN(TRIM('MSR RAW'!C109))-SEARCH(" - ",TRIM('MSR RAW'!C109))-9)))</f>
        <v/>
      </c>
      <c r="G109">
        <f>IF(E109="","",IFERROR(VLOOKUP(E109,'CATEGORY MAP'!$A$2:$B$20,2,FALSE()),"REVIEW"))</f>
        <v/>
      </c>
      <c r="H109">
        <f>IF(E109="","",IFERROR(VALUE(SUBSTITUTE('MSR RAW'!P109,",","")),0))</f>
        <v/>
      </c>
      <c r="I109">
        <f>IF(E109="","",IFERROR(VALUE(SUBSTITUTE('MSR RAW'!S109,",","")),0))</f>
        <v/>
      </c>
    </row>
    <row r="110" ht="68.65000000000001" customHeight="1" s="126">
      <c r="A110" t="n">
        <v>110</v>
      </c>
      <c r="B110" s="30">
        <f>IF('MSR RAW'!$A$3="","",'MSR RAW'!$A$3)</f>
        <v/>
      </c>
      <c r="C110">
        <f>IF(LEFT(TRIM('MSR RAW'!A110),11)="Department:",TRIM('MSR RAW'!A110),C109)</f>
        <v/>
      </c>
      <c r="D110">
        <f>IF(LEFT(TRIM('MSR RAW'!B110),9)="Location:",TRIM(MID('MSR RAW'!B110,10,999)),D109)</f>
        <v/>
      </c>
      <c r="E110">
        <f>IF(AND(ISNUMBER(SEARCH(" - ",TRIM('MSR RAW'!C110))),RIGHT(TRIM('MSR RAW'!C110),6)="Total:"),LEFT(TRIM('MSR RAW'!C110),SEARCH(" - ",TRIM('MSR RAW'!C110))-1),"")</f>
        <v/>
      </c>
      <c r="F110">
        <f>IF(E110="","",TRIM(MID(TRIM('MSR RAW'!C110),SEARCH(" - ",TRIM('MSR RAW'!C110))+3,LEN(TRIM('MSR RAW'!C110))-SEARCH(" - ",TRIM('MSR RAW'!C110))-9)))</f>
        <v/>
      </c>
      <c r="G110">
        <f>IF(E110="","",IFERROR(VLOOKUP(E110,'CATEGORY MAP'!$A$2:$B$20,2,FALSE()),"REVIEW"))</f>
        <v/>
      </c>
      <c r="H110">
        <f>IF(E110="","",IFERROR(VALUE(SUBSTITUTE('MSR RAW'!P110,",","")),0))</f>
        <v/>
      </c>
      <c r="I110">
        <f>IF(E110="","",IFERROR(VALUE(SUBSTITUTE('MSR RAW'!S110,",","")),0))</f>
        <v/>
      </c>
    </row>
    <row r="111" ht="68.65000000000001" customHeight="1" s="126">
      <c r="A111" t="n">
        <v>111</v>
      </c>
      <c r="B111" s="30">
        <f>IF('MSR RAW'!$A$3="","",'MSR RAW'!$A$3)</f>
        <v/>
      </c>
      <c r="C111">
        <f>IF(LEFT(TRIM('MSR RAW'!A111),11)="Department:",TRIM('MSR RAW'!A111),C110)</f>
        <v/>
      </c>
      <c r="D111">
        <f>IF(LEFT(TRIM('MSR RAW'!B111),9)="Location:",TRIM(MID('MSR RAW'!B111,10,999)),D110)</f>
        <v/>
      </c>
      <c r="E111">
        <f>IF(AND(ISNUMBER(SEARCH(" - ",TRIM('MSR RAW'!C111))),RIGHT(TRIM('MSR RAW'!C111),6)="Total:"),LEFT(TRIM('MSR RAW'!C111),SEARCH(" - ",TRIM('MSR RAW'!C111))-1),"")</f>
        <v/>
      </c>
      <c r="F111">
        <f>IF(E111="","",TRIM(MID(TRIM('MSR RAW'!C111),SEARCH(" - ",TRIM('MSR RAW'!C111))+3,LEN(TRIM('MSR RAW'!C111))-SEARCH(" - ",TRIM('MSR RAW'!C111))-9)))</f>
        <v/>
      </c>
      <c r="G111">
        <f>IF(E111="","",IFERROR(VLOOKUP(E111,'CATEGORY MAP'!$A$2:$B$20,2,FALSE()),"REVIEW"))</f>
        <v/>
      </c>
      <c r="H111">
        <f>IF(E111="","",IFERROR(VALUE(SUBSTITUTE('MSR RAW'!P111,",","")),0))</f>
        <v/>
      </c>
      <c r="I111">
        <f>IF(E111="","",IFERROR(VALUE(SUBSTITUTE('MSR RAW'!S111,",","")),0))</f>
        <v/>
      </c>
    </row>
    <row r="112" ht="68.65000000000001" customHeight="1" s="126">
      <c r="A112" t="n">
        <v>112</v>
      </c>
      <c r="B112" s="30">
        <f>IF('MSR RAW'!$A$3="","",'MSR RAW'!$A$3)</f>
        <v/>
      </c>
      <c r="C112">
        <f>IF(LEFT(TRIM('MSR RAW'!A112),11)="Department:",TRIM('MSR RAW'!A112),C111)</f>
        <v/>
      </c>
      <c r="D112">
        <f>IF(LEFT(TRIM('MSR RAW'!B112),9)="Location:",TRIM(MID('MSR RAW'!B112,10,999)),D111)</f>
        <v/>
      </c>
      <c r="E112">
        <f>IF(AND(ISNUMBER(SEARCH(" - ",TRIM('MSR RAW'!C112))),RIGHT(TRIM('MSR RAW'!C112),6)="Total:"),LEFT(TRIM('MSR RAW'!C112),SEARCH(" - ",TRIM('MSR RAW'!C112))-1),"")</f>
        <v/>
      </c>
      <c r="F112">
        <f>IF(E112="","",TRIM(MID(TRIM('MSR RAW'!C112),SEARCH(" - ",TRIM('MSR RAW'!C112))+3,LEN(TRIM('MSR RAW'!C112))-SEARCH(" - ",TRIM('MSR RAW'!C112))-9)))</f>
        <v/>
      </c>
      <c r="G112">
        <f>IF(E112="","",IFERROR(VLOOKUP(E112,'CATEGORY MAP'!$A$2:$B$20,2,FALSE()),"REVIEW"))</f>
        <v/>
      </c>
      <c r="H112">
        <f>IF(E112="","",IFERROR(VALUE(SUBSTITUTE('MSR RAW'!P112,",","")),0))</f>
        <v/>
      </c>
      <c r="I112">
        <f>IF(E112="","",IFERROR(VALUE(SUBSTITUTE('MSR RAW'!S112,",","")),0))</f>
        <v/>
      </c>
    </row>
    <row r="113" ht="68.65000000000001" customHeight="1" s="126">
      <c r="A113" t="n">
        <v>113</v>
      </c>
      <c r="B113" s="30">
        <f>IF('MSR RAW'!$A$3="","",'MSR RAW'!$A$3)</f>
        <v/>
      </c>
      <c r="C113">
        <f>IF(LEFT(TRIM('MSR RAW'!A113),11)="Department:",TRIM('MSR RAW'!A113),C112)</f>
        <v/>
      </c>
      <c r="D113">
        <f>IF(LEFT(TRIM('MSR RAW'!B113),9)="Location:",TRIM(MID('MSR RAW'!B113,10,999)),D112)</f>
        <v/>
      </c>
      <c r="E113">
        <f>IF(AND(ISNUMBER(SEARCH(" - ",TRIM('MSR RAW'!C113))),RIGHT(TRIM('MSR RAW'!C113),6)="Total:"),LEFT(TRIM('MSR RAW'!C113),SEARCH(" - ",TRIM('MSR RAW'!C113))-1),"")</f>
        <v/>
      </c>
      <c r="F113">
        <f>IF(E113="","",TRIM(MID(TRIM('MSR RAW'!C113),SEARCH(" - ",TRIM('MSR RAW'!C113))+3,LEN(TRIM('MSR RAW'!C113))-SEARCH(" - ",TRIM('MSR RAW'!C113))-9)))</f>
        <v/>
      </c>
      <c r="G113">
        <f>IF(E113="","",IFERROR(VLOOKUP(E113,'CATEGORY MAP'!$A$2:$B$20,2,FALSE()),"REVIEW"))</f>
        <v/>
      </c>
      <c r="H113">
        <f>IF(E113="","",IFERROR(VALUE(SUBSTITUTE('MSR RAW'!P113,",","")),0))</f>
        <v/>
      </c>
      <c r="I113">
        <f>IF(E113="","",IFERROR(VALUE(SUBSTITUTE('MSR RAW'!S113,",","")),0))</f>
        <v/>
      </c>
    </row>
    <row r="114" ht="68.65000000000001" customHeight="1" s="126">
      <c r="A114" t="n">
        <v>114</v>
      </c>
      <c r="B114" s="30">
        <f>IF('MSR RAW'!$A$3="","",'MSR RAW'!$A$3)</f>
        <v/>
      </c>
      <c r="C114">
        <f>IF(LEFT(TRIM('MSR RAW'!A114),11)="Department:",TRIM('MSR RAW'!A114),C113)</f>
        <v/>
      </c>
      <c r="D114">
        <f>IF(LEFT(TRIM('MSR RAW'!B114),9)="Location:",TRIM(MID('MSR RAW'!B114,10,999)),D113)</f>
        <v/>
      </c>
      <c r="E114">
        <f>IF(AND(ISNUMBER(SEARCH(" - ",TRIM('MSR RAW'!C114))),RIGHT(TRIM('MSR RAW'!C114),6)="Total:"),LEFT(TRIM('MSR RAW'!C114),SEARCH(" - ",TRIM('MSR RAW'!C114))-1),"")</f>
        <v/>
      </c>
      <c r="F114">
        <f>IF(E114="","",TRIM(MID(TRIM('MSR RAW'!C114),SEARCH(" - ",TRIM('MSR RAW'!C114))+3,LEN(TRIM('MSR RAW'!C114))-SEARCH(" - ",TRIM('MSR RAW'!C114))-9)))</f>
        <v/>
      </c>
      <c r="G114">
        <f>IF(E114="","",IFERROR(VLOOKUP(E114,'CATEGORY MAP'!$A$2:$B$20,2,FALSE()),"REVIEW"))</f>
        <v/>
      </c>
      <c r="H114">
        <f>IF(E114="","",IFERROR(VALUE(SUBSTITUTE('MSR RAW'!P114,",","")),0))</f>
        <v/>
      </c>
      <c r="I114">
        <f>IF(E114="","",IFERROR(VALUE(SUBSTITUTE('MSR RAW'!S114,",","")),0))</f>
        <v/>
      </c>
    </row>
    <row r="115" ht="68.65000000000001" customHeight="1" s="126">
      <c r="A115" t="n">
        <v>115</v>
      </c>
      <c r="B115" s="30">
        <f>IF('MSR RAW'!$A$3="","",'MSR RAW'!$A$3)</f>
        <v/>
      </c>
      <c r="C115">
        <f>IF(LEFT(TRIM('MSR RAW'!A115),11)="Department:",TRIM('MSR RAW'!A115),C114)</f>
        <v/>
      </c>
      <c r="D115">
        <f>IF(LEFT(TRIM('MSR RAW'!B115),9)="Location:",TRIM(MID('MSR RAW'!B115,10,999)),D114)</f>
        <v/>
      </c>
      <c r="E115">
        <f>IF(AND(ISNUMBER(SEARCH(" - ",TRIM('MSR RAW'!C115))),RIGHT(TRIM('MSR RAW'!C115),6)="Total:"),LEFT(TRIM('MSR RAW'!C115),SEARCH(" - ",TRIM('MSR RAW'!C115))-1),"")</f>
        <v/>
      </c>
      <c r="F115">
        <f>IF(E115="","",TRIM(MID(TRIM('MSR RAW'!C115),SEARCH(" - ",TRIM('MSR RAW'!C115))+3,LEN(TRIM('MSR RAW'!C115))-SEARCH(" - ",TRIM('MSR RAW'!C115))-9)))</f>
        <v/>
      </c>
      <c r="G115">
        <f>IF(E115="","",IFERROR(VLOOKUP(E115,'CATEGORY MAP'!$A$2:$B$20,2,FALSE()),"REVIEW"))</f>
        <v/>
      </c>
      <c r="H115">
        <f>IF(E115="","",IFERROR(VALUE(SUBSTITUTE('MSR RAW'!P115,",","")),0))</f>
        <v/>
      </c>
      <c r="I115">
        <f>IF(E115="","",IFERROR(VALUE(SUBSTITUTE('MSR RAW'!S115,",","")),0))</f>
        <v/>
      </c>
    </row>
    <row r="116" ht="68.65000000000001" customHeight="1" s="126">
      <c r="A116" t="n">
        <v>116</v>
      </c>
      <c r="B116" s="30">
        <f>IF('MSR RAW'!$A$3="","",'MSR RAW'!$A$3)</f>
        <v/>
      </c>
      <c r="C116">
        <f>IF(LEFT(TRIM('MSR RAW'!A116),11)="Department:",TRIM('MSR RAW'!A116),C115)</f>
        <v/>
      </c>
      <c r="D116">
        <f>IF(LEFT(TRIM('MSR RAW'!B116),9)="Location:",TRIM(MID('MSR RAW'!B116,10,999)),D115)</f>
        <v/>
      </c>
      <c r="E116">
        <f>IF(AND(ISNUMBER(SEARCH(" - ",TRIM('MSR RAW'!C116))),RIGHT(TRIM('MSR RAW'!C116),6)="Total:"),LEFT(TRIM('MSR RAW'!C116),SEARCH(" - ",TRIM('MSR RAW'!C116))-1),"")</f>
        <v/>
      </c>
      <c r="F116">
        <f>IF(E116="","",TRIM(MID(TRIM('MSR RAW'!C116),SEARCH(" - ",TRIM('MSR RAW'!C116))+3,LEN(TRIM('MSR RAW'!C116))-SEARCH(" - ",TRIM('MSR RAW'!C116))-9)))</f>
        <v/>
      </c>
      <c r="G116">
        <f>IF(E116="","",IFERROR(VLOOKUP(E116,'CATEGORY MAP'!$A$2:$B$20,2,FALSE()),"REVIEW"))</f>
        <v/>
      </c>
      <c r="H116">
        <f>IF(E116="","",IFERROR(VALUE(SUBSTITUTE('MSR RAW'!P116,",","")),0))</f>
        <v/>
      </c>
      <c r="I116">
        <f>IF(E116="","",IFERROR(VALUE(SUBSTITUTE('MSR RAW'!S116,",","")),0))</f>
        <v/>
      </c>
    </row>
    <row r="117" ht="68.65000000000001" customHeight="1" s="126">
      <c r="A117" t="n">
        <v>117</v>
      </c>
      <c r="B117" s="30">
        <f>IF('MSR RAW'!$A$3="","",'MSR RAW'!$A$3)</f>
        <v/>
      </c>
      <c r="C117">
        <f>IF(LEFT(TRIM('MSR RAW'!A117),11)="Department:",TRIM('MSR RAW'!A117),C116)</f>
        <v/>
      </c>
      <c r="D117">
        <f>IF(LEFT(TRIM('MSR RAW'!B117),9)="Location:",TRIM(MID('MSR RAW'!B117,10,999)),D116)</f>
        <v/>
      </c>
      <c r="E117">
        <f>IF(AND(ISNUMBER(SEARCH(" - ",TRIM('MSR RAW'!C117))),RIGHT(TRIM('MSR RAW'!C117),6)="Total:"),LEFT(TRIM('MSR RAW'!C117),SEARCH(" - ",TRIM('MSR RAW'!C117))-1),"")</f>
        <v/>
      </c>
      <c r="F117">
        <f>IF(E117="","",TRIM(MID(TRIM('MSR RAW'!C117),SEARCH(" - ",TRIM('MSR RAW'!C117))+3,LEN(TRIM('MSR RAW'!C117))-SEARCH(" - ",TRIM('MSR RAW'!C117))-9)))</f>
        <v/>
      </c>
      <c r="G117">
        <f>IF(E117="","",IFERROR(VLOOKUP(E117,'CATEGORY MAP'!$A$2:$B$20,2,FALSE()),"REVIEW"))</f>
        <v/>
      </c>
      <c r="H117">
        <f>IF(E117="","",IFERROR(VALUE(SUBSTITUTE('MSR RAW'!P117,",","")),0))</f>
        <v/>
      </c>
      <c r="I117">
        <f>IF(E117="","",IFERROR(VALUE(SUBSTITUTE('MSR RAW'!S117,",","")),0))</f>
        <v/>
      </c>
    </row>
    <row r="118" ht="68.65000000000001" customHeight="1" s="126">
      <c r="A118" t="n">
        <v>118</v>
      </c>
      <c r="B118" s="30">
        <f>IF('MSR RAW'!$A$3="","",'MSR RAW'!$A$3)</f>
        <v/>
      </c>
      <c r="C118">
        <f>IF(LEFT(TRIM('MSR RAW'!A118),11)="Department:",TRIM('MSR RAW'!A118),C117)</f>
        <v/>
      </c>
      <c r="D118">
        <f>IF(LEFT(TRIM('MSR RAW'!B118),9)="Location:",TRIM(MID('MSR RAW'!B118,10,999)),D117)</f>
        <v/>
      </c>
      <c r="E118">
        <f>IF(AND(ISNUMBER(SEARCH(" - ",TRIM('MSR RAW'!C118))),RIGHT(TRIM('MSR RAW'!C118),6)="Total:"),LEFT(TRIM('MSR RAW'!C118),SEARCH(" - ",TRIM('MSR RAW'!C118))-1),"")</f>
        <v/>
      </c>
      <c r="F118">
        <f>IF(E118="","",TRIM(MID(TRIM('MSR RAW'!C118),SEARCH(" - ",TRIM('MSR RAW'!C118))+3,LEN(TRIM('MSR RAW'!C118))-SEARCH(" - ",TRIM('MSR RAW'!C118))-9)))</f>
        <v/>
      </c>
      <c r="G118">
        <f>IF(E118="","",IFERROR(VLOOKUP(E118,'CATEGORY MAP'!$A$2:$B$20,2,FALSE()),"REVIEW"))</f>
        <v/>
      </c>
      <c r="H118">
        <f>IF(E118="","",IFERROR(VALUE(SUBSTITUTE('MSR RAW'!P118,",","")),0))</f>
        <v/>
      </c>
      <c r="I118">
        <f>IF(E118="","",IFERROR(VALUE(SUBSTITUTE('MSR RAW'!S118,",","")),0))</f>
        <v/>
      </c>
    </row>
    <row r="119" ht="68.65000000000001" customHeight="1" s="126">
      <c r="A119" t="n">
        <v>119</v>
      </c>
      <c r="B119" s="30">
        <f>IF('MSR RAW'!$A$3="","",'MSR RAW'!$A$3)</f>
        <v/>
      </c>
      <c r="C119">
        <f>IF(LEFT(TRIM('MSR RAW'!A119),11)="Department:",TRIM('MSR RAW'!A119),C118)</f>
        <v/>
      </c>
      <c r="D119">
        <f>IF(LEFT(TRIM('MSR RAW'!B119),9)="Location:",TRIM(MID('MSR RAW'!B119,10,999)),D118)</f>
        <v/>
      </c>
      <c r="E119">
        <f>IF(AND(ISNUMBER(SEARCH(" - ",TRIM('MSR RAW'!C119))),RIGHT(TRIM('MSR RAW'!C119),6)="Total:"),LEFT(TRIM('MSR RAW'!C119),SEARCH(" - ",TRIM('MSR RAW'!C119))-1),"")</f>
        <v/>
      </c>
      <c r="F119">
        <f>IF(E119="","",TRIM(MID(TRIM('MSR RAW'!C119),SEARCH(" - ",TRIM('MSR RAW'!C119))+3,LEN(TRIM('MSR RAW'!C119))-SEARCH(" - ",TRIM('MSR RAW'!C119))-9)))</f>
        <v/>
      </c>
      <c r="G119">
        <f>IF(E119="","",IFERROR(VLOOKUP(E119,'CATEGORY MAP'!$A$2:$B$20,2,FALSE()),"REVIEW"))</f>
        <v/>
      </c>
      <c r="H119">
        <f>IF(E119="","",IFERROR(VALUE(SUBSTITUTE('MSR RAW'!P119,",","")),0))</f>
        <v/>
      </c>
      <c r="I119">
        <f>IF(E119="","",IFERROR(VALUE(SUBSTITUTE('MSR RAW'!S119,",","")),0))</f>
        <v/>
      </c>
    </row>
    <row r="120" ht="68.65000000000001" customHeight="1" s="126">
      <c r="A120" t="n">
        <v>120</v>
      </c>
      <c r="B120" s="30">
        <f>IF('MSR RAW'!$A$3="","",'MSR RAW'!$A$3)</f>
        <v/>
      </c>
      <c r="C120">
        <f>IF(LEFT(TRIM('MSR RAW'!A120),11)="Department:",TRIM('MSR RAW'!A120),C119)</f>
        <v/>
      </c>
      <c r="D120">
        <f>IF(LEFT(TRIM('MSR RAW'!B120),9)="Location:",TRIM(MID('MSR RAW'!B120,10,999)),D119)</f>
        <v/>
      </c>
      <c r="E120">
        <f>IF(AND(ISNUMBER(SEARCH(" - ",TRIM('MSR RAW'!C120))),RIGHT(TRIM('MSR RAW'!C120),6)="Total:"),LEFT(TRIM('MSR RAW'!C120),SEARCH(" - ",TRIM('MSR RAW'!C120))-1),"")</f>
        <v/>
      </c>
      <c r="F120">
        <f>IF(E120="","",TRIM(MID(TRIM('MSR RAW'!C120),SEARCH(" - ",TRIM('MSR RAW'!C120))+3,LEN(TRIM('MSR RAW'!C120))-SEARCH(" - ",TRIM('MSR RAW'!C120))-9)))</f>
        <v/>
      </c>
      <c r="G120">
        <f>IF(E120="","",IFERROR(VLOOKUP(E120,'CATEGORY MAP'!$A$2:$B$20,2,FALSE()),"REVIEW"))</f>
        <v/>
      </c>
      <c r="H120">
        <f>IF(E120="","",IFERROR(VALUE(SUBSTITUTE('MSR RAW'!P120,",","")),0))</f>
        <v/>
      </c>
      <c r="I120">
        <f>IF(E120="","",IFERROR(VALUE(SUBSTITUTE('MSR RAW'!S120,",","")),0))</f>
        <v/>
      </c>
    </row>
    <row r="121" ht="68.65000000000001" customHeight="1" s="126">
      <c r="A121" t="n">
        <v>121</v>
      </c>
      <c r="B121" s="30">
        <f>IF('MSR RAW'!$A$3="","",'MSR RAW'!$A$3)</f>
        <v/>
      </c>
      <c r="C121">
        <f>IF(LEFT(TRIM('MSR RAW'!A121),11)="Department:",TRIM('MSR RAW'!A121),C120)</f>
        <v/>
      </c>
      <c r="D121">
        <f>IF(LEFT(TRIM('MSR RAW'!B121),9)="Location:",TRIM(MID('MSR RAW'!B121,10,999)),D120)</f>
        <v/>
      </c>
      <c r="E121">
        <f>IF(AND(ISNUMBER(SEARCH(" - ",TRIM('MSR RAW'!C121))),RIGHT(TRIM('MSR RAW'!C121),6)="Total:"),LEFT(TRIM('MSR RAW'!C121),SEARCH(" - ",TRIM('MSR RAW'!C121))-1),"")</f>
        <v/>
      </c>
      <c r="F121">
        <f>IF(E121="","",TRIM(MID(TRIM('MSR RAW'!C121),SEARCH(" - ",TRIM('MSR RAW'!C121))+3,LEN(TRIM('MSR RAW'!C121))-SEARCH(" - ",TRIM('MSR RAW'!C121))-9)))</f>
        <v/>
      </c>
      <c r="G121">
        <f>IF(E121="","",IFERROR(VLOOKUP(E121,'CATEGORY MAP'!$A$2:$B$20,2,FALSE()),"REVIEW"))</f>
        <v/>
      </c>
      <c r="H121">
        <f>IF(E121="","",IFERROR(VALUE(SUBSTITUTE('MSR RAW'!P121,",","")),0))</f>
        <v/>
      </c>
      <c r="I121">
        <f>IF(E121="","",IFERROR(VALUE(SUBSTITUTE('MSR RAW'!S121,",","")),0))</f>
        <v/>
      </c>
    </row>
    <row r="122" ht="68.65000000000001" customHeight="1" s="126">
      <c r="A122" t="n">
        <v>122</v>
      </c>
      <c r="B122" s="30">
        <f>IF('MSR RAW'!$A$3="","",'MSR RAW'!$A$3)</f>
        <v/>
      </c>
      <c r="C122">
        <f>IF(LEFT(TRIM('MSR RAW'!A122),11)="Department:",TRIM('MSR RAW'!A122),C121)</f>
        <v/>
      </c>
      <c r="D122">
        <f>IF(LEFT(TRIM('MSR RAW'!B122),9)="Location:",TRIM(MID('MSR RAW'!B122,10,999)),D121)</f>
        <v/>
      </c>
      <c r="E122">
        <f>IF(AND(ISNUMBER(SEARCH(" - ",TRIM('MSR RAW'!C122))),RIGHT(TRIM('MSR RAW'!C122),6)="Total:"),LEFT(TRIM('MSR RAW'!C122),SEARCH(" - ",TRIM('MSR RAW'!C122))-1),"")</f>
        <v/>
      </c>
      <c r="F122">
        <f>IF(E122="","",TRIM(MID(TRIM('MSR RAW'!C122),SEARCH(" - ",TRIM('MSR RAW'!C122))+3,LEN(TRIM('MSR RAW'!C122))-SEARCH(" - ",TRIM('MSR RAW'!C122))-9)))</f>
        <v/>
      </c>
      <c r="G122">
        <f>IF(E122="","",IFERROR(VLOOKUP(E122,'CATEGORY MAP'!$A$2:$B$20,2,FALSE()),"REVIEW"))</f>
        <v/>
      </c>
      <c r="H122">
        <f>IF(E122="","",IFERROR(VALUE(SUBSTITUTE('MSR RAW'!P122,",","")),0))</f>
        <v/>
      </c>
      <c r="I122">
        <f>IF(E122="","",IFERROR(VALUE(SUBSTITUTE('MSR RAW'!S122,",","")),0))</f>
        <v/>
      </c>
    </row>
    <row r="123" ht="68.65000000000001" customHeight="1" s="126">
      <c r="A123" t="n">
        <v>123</v>
      </c>
      <c r="B123" s="30">
        <f>IF('MSR RAW'!$A$3="","",'MSR RAW'!$A$3)</f>
        <v/>
      </c>
      <c r="C123">
        <f>IF(LEFT(TRIM('MSR RAW'!A123),11)="Department:",TRIM('MSR RAW'!A123),C122)</f>
        <v/>
      </c>
      <c r="D123">
        <f>IF(LEFT(TRIM('MSR RAW'!B123),9)="Location:",TRIM(MID('MSR RAW'!B123,10,999)),D122)</f>
        <v/>
      </c>
      <c r="E123">
        <f>IF(AND(ISNUMBER(SEARCH(" - ",TRIM('MSR RAW'!C123))),RIGHT(TRIM('MSR RAW'!C123),6)="Total:"),LEFT(TRIM('MSR RAW'!C123),SEARCH(" - ",TRIM('MSR RAW'!C123))-1),"")</f>
        <v/>
      </c>
      <c r="F123">
        <f>IF(E123="","",TRIM(MID(TRIM('MSR RAW'!C123),SEARCH(" - ",TRIM('MSR RAW'!C123))+3,LEN(TRIM('MSR RAW'!C123))-SEARCH(" - ",TRIM('MSR RAW'!C123))-9)))</f>
        <v/>
      </c>
      <c r="G123">
        <f>IF(E123="","",IFERROR(VLOOKUP(E123,'CATEGORY MAP'!$A$2:$B$20,2,FALSE()),"REVIEW"))</f>
        <v/>
      </c>
      <c r="H123">
        <f>IF(E123="","",IFERROR(VALUE(SUBSTITUTE('MSR RAW'!P123,",","")),0))</f>
        <v/>
      </c>
      <c r="I123">
        <f>IF(E123="","",IFERROR(VALUE(SUBSTITUTE('MSR RAW'!S123,",","")),0))</f>
        <v/>
      </c>
    </row>
    <row r="124" ht="68.65000000000001" customHeight="1" s="126">
      <c r="A124" t="n">
        <v>124</v>
      </c>
      <c r="B124" s="30">
        <f>IF('MSR RAW'!$A$3="","",'MSR RAW'!$A$3)</f>
        <v/>
      </c>
      <c r="C124">
        <f>IF(LEFT(TRIM('MSR RAW'!A124),11)="Department:",TRIM('MSR RAW'!A124),C123)</f>
        <v/>
      </c>
      <c r="D124">
        <f>IF(LEFT(TRIM('MSR RAW'!B124),9)="Location:",TRIM(MID('MSR RAW'!B124,10,999)),D123)</f>
        <v/>
      </c>
      <c r="E124">
        <f>IF(AND(ISNUMBER(SEARCH(" - ",TRIM('MSR RAW'!C124))),RIGHT(TRIM('MSR RAW'!C124),6)="Total:"),LEFT(TRIM('MSR RAW'!C124),SEARCH(" - ",TRIM('MSR RAW'!C124))-1),"")</f>
        <v/>
      </c>
      <c r="F124">
        <f>IF(E124="","",TRIM(MID(TRIM('MSR RAW'!C124),SEARCH(" - ",TRIM('MSR RAW'!C124))+3,LEN(TRIM('MSR RAW'!C124))-SEARCH(" - ",TRIM('MSR RAW'!C124))-9)))</f>
        <v/>
      </c>
      <c r="G124">
        <f>IF(E124="","",IFERROR(VLOOKUP(E124,'CATEGORY MAP'!$A$2:$B$20,2,FALSE()),"REVIEW"))</f>
        <v/>
      </c>
      <c r="H124">
        <f>IF(E124="","",IFERROR(VALUE(SUBSTITUTE('MSR RAW'!P124,",","")),0))</f>
        <v/>
      </c>
      <c r="I124">
        <f>IF(E124="","",IFERROR(VALUE(SUBSTITUTE('MSR RAW'!S124,",","")),0))</f>
        <v/>
      </c>
    </row>
    <row r="125" ht="68.65000000000001" customHeight="1" s="126">
      <c r="A125" t="n">
        <v>125</v>
      </c>
      <c r="B125" s="30">
        <f>IF('MSR RAW'!$A$3="","",'MSR RAW'!$A$3)</f>
        <v/>
      </c>
      <c r="C125">
        <f>IF(LEFT(TRIM('MSR RAW'!A125),11)="Department:",TRIM('MSR RAW'!A125),C124)</f>
        <v/>
      </c>
      <c r="D125">
        <f>IF(LEFT(TRIM('MSR RAW'!B125),9)="Location:",TRIM(MID('MSR RAW'!B125,10,999)),D124)</f>
        <v/>
      </c>
      <c r="E125">
        <f>IF(AND(ISNUMBER(SEARCH(" - ",TRIM('MSR RAW'!C125))),RIGHT(TRIM('MSR RAW'!C125),6)="Total:"),LEFT(TRIM('MSR RAW'!C125),SEARCH(" - ",TRIM('MSR RAW'!C125))-1),"")</f>
        <v/>
      </c>
      <c r="F125">
        <f>IF(E125="","",TRIM(MID(TRIM('MSR RAW'!C125),SEARCH(" - ",TRIM('MSR RAW'!C125))+3,LEN(TRIM('MSR RAW'!C125))-SEARCH(" - ",TRIM('MSR RAW'!C125))-9)))</f>
        <v/>
      </c>
      <c r="G125">
        <f>IF(E125="","",IFERROR(VLOOKUP(E125,'CATEGORY MAP'!$A$2:$B$20,2,FALSE()),"REVIEW"))</f>
        <v/>
      </c>
      <c r="H125">
        <f>IF(E125="","",IFERROR(VALUE(SUBSTITUTE('MSR RAW'!P125,",","")),0))</f>
        <v/>
      </c>
      <c r="I125">
        <f>IF(E125="","",IFERROR(VALUE(SUBSTITUTE('MSR RAW'!S125,",","")),0))</f>
        <v/>
      </c>
    </row>
    <row r="126" ht="68.65000000000001" customHeight="1" s="126">
      <c r="A126" t="n">
        <v>126</v>
      </c>
      <c r="B126" s="30">
        <f>IF('MSR RAW'!$A$3="","",'MSR RAW'!$A$3)</f>
        <v/>
      </c>
      <c r="C126">
        <f>IF(LEFT(TRIM('MSR RAW'!A126),11)="Department:",TRIM('MSR RAW'!A126),C125)</f>
        <v/>
      </c>
      <c r="D126">
        <f>IF(LEFT(TRIM('MSR RAW'!B126),9)="Location:",TRIM(MID('MSR RAW'!B126,10,999)),D125)</f>
        <v/>
      </c>
      <c r="E126">
        <f>IF(AND(ISNUMBER(SEARCH(" - ",TRIM('MSR RAW'!C126))),RIGHT(TRIM('MSR RAW'!C126),6)="Total:"),LEFT(TRIM('MSR RAW'!C126),SEARCH(" - ",TRIM('MSR RAW'!C126))-1),"")</f>
        <v/>
      </c>
      <c r="F126">
        <f>IF(E126="","",TRIM(MID(TRIM('MSR RAW'!C126),SEARCH(" - ",TRIM('MSR RAW'!C126))+3,LEN(TRIM('MSR RAW'!C126))-SEARCH(" - ",TRIM('MSR RAW'!C126))-9)))</f>
        <v/>
      </c>
      <c r="G126">
        <f>IF(E126="","",IFERROR(VLOOKUP(E126,'CATEGORY MAP'!$A$2:$B$20,2,FALSE()),"REVIEW"))</f>
        <v/>
      </c>
      <c r="H126">
        <f>IF(E126="","",IFERROR(VALUE(SUBSTITUTE('MSR RAW'!P126,",","")),0))</f>
        <v/>
      </c>
      <c r="I126">
        <f>IF(E126="","",IFERROR(VALUE(SUBSTITUTE('MSR RAW'!S126,",","")),0))</f>
        <v/>
      </c>
    </row>
    <row r="127" ht="68.65000000000001" customHeight="1" s="126">
      <c r="A127" t="n">
        <v>127</v>
      </c>
      <c r="B127" s="30">
        <f>IF('MSR RAW'!$A$3="","",'MSR RAW'!$A$3)</f>
        <v/>
      </c>
      <c r="C127">
        <f>IF(LEFT(TRIM('MSR RAW'!A127),11)="Department:",TRIM('MSR RAW'!A127),C126)</f>
        <v/>
      </c>
      <c r="D127">
        <f>IF(LEFT(TRIM('MSR RAW'!B127),9)="Location:",TRIM(MID('MSR RAW'!B127,10,999)),D126)</f>
        <v/>
      </c>
      <c r="E127">
        <f>IF(AND(ISNUMBER(SEARCH(" - ",TRIM('MSR RAW'!C127))),RIGHT(TRIM('MSR RAW'!C127),6)="Total:"),LEFT(TRIM('MSR RAW'!C127),SEARCH(" - ",TRIM('MSR RAW'!C127))-1),"")</f>
        <v/>
      </c>
      <c r="F127">
        <f>IF(E127="","",TRIM(MID(TRIM('MSR RAW'!C127),SEARCH(" - ",TRIM('MSR RAW'!C127))+3,LEN(TRIM('MSR RAW'!C127))-SEARCH(" - ",TRIM('MSR RAW'!C127))-9)))</f>
        <v/>
      </c>
      <c r="G127">
        <f>IF(E127="","",IFERROR(VLOOKUP(E127,'CATEGORY MAP'!$A$2:$B$20,2,FALSE()),"REVIEW"))</f>
        <v/>
      </c>
      <c r="H127">
        <f>IF(E127="","",IFERROR(VALUE(SUBSTITUTE('MSR RAW'!P127,",","")),0))</f>
        <v/>
      </c>
      <c r="I127">
        <f>IF(E127="","",IFERROR(VALUE(SUBSTITUTE('MSR RAW'!S127,",","")),0))</f>
        <v/>
      </c>
    </row>
    <row r="128" ht="68.65000000000001" customHeight="1" s="126">
      <c r="A128" t="n">
        <v>128</v>
      </c>
      <c r="B128" s="30">
        <f>IF('MSR RAW'!$A$3="","",'MSR RAW'!$A$3)</f>
        <v/>
      </c>
      <c r="C128">
        <f>IF(LEFT(TRIM('MSR RAW'!A128),11)="Department:",TRIM('MSR RAW'!A128),C127)</f>
        <v/>
      </c>
      <c r="D128">
        <f>IF(LEFT(TRIM('MSR RAW'!B128),9)="Location:",TRIM(MID('MSR RAW'!B128,10,999)),D127)</f>
        <v/>
      </c>
      <c r="E128">
        <f>IF(AND(ISNUMBER(SEARCH(" - ",TRIM('MSR RAW'!C128))),RIGHT(TRIM('MSR RAW'!C128),6)="Total:"),LEFT(TRIM('MSR RAW'!C128),SEARCH(" - ",TRIM('MSR RAW'!C128))-1),"")</f>
        <v/>
      </c>
      <c r="F128">
        <f>IF(E128="","",TRIM(MID(TRIM('MSR RAW'!C128),SEARCH(" - ",TRIM('MSR RAW'!C128))+3,LEN(TRIM('MSR RAW'!C128))-SEARCH(" - ",TRIM('MSR RAW'!C128))-9)))</f>
        <v/>
      </c>
      <c r="G128">
        <f>IF(E128="","",IFERROR(VLOOKUP(E128,'CATEGORY MAP'!$A$2:$B$20,2,FALSE()),"REVIEW"))</f>
        <v/>
      </c>
      <c r="H128">
        <f>IF(E128="","",IFERROR(VALUE(SUBSTITUTE('MSR RAW'!P128,",","")),0))</f>
        <v/>
      </c>
      <c r="I128">
        <f>IF(E128="","",IFERROR(VALUE(SUBSTITUTE('MSR RAW'!S128,",","")),0))</f>
        <v/>
      </c>
    </row>
    <row r="129" ht="68.65000000000001" customHeight="1" s="126">
      <c r="A129" t="n">
        <v>129</v>
      </c>
      <c r="B129" s="30">
        <f>IF('MSR RAW'!$A$3="","",'MSR RAW'!$A$3)</f>
        <v/>
      </c>
      <c r="C129">
        <f>IF(LEFT(TRIM('MSR RAW'!A129),11)="Department:",TRIM('MSR RAW'!A129),C128)</f>
        <v/>
      </c>
      <c r="D129">
        <f>IF(LEFT(TRIM('MSR RAW'!B129),9)="Location:",TRIM(MID('MSR RAW'!B129,10,999)),D128)</f>
        <v/>
      </c>
      <c r="E129">
        <f>IF(AND(ISNUMBER(SEARCH(" - ",TRIM('MSR RAW'!C129))),RIGHT(TRIM('MSR RAW'!C129),6)="Total:"),LEFT(TRIM('MSR RAW'!C129),SEARCH(" - ",TRIM('MSR RAW'!C129))-1),"")</f>
        <v/>
      </c>
      <c r="F129">
        <f>IF(E129="","",TRIM(MID(TRIM('MSR RAW'!C129),SEARCH(" - ",TRIM('MSR RAW'!C129))+3,LEN(TRIM('MSR RAW'!C129))-SEARCH(" - ",TRIM('MSR RAW'!C129))-9)))</f>
        <v/>
      </c>
      <c r="G129">
        <f>IF(E129="","",IFERROR(VLOOKUP(E129,'CATEGORY MAP'!$A$2:$B$20,2,FALSE()),"REVIEW"))</f>
        <v/>
      </c>
      <c r="H129">
        <f>IF(E129="","",IFERROR(VALUE(SUBSTITUTE('MSR RAW'!P129,",","")),0))</f>
        <v/>
      </c>
      <c r="I129">
        <f>IF(E129="","",IFERROR(VALUE(SUBSTITUTE('MSR RAW'!S129,",","")),0))</f>
        <v/>
      </c>
    </row>
    <row r="130" ht="68.65000000000001" customHeight="1" s="126">
      <c r="A130" t="n">
        <v>130</v>
      </c>
      <c r="B130" s="30">
        <f>IF('MSR RAW'!$A$3="","",'MSR RAW'!$A$3)</f>
        <v/>
      </c>
      <c r="C130">
        <f>IF(LEFT(TRIM('MSR RAW'!A130),11)="Department:",TRIM('MSR RAW'!A130),C129)</f>
        <v/>
      </c>
      <c r="D130">
        <f>IF(LEFT(TRIM('MSR RAW'!B130),9)="Location:",TRIM(MID('MSR RAW'!B130,10,999)),D129)</f>
        <v/>
      </c>
      <c r="E130">
        <f>IF(AND(ISNUMBER(SEARCH(" - ",TRIM('MSR RAW'!C130))),RIGHT(TRIM('MSR RAW'!C130),6)="Total:"),LEFT(TRIM('MSR RAW'!C130),SEARCH(" - ",TRIM('MSR RAW'!C130))-1),"")</f>
        <v/>
      </c>
      <c r="F130">
        <f>IF(E130="","",TRIM(MID(TRIM('MSR RAW'!C130),SEARCH(" - ",TRIM('MSR RAW'!C130))+3,LEN(TRIM('MSR RAW'!C130))-SEARCH(" - ",TRIM('MSR RAW'!C130))-9)))</f>
        <v/>
      </c>
      <c r="G130">
        <f>IF(E130="","",IFERROR(VLOOKUP(E130,'CATEGORY MAP'!$A$2:$B$20,2,FALSE()),"REVIEW"))</f>
        <v/>
      </c>
      <c r="H130">
        <f>IF(E130="","",IFERROR(VALUE(SUBSTITUTE('MSR RAW'!P130,",","")),0))</f>
        <v/>
      </c>
      <c r="I130">
        <f>IF(E130="","",IFERROR(VALUE(SUBSTITUTE('MSR RAW'!S130,",","")),0))</f>
        <v/>
      </c>
    </row>
    <row r="131" ht="68.65000000000001" customHeight="1" s="126">
      <c r="A131" t="n">
        <v>131</v>
      </c>
      <c r="B131" s="30">
        <f>IF('MSR RAW'!$A$3="","",'MSR RAW'!$A$3)</f>
        <v/>
      </c>
      <c r="C131">
        <f>IF(LEFT(TRIM('MSR RAW'!A131),11)="Department:",TRIM('MSR RAW'!A131),C130)</f>
        <v/>
      </c>
      <c r="D131">
        <f>IF(LEFT(TRIM('MSR RAW'!B131),9)="Location:",TRIM(MID('MSR RAW'!B131,10,999)),D130)</f>
        <v/>
      </c>
      <c r="E131">
        <f>IF(AND(ISNUMBER(SEARCH(" - ",TRIM('MSR RAW'!C131))),RIGHT(TRIM('MSR RAW'!C131),6)="Total:"),LEFT(TRIM('MSR RAW'!C131),SEARCH(" - ",TRIM('MSR RAW'!C131))-1),"")</f>
        <v/>
      </c>
      <c r="F131">
        <f>IF(E131="","",TRIM(MID(TRIM('MSR RAW'!C131),SEARCH(" - ",TRIM('MSR RAW'!C131))+3,LEN(TRIM('MSR RAW'!C131))-SEARCH(" - ",TRIM('MSR RAW'!C131))-9)))</f>
        <v/>
      </c>
      <c r="G131">
        <f>IF(E131="","",IFERROR(VLOOKUP(E131,'CATEGORY MAP'!$A$2:$B$20,2,FALSE()),"REVIEW"))</f>
        <v/>
      </c>
      <c r="H131">
        <f>IF(E131="","",IFERROR(VALUE(SUBSTITUTE('MSR RAW'!P131,",","")),0))</f>
        <v/>
      </c>
      <c r="I131">
        <f>IF(E131="","",IFERROR(VALUE(SUBSTITUTE('MSR RAW'!S131,",","")),0))</f>
        <v/>
      </c>
    </row>
    <row r="132" ht="68.65000000000001" customHeight="1" s="126">
      <c r="A132" t="n">
        <v>132</v>
      </c>
      <c r="B132" s="30">
        <f>IF('MSR RAW'!$A$3="","",'MSR RAW'!$A$3)</f>
        <v/>
      </c>
      <c r="C132">
        <f>IF(LEFT(TRIM('MSR RAW'!A132),11)="Department:",TRIM('MSR RAW'!A132),C131)</f>
        <v/>
      </c>
      <c r="D132">
        <f>IF(LEFT(TRIM('MSR RAW'!B132),9)="Location:",TRIM(MID('MSR RAW'!B132,10,999)),D131)</f>
        <v/>
      </c>
      <c r="E132">
        <f>IF(AND(ISNUMBER(SEARCH(" - ",TRIM('MSR RAW'!C132))),RIGHT(TRIM('MSR RAW'!C132),6)="Total:"),LEFT(TRIM('MSR RAW'!C132),SEARCH(" - ",TRIM('MSR RAW'!C132))-1),"")</f>
        <v/>
      </c>
      <c r="F132">
        <f>IF(E132="","",TRIM(MID(TRIM('MSR RAW'!C132),SEARCH(" - ",TRIM('MSR RAW'!C132))+3,LEN(TRIM('MSR RAW'!C132))-SEARCH(" - ",TRIM('MSR RAW'!C132))-9)))</f>
        <v/>
      </c>
      <c r="G132">
        <f>IF(E132="","",IFERROR(VLOOKUP(E132,'CATEGORY MAP'!$A$2:$B$20,2,FALSE()),"REVIEW"))</f>
        <v/>
      </c>
      <c r="H132">
        <f>IF(E132="","",IFERROR(VALUE(SUBSTITUTE('MSR RAW'!P132,",","")),0))</f>
        <v/>
      </c>
      <c r="I132">
        <f>IF(E132="","",IFERROR(VALUE(SUBSTITUTE('MSR RAW'!S132,",","")),0))</f>
        <v/>
      </c>
    </row>
    <row r="133" ht="68.65000000000001" customHeight="1" s="126">
      <c r="A133" t="n">
        <v>133</v>
      </c>
      <c r="B133" s="30">
        <f>IF('MSR RAW'!$A$3="","",'MSR RAW'!$A$3)</f>
        <v/>
      </c>
      <c r="C133">
        <f>IF(LEFT(TRIM('MSR RAW'!A133),11)="Department:",TRIM('MSR RAW'!A133),C132)</f>
        <v/>
      </c>
      <c r="D133">
        <f>IF(LEFT(TRIM('MSR RAW'!B133),9)="Location:",TRIM(MID('MSR RAW'!B133,10,999)),D132)</f>
        <v/>
      </c>
      <c r="E133">
        <f>IF(AND(ISNUMBER(SEARCH(" - ",TRIM('MSR RAW'!C133))),RIGHT(TRIM('MSR RAW'!C133),6)="Total:"),LEFT(TRIM('MSR RAW'!C133),SEARCH(" - ",TRIM('MSR RAW'!C133))-1),"")</f>
        <v/>
      </c>
      <c r="F133">
        <f>IF(E133="","",TRIM(MID(TRIM('MSR RAW'!C133),SEARCH(" - ",TRIM('MSR RAW'!C133))+3,LEN(TRIM('MSR RAW'!C133))-SEARCH(" - ",TRIM('MSR RAW'!C133))-9)))</f>
        <v/>
      </c>
      <c r="G133">
        <f>IF(E133="","",IFERROR(VLOOKUP(E133,'CATEGORY MAP'!$A$2:$B$20,2,FALSE()),"REVIEW"))</f>
        <v/>
      </c>
      <c r="H133">
        <f>IF(E133="","",IFERROR(VALUE(SUBSTITUTE('MSR RAW'!P133,",","")),0))</f>
        <v/>
      </c>
      <c r="I133">
        <f>IF(E133="","",IFERROR(VALUE(SUBSTITUTE('MSR RAW'!S133,",","")),0))</f>
        <v/>
      </c>
    </row>
    <row r="134" ht="68.65000000000001" customHeight="1" s="126">
      <c r="A134" t="n">
        <v>134</v>
      </c>
      <c r="B134" s="30">
        <f>IF('MSR RAW'!$A$3="","",'MSR RAW'!$A$3)</f>
        <v/>
      </c>
      <c r="C134">
        <f>IF(LEFT(TRIM('MSR RAW'!A134),11)="Department:",TRIM('MSR RAW'!A134),C133)</f>
        <v/>
      </c>
      <c r="D134">
        <f>IF(LEFT(TRIM('MSR RAW'!B134),9)="Location:",TRIM(MID('MSR RAW'!B134,10,999)),D133)</f>
        <v/>
      </c>
      <c r="E134">
        <f>IF(AND(ISNUMBER(SEARCH(" - ",TRIM('MSR RAW'!C134))),RIGHT(TRIM('MSR RAW'!C134),6)="Total:"),LEFT(TRIM('MSR RAW'!C134),SEARCH(" - ",TRIM('MSR RAW'!C134))-1),"")</f>
        <v/>
      </c>
      <c r="F134">
        <f>IF(E134="","",TRIM(MID(TRIM('MSR RAW'!C134),SEARCH(" - ",TRIM('MSR RAW'!C134))+3,LEN(TRIM('MSR RAW'!C134))-SEARCH(" - ",TRIM('MSR RAW'!C134))-9)))</f>
        <v/>
      </c>
      <c r="G134">
        <f>IF(E134="","",IFERROR(VLOOKUP(E134,'CATEGORY MAP'!$A$2:$B$20,2,FALSE()),"REVIEW"))</f>
        <v/>
      </c>
      <c r="H134">
        <f>IF(E134="","",IFERROR(VALUE(SUBSTITUTE('MSR RAW'!P134,",","")),0))</f>
        <v/>
      </c>
      <c r="I134">
        <f>IF(E134="","",IFERROR(VALUE(SUBSTITUTE('MSR RAW'!S134,",","")),0))</f>
        <v/>
      </c>
    </row>
    <row r="135" ht="68.65000000000001" customHeight="1" s="126">
      <c r="A135" t="n">
        <v>135</v>
      </c>
      <c r="B135" s="30">
        <f>IF('MSR RAW'!$A$3="","",'MSR RAW'!$A$3)</f>
        <v/>
      </c>
      <c r="C135">
        <f>IF(LEFT(TRIM('MSR RAW'!A135),11)="Department:",TRIM('MSR RAW'!A135),C134)</f>
        <v/>
      </c>
      <c r="D135">
        <f>IF(LEFT(TRIM('MSR RAW'!B135),9)="Location:",TRIM(MID('MSR RAW'!B135,10,999)),D134)</f>
        <v/>
      </c>
      <c r="E135">
        <f>IF(AND(ISNUMBER(SEARCH(" - ",TRIM('MSR RAW'!C135))),RIGHT(TRIM('MSR RAW'!C135),6)="Total:"),LEFT(TRIM('MSR RAW'!C135),SEARCH(" - ",TRIM('MSR RAW'!C135))-1),"")</f>
        <v/>
      </c>
      <c r="F135">
        <f>IF(E135="","",TRIM(MID(TRIM('MSR RAW'!C135),SEARCH(" - ",TRIM('MSR RAW'!C135))+3,LEN(TRIM('MSR RAW'!C135))-SEARCH(" - ",TRIM('MSR RAW'!C135))-9)))</f>
        <v/>
      </c>
      <c r="G135">
        <f>IF(E135="","",IFERROR(VLOOKUP(E135,'CATEGORY MAP'!$A$2:$B$20,2,FALSE()),"REVIEW"))</f>
        <v/>
      </c>
      <c r="H135">
        <f>IF(E135="","",IFERROR(VALUE(SUBSTITUTE('MSR RAW'!P135,",","")),0))</f>
        <v/>
      </c>
      <c r="I135">
        <f>IF(E135="","",IFERROR(VALUE(SUBSTITUTE('MSR RAW'!S135,",","")),0))</f>
        <v/>
      </c>
    </row>
    <row r="136" ht="68.65000000000001" customHeight="1" s="126">
      <c r="A136" t="n">
        <v>136</v>
      </c>
      <c r="B136" s="30">
        <f>IF('MSR RAW'!$A$3="","",'MSR RAW'!$A$3)</f>
        <v/>
      </c>
      <c r="C136">
        <f>IF(LEFT(TRIM('MSR RAW'!A136),11)="Department:",TRIM('MSR RAW'!A136),C135)</f>
        <v/>
      </c>
      <c r="D136">
        <f>IF(LEFT(TRIM('MSR RAW'!B136),9)="Location:",TRIM(MID('MSR RAW'!B136,10,999)),D135)</f>
        <v/>
      </c>
      <c r="E136">
        <f>IF(AND(ISNUMBER(SEARCH(" - ",TRIM('MSR RAW'!C136))),RIGHT(TRIM('MSR RAW'!C136),6)="Total:"),LEFT(TRIM('MSR RAW'!C136),SEARCH(" - ",TRIM('MSR RAW'!C136))-1),"")</f>
        <v/>
      </c>
      <c r="F136">
        <f>IF(E136="","",TRIM(MID(TRIM('MSR RAW'!C136),SEARCH(" - ",TRIM('MSR RAW'!C136))+3,LEN(TRIM('MSR RAW'!C136))-SEARCH(" - ",TRIM('MSR RAW'!C136))-9)))</f>
        <v/>
      </c>
      <c r="G136">
        <f>IF(E136="","",IFERROR(VLOOKUP(E136,'CATEGORY MAP'!$A$2:$B$20,2,FALSE()),"REVIEW"))</f>
        <v/>
      </c>
      <c r="H136">
        <f>IF(E136="","",IFERROR(VALUE(SUBSTITUTE('MSR RAW'!P136,",","")),0))</f>
        <v/>
      </c>
      <c r="I136">
        <f>IF(E136="","",IFERROR(VALUE(SUBSTITUTE('MSR RAW'!S136,",","")),0))</f>
        <v/>
      </c>
    </row>
    <row r="137" ht="68.65000000000001" customHeight="1" s="126">
      <c r="A137" t="n">
        <v>137</v>
      </c>
      <c r="B137" s="30">
        <f>IF('MSR RAW'!$A$3="","",'MSR RAW'!$A$3)</f>
        <v/>
      </c>
      <c r="C137">
        <f>IF(LEFT(TRIM('MSR RAW'!A137),11)="Department:",TRIM('MSR RAW'!A137),C136)</f>
        <v/>
      </c>
      <c r="D137">
        <f>IF(LEFT(TRIM('MSR RAW'!B137),9)="Location:",TRIM(MID('MSR RAW'!B137,10,999)),D136)</f>
        <v/>
      </c>
      <c r="E137">
        <f>IF(AND(ISNUMBER(SEARCH(" - ",TRIM('MSR RAW'!C137))),RIGHT(TRIM('MSR RAW'!C137),6)="Total:"),LEFT(TRIM('MSR RAW'!C137),SEARCH(" - ",TRIM('MSR RAW'!C137))-1),"")</f>
        <v/>
      </c>
      <c r="F137">
        <f>IF(E137="","",TRIM(MID(TRIM('MSR RAW'!C137),SEARCH(" - ",TRIM('MSR RAW'!C137))+3,LEN(TRIM('MSR RAW'!C137))-SEARCH(" - ",TRIM('MSR RAW'!C137))-9)))</f>
        <v/>
      </c>
      <c r="G137">
        <f>IF(E137="","",IFERROR(VLOOKUP(E137,'CATEGORY MAP'!$A$2:$B$20,2,FALSE()),"REVIEW"))</f>
        <v/>
      </c>
      <c r="H137">
        <f>IF(E137="","",IFERROR(VALUE(SUBSTITUTE('MSR RAW'!P137,",","")),0))</f>
        <v/>
      </c>
      <c r="I137">
        <f>IF(E137="","",IFERROR(VALUE(SUBSTITUTE('MSR RAW'!S137,",","")),0))</f>
        <v/>
      </c>
    </row>
    <row r="138" ht="68.65000000000001" customHeight="1" s="126">
      <c r="A138" t="n">
        <v>138</v>
      </c>
      <c r="B138" s="30">
        <f>IF('MSR RAW'!$A$3="","",'MSR RAW'!$A$3)</f>
        <v/>
      </c>
      <c r="C138">
        <f>IF(LEFT(TRIM('MSR RAW'!A138),11)="Department:",TRIM('MSR RAW'!A138),C137)</f>
        <v/>
      </c>
      <c r="D138">
        <f>IF(LEFT(TRIM('MSR RAW'!B138),9)="Location:",TRIM(MID('MSR RAW'!B138,10,999)),D137)</f>
        <v/>
      </c>
      <c r="E138">
        <f>IF(AND(ISNUMBER(SEARCH(" - ",TRIM('MSR RAW'!C138))),RIGHT(TRIM('MSR RAW'!C138),6)="Total:"),LEFT(TRIM('MSR RAW'!C138),SEARCH(" - ",TRIM('MSR RAW'!C138))-1),"")</f>
        <v/>
      </c>
      <c r="F138">
        <f>IF(E138="","",TRIM(MID(TRIM('MSR RAW'!C138),SEARCH(" - ",TRIM('MSR RAW'!C138))+3,LEN(TRIM('MSR RAW'!C138))-SEARCH(" - ",TRIM('MSR RAW'!C138))-9)))</f>
        <v/>
      </c>
      <c r="G138">
        <f>IF(E138="","",IFERROR(VLOOKUP(E138,'CATEGORY MAP'!$A$2:$B$20,2,FALSE()),"REVIEW"))</f>
        <v/>
      </c>
      <c r="H138">
        <f>IF(E138="","",IFERROR(VALUE(SUBSTITUTE('MSR RAW'!P138,",","")),0))</f>
        <v/>
      </c>
      <c r="I138">
        <f>IF(E138="","",IFERROR(VALUE(SUBSTITUTE('MSR RAW'!S138,",","")),0))</f>
        <v/>
      </c>
    </row>
    <row r="139" ht="68.65000000000001" customHeight="1" s="126">
      <c r="A139" t="n">
        <v>139</v>
      </c>
      <c r="B139" s="30">
        <f>IF('MSR RAW'!$A$3="","",'MSR RAW'!$A$3)</f>
        <v/>
      </c>
      <c r="C139">
        <f>IF(LEFT(TRIM('MSR RAW'!A139),11)="Department:",TRIM('MSR RAW'!A139),C138)</f>
        <v/>
      </c>
      <c r="D139">
        <f>IF(LEFT(TRIM('MSR RAW'!B139),9)="Location:",TRIM(MID('MSR RAW'!B139,10,999)),D138)</f>
        <v/>
      </c>
      <c r="E139">
        <f>IF(AND(ISNUMBER(SEARCH(" - ",TRIM('MSR RAW'!C139))),RIGHT(TRIM('MSR RAW'!C139),6)="Total:"),LEFT(TRIM('MSR RAW'!C139),SEARCH(" - ",TRIM('MSR RAW'!C139))-1),"")</f>
        <v/>
      </c>
      <c r="F139">
        <f>IF(E139="","",TRIM(MID(TRIM('MSR RAW'!C139),SEARCH(" - ",TRIM('MSR RAW'!C139))+3,LEN(TRIM('MSR RAW'!C139))-SEARCH(" - ",TRIM('MSR RAW'!C139))-9)))</f>
        <v/>
      </c>
      <c r="G139">
        <f>IF(E139="","",IFERROR(VLOOKUP(E139,'CATEGORY MAP'!$A$2:$B$20,2,FALSE()),"REVIEW"))</f>
        <v/>
      </c>
      <c r="H139">
        <f>IF(E139="","",IFERROR(VALUE(SUBSTITUTE('MSR RAW'!P139,",","")),0))</f>
        <v/>
      </c>
      <c r="I139">
        <f>IF(E139="","",IFERROR(VALUE(SUBSTITUTE('MSR RAW'!S139,",","")),0))</f>
        <v/>
      </c>
    </row>
    <row r="140" ht="68.65000000000001" customHeight="1" s="126">
      <c r="A140" t="n">
        <v>140</v>
      </c>
      <c r="B140" s="30">
        <f>IF('MSR RAW'!$A$3="","",'MSR RAW'!$A$3)</f>
        <v/>
      </c>
      <c r="C140">
        <f>IF(LEFT(TRIM('MSR RAW'!A140),11)="Department:",TRIM('MSR RAW'!A140),C139)</f>
        <v/>
      </c>
      <c r="D140">
        <f>IF(LEFT(TRIM('MSR RAW'!B140),9)="Location:",TRIM(MID('MSR RAW'!B140,10,999)),D139)</f>
        <v/>
      </c>
      <c r="E140">
        <f>IF(AND(ISNUMBER(SEARCH(" - ",TRIM('MSR RAW'!C140))),RIGHT(TRIM('MSR RAW'!C140),6)="Total:"),LEFT(TRIM('MSR RAW'!C140),SEARCH(" - ",TRIM('MSR RAW'!C140))-1),"")</f>
        <v/>
      </c>
      <c r="F140">
        <f>IF(E140="","",TRIM(MID(TRIM('MSR RAW'!C140),SEARCH(" - ",TRIM('MSR RAW'!C140))+3,LEN(TRIM('MSR RAW'!C140))-SEARCH(" - ",TRIM('MSR RAW'!C140))-9)))</f>
        <v/>
      </c>
      <c r="G140">
        <f>IF(E140="","",IFERROR(VLOOKUP(E140,'CATEGORY MAP'!$A$2:$B$20,2,FALSE()),"REVIEW"))</f>
        <v/>
      </c>
      <c r="H140">
        <f>IF(E140="","",IFERROR(VALUE(SUBSTITUTE('MSR RAW'!P140,",","")),0))</f>
        <v/>
      </c>
      <c r="I140">
        <f>IF(E140="","",IFERROR(VALUE(SUBSTITUTE('MSR RAW'!S140,",","")),0))</f>
        <v/>
      </c>
    </row>
    <row r="141" ht="68.65000000000001" customHeight="1" s="126">
      <c r="A141" t="n">
        <v>141</v>
      </c>
      <c r="B141" s="30">
        <f>IF('MSR RAW'!$A$3="","",'MSR RAW'!$A$3)</f>
        <v/>
      </c>
      <c r="C141">
        <f>IF(LEFT(TRIM('MSR RAW'!A141),11)="Department:",TRIM('MSR RAW'!A141),C140)</f>
        <v/>
      </c>
      <c r="D141">
        <f>IF(LEFT(TRIM('MSR RAW'!B141),9)="Location:",TRIM(MID('MSR RAW'!B141,10,999)),D140)</f>
        <v/>
      </c>
      <c r="E141">
        <f>IF(AND(ISNUMBER(SEARCH(" - ",TRIM('MSR RAW'!C141))),RIGHT(TRIM('MSR RAW'!C141),6)="Total:"),LEFT(TRIM('MSR RAW'!C141),SEARCH(" - ",TRIM('MSR RAW'!C141))-1),"")</f>
        <v/>
      </c>
      <c r="F141">
        <f>IF(E141="","",TRIM(MID(TRIM('MSR RAW'!C141),SEARCH(" - ",TRIM('MSR RAW'!C141))+3,LEN(TRIM('MSR RAW'!C141))-SEARCH(" - ",TRIM('MSR RAW'!C141))-9)))</f>
        <v/>
      </c>
      <c r="G141">
        <f>IF(E141="","",IFERROR(VLOOKUP(E141,'CATEGORY MAP'!$A$2:$B$20,2,FALSE()),"REVIEW"))</f>
        <v/>
      </c>
      <c r="H141">
        <f>IF(E141="","",IFERROR(VALUE(SUBSTITUTE('MSR RAW'!P141,",","")),0))</f>
        <v/>
      </c>
      <c r="I141">
        <f>IF(E141="","",IFERROR(VALUE(SUBSTITUTE('MSR RAW'!S141,",","")),0))</f>
        <v/>
      </c>
    </row>
    <row r="142" ht="68.65000000000001" customHeight="1" s="126">
      <c r="A142" t="n">
        <v>142</v>
      </c>
      <c r="B142" s="30">
        <f>IF('MSR RAW'!$A$3="","",'MSR RAW'!$A$3)</f>
        <v/>
      </c>
      <c r="C142">
        <f>IF(LEFT(TRIM('MSR RAW'!A142),11)="Department:",TRIM('MSR RAW'!A142),C141)</f>
        <v/>
      </c>
      <c r="D142">
        <f>IF(LEFT(TRIM('MSR RAW'!B142),9)="Location:",TRIM(MID('MSR RAW'!B142,10,999)),D141)</f>
        <v/>
      </c>
      <c r="E142">
        <f>IF(AND(ISNUMBER(SEARCH(" - ",TRIM('MSR RAW'!C142))),RIGHT(TRIM('MSR RAW'!C142),6)="Total:"),LEFT(TRIM('MSR RAW'!C142),SEARCH(" - ",TRIM('MSR RAW'!C142))-1),"")</f>
        <v/>
      </c>
      <c r="F142">
        <f>IF(E142="","",TRIM(MID(TRIM('MSR RAW'!C142),SEARCH(" - ",TRIM('MSR RAW'!C142))+3,LEN(TRIM('MSR RAW'!C142))-SEARCH(" - ",TRIM('MSR RAW'!C142))-9)))</f>
        <v/>
      </c>
      <c r="G142">
        <f>IF(E142="","",IFERROR(VLOOKUP(E142,'CATEGORY MAP'!$A$2:$B$20,2,FALSE()),"REVIEW"))</f>
        <v/>
      </c>
      <c r="H142">
        <f>IF(E142="","",IFERROR(VALUE(SUBSTITUTE('MSR RAW'!P142,",","")),0))</f>
        <v/>
      </c>
      <c r="I142">
        <f>IF(E142="","",IFERROR(VALUE(SUBSTITUTE('MSR RAW'!S142,",","")),0))</f>
        <v/>
      </c>
    </row>
    <row r="143" ht="68.65000000000001" customHeight="1" s="126">
      <c r="A143" t="n">
        <v>143</v>
      </c>
      <c r="B143" s="30">
        <f>IF('MSR RAW'!$A$3="","",'MSR RAW'!$A$3)</f>
        <v/>
      </c>
      <c r="C143">
        <f>IF(LEFT(TRIM('MSR RAW'!A143),11)="Department:",TRIM('MSR RAW'!A143),C142)</f>
        <v/>
      </c>
      <c r="D143">
        <f>IF(LEFT(TRIM('MSR RAW'!B143),9)="Location:",TRIM(MID('MSR RAW'!B143,10,999)),D142)</f>
        <v/>
      </c>
      <c r="E143">
        <f>IF(AND(ISNUMBER(SEARCH(" - ",TRIM('MSR RAW'!C143))),RIGHT(TRIM('MSR RAW'!C143),6)="Total:"),LEFT(TRIM('MSR RAW'!C143),SEARCH(" - ",TRIM('MSR RAW'!C143))-1),"")</f>
        <v/>
      </c>
      <c r="F143">
        <f>IF(E143="","",TRIM(MID(TRIM('MSR RAW'!C143),SEARCH(" - ",TRIM('MSR RAW'!C143))+3,LEN(TRIM('MSR RAW'!C143))-SEARCH(" - ",TRIM('MSR RAW'!C143))-9)))</f>
        <v/>
      </c>
      <c r="G143">
        <f>IF(E143="","",IFERROR(VLOOKUP(E143,'CATEGORY MAP'!$A$2:$B$20,2,FALSE()),"REVIEW"))</f>
        <v/>
      </c>
      <c r="H143">
        <f>IF(E143="","",IFERROR(VALUE(SUBSTITUTE('MSR RAW'!P143,",","")),0))</f>
        <v/>
      </c>
      <c r="I143">
        <f>IF(E143="","",IFERROR(VALUE(SUBSTITUTE('MSR RAW'!S143,",","")),0))</f>
        <v/>
      </c>
    </row>
    <row r="144" ht="68.65000000000001" customHeight="1" s="126">
      <c r="A144" t="n">
        <v>144</v>
      </c>
      <c r="B144" s="30">
        <f>IF('MSR RAW'!$A$3="","",'MSR RAW'!$A$3)</f>
        <v/>
      </c>
      <c r="C144">
        <f>IF(LEFT(TRIM('MSR RAW'!A144),11)="Department:",TRIM('MSR RAW'!A144),C143)</f>
        <v/>
      </c>
      <c r="D144">
        <f>IF(LEFT(TRIM('MSR RAW'!B144),9)="Location:",TRIM(MID('MSR RAW'!B144,10,999)),D143)</f>
        <v/>
      </c>
      <c r="E144">
        <f>IF(AND(ISNUMBER(SEARCH(" - ",TRIM('MSR RAW'!C144))),RIGHT(TRIM('MSR RAW'!C144),6)="Total:"),LEFT(TRIM('MSR RAW'!C144),SEARCH(" - ",TRIM('MSR RAW'!C144))-1),"")</f>
        <v/>
      </c>
      <c r="F144">
        <f>IF(E144="","",TRIM(MID(TRIM('MSR RAW'!C144),SEARCH(" - ",TRIM('MSR RAW'!C144))+3,LEN(TRIM('MSR RAW'!C144))-SEARCH(" - ",TRIM('MSR RAW'!C144))-9)))</f>
        <v/>
      </c>
      <c r="G144">
        <f>IF(E144="","",IFERROR(VLOOKUP(E144,'CATEGORY MAP'!$A$2:$B$20,2,FALSE()),"REVIEW"))</f>
        <v/>
      </c>
      <c r="H144">
        <f>IF(E144="","",IFERROR(VALUE(SUBSTITUTE('MSR RAW'!P144,",","")),0))</f>
        <v/>
      </c>
      <c r="I144">
        <f>IF(E144="","",IFERROR(VALUE(SUBSTITUTE('MSR RAW'!S144,",","")),0))</f>
        <v/>
      </c>
    </row>
    <row r="145" ht="68.65000000000001" customHeight="1" s="126">
      <c r="A145" t="n">
        <v>145</v>
      </c>
      <c r="B145" s="30">
        <f>IF('MSR RAW'!$A$3="","",'MSR RAW'!$A$3)</f>
        <v/>
      </c>
      <c r="C145">
        <f>IF(LEFT(TRIM('MSR RAW'!A145),11)="Department:",TRIM('MSR RAW'!A145),C144)</f>
        <v/>
      </c>
      <c r="D145">
        <f>IF(LEFT(TRIM('MSR RAW'!B145),9)="Location:",TRIM(MID('MSR RAW'!B145,10,999)),D144)</f>
        <v/>
      </c>
      <c r="E145">
        <f>IF(AND(ISNUMBER(SEARCH(" - ",TRIM('MSR RAW'!C145))),RIGHT(TRIM('MSR RAW'!C145),6)="Total:"),LEFT(TRIM('MSR RAW'!C145),SEARCH(" - ",TRIM('MSR RAW'!C145))-1),"")</f>
        <v/>
      </c>
      <c r="F145">
        <f>IF(E145="","",TRIM(MID(TRIM('MSR RAW'!C145),SEARCH(" - ",TRIM('MSR RAW'!C145))+3,LEN(TRIM('MSR RAW'!C145))-SEARCH(" - ",TRIM('MSR RAW'!C145))-9)))</f>
        <v/>
      </c>
      <c r="G145">
        <f>IF(E145="","",IFERROR(VLOOKUP(E145,'CATEGORY MAP'!$A$2:$B$20,2,FALSE()),"REVIEW"))</f>
        <v/>
      </c>
      <c r="H145">
        <f>IF(E145="","",IFERROR(VALUE(SUBSTITUTE('MSR RAW'!P145,",","")),0))</f>
        <v/>
      </c>
      <c r="I145">
        <f>IF(E145="","",IFERROR(VALUE(SUBSTITUTE('MSR RAW'!S145,",","")),0))</f>
        <v/>
      </c>
    </row>
    <row r="146" ht="68.65000000000001" customHeight="1" s="126">
      <c r="A146" t="n">
        <v>146</v>
      </c>
      <c r="B146" s="30">
        <f>IF('MSR RAW'!$A$3="","",'MSR RAW'!$A$3)</f>
        <v/>
      </c>
      <c r="C146">
        <f>IF(LEFT(TRIM('MSR RAW'!A146),11)="Department:",TRIM('MSR RAW'!A146),C145)</f>
        <v/>
      </c>
      <c r="D146">
        <f>IF(LEFT(TRIM('MSR RAW'!B146),9)="Location:",TRIM(MID('MSR RAW'!B146,10,999)),D145)</f>
        <v/>
      </c>
      <c r="E146">
        <f>IF(AND(ISNUMBER(SEARCH(" - ",TRIM('MSR RAW'!C146))),RIGHT(TRIM('MSR RAW'!C146),6)="Total:"),LEFT(TRIM('MSR RAW'!C146),SEARCH(" - ",TRIM('MSR RAW'!C146))-1),"")</f>
        <v/>
      </c>
      <c r="F146">
        <f>IF(E146="","",TRIM(MID(TRIM('MSR RAW'!C146),SEARCH(" - ",TRIM('MSR RAW'!C146))+3,LEN(TRIM('MSR RAW'!C146))-SEARCH(" - ",TRIM('MSR RAW'!C146))-9)))</f>
        <v/>
      </c>
      <c r="G146">
        <f>IF(E146="","",IFERROR(VLOOKUP(E146,'CATEGORY MAP'!$A$2:$B$20,2,FALSE()),"REVIEW"))</f>
        <v/>
      </c>
      <c r="H146">
        <f>IF(E146="","",IFERROR(VALUE(SUBSTITUTE('MSR RAW'!P146,",","")),0))</f>
        <v/>
      </c>
      <c r="I146">
        <f>IF(E146="","",IFERROR(VALUE(SUBSTITUTE('MSR RAW'!S146,",","")),0))</f>
        <v/>
      </c>
    </row>
    <row r="147" ht="68.65000000000001" customHeight="1" s="126">
      <c r="A147" t="n">
        <v>147</v>
      </c>
      <c r="B147" s="30">
        <f>IF('MSR RAW'!$A$3="","",'MSR RAW'!$A$3)</f>
        <v/>
      </c>
      <c r="C147">
        <f>IF(LEFT(TRIM('MSR RAW'!A147),11)="Department:",TRIM('MSR RAW'!A147),C146)</f>
        <v/>
      </c>
      <c r="D147">
        <f>IF(LEFT(TRIM('MSR RAW'!B147),9)="Location:",TRIM(MID('MSR RAW'!B147,10,999)),D146)</f>
        <v/>
      </c>
      <c r="E147">
        <f>IF(AND(ISNUMBER(SEARCH(" - ",TRIM('MSR RAW'!C147))),RIGHT(TRIM('MSR RAW'!C147),6)="Total:"),LEFT(TRIM('MSR RAW'!C147),SEARCH(" - ",TRIM('MSR RAW'!C147))-1),"")</f>
        <v/>
      </c>
      <c r="F147">
        <f>IF(E147="","",TRIM(MID(TRIM('MSR RAW'!C147),SEARCH(" - ",TRIM('MSR RAW'!C147))+3,LEN(TRIM('MSR RAW'!C147))-SEARCH(" - ",TRIM('MSR RAW'!C147))-9)))</f>
        <v/>
      </c>
      <c r="G147">
        <f>IF(E147="","",IFERROR(VLOOKUP(E147,'CATEGORY MAP'!$A$2:$B$20,2,FALSE()),"REVIEW"))</f>
        <v/>
      </c>
      <c r="H147">
        <f>IF(E147="","",IFERROR(VALUE(SUBSTITUTE('MSR RAW'!P147,",","")),0))</f>
        <v/>
      </c>
      <c r="I147">
        <f>IF(E147="","",IFERROR(VALUE(SUBSTITUTE('MSR RAW'!S147,",","")),0))</f>
        <v/>
      </c>
    </row>
    <row r="148" ht="68.65000000000001" customHeight="1" s="126">
      <c r="A148" t="n">
        <v>148</v>
      </c>
      <c r="B148" s="30">
        <f>IF('MSR RAW'!$A$3="","",'MSR RAW'!$A$3)</f>
        <v/>
      </c>
      <c r="C148">
        <f>IF(LEFT(TRIM('MSR RAW'!A148),11)="Department:",TRIM('MSR RAW'!A148),C147)</f>
        <v/>
      </c>
      <c r="D148">
        <f>IF(LEFT(TRIM('MSR RAW'!B148),9)="Location:",TRIM(MID('MSR RAW'!B148,10,999)),D147)</f>
        <v/>
      </c>
      <c r="E148">
        <f>IF(AND(ISNUMBER(SEARCH(" - ",TRIM('MSR RAW'!C148))),RIGHT(TRIM('MSR RAW'!C148),6)="Total:"),LEFT(TRIM('MSR RAW'!C148),SEARCH(" - ",TRIM('MSR RAW'!C148))-1),"")</f>
        <v/>
      </c>
      <c r="F148">
        <f>IF(E148="","",TRIM(MID(TRIM('MSR RAW'!C148),SEARCH(" - ",TRIM('MSR RAW'!C148))+3,LEN(TRIM('MSR RAW'!C148))-SEARCH(" - ",TRIM('MSR RAW'!C148))-9)))</f>
        <v/>
      </c>
      <c r="G148">
        <f>IF(E148="","",IFERROR(VLOOKUP(E148,'CATEGORY MAP'!$A$2:$B$20,2,FALSE()),"REVIEW"))</f>
        <v/>
      </c>
      <c r="H148">
        <f>IF(E148="","",IFERROR(VALUE(SUBSTITUTE('MSR RAW'!P148,",","")),0))</f>
        <v/>
      </c>
      <c r="I148">
        <f>IF(E148="","",IFERROR(VALUE(SUBSTITUTE('MSR RAW'!S148,",","")),0))</f>
        <v/>
      </c>
    </row>
    <row r="149" ht="68.65000000000001" customHeight="1" s="126">
      <c r="A149" t="n">
        <v>149</v>
      </c>
      <c r="B149" s="30">
        <f>IF('MSR RAW'!$A$3="","",'MSR RAW'!$A$3)</f>
        <v/>
      </c>
      <c r="C149">
        <f>IF(LEFT(TRIM('MSR RAW'!A149),11)="Department:",TRIM('MSR RAW'!A149),C148)</f>
        <v/>
      </c>
      <c r="D149">
        <f>IF(LEFT(TRIM('MSR RAW'!B149),9)="Location:",TRIM(MID('MSR RAW'!B149,10,999)),D148)</f>
        <v/>
      </c>
      <c r="E149">
        <f>IF(AND(ISNUMBER(SEARCH(" - ",TRIM('MSR RAW'!C149))),RIGHT(TRIM('MSR RAW'!C149),6)="Total:"),LEFT(TRIM('MSR RAW'!C149),SEARCH(" - ",TRIM('MSR RAW'!C149))-1),"")</f>
        <v/>
      </c>
      <c r="F149">
        <f>IF(E149="","",TRIM(MID(TRIM('MSR RAW'!C149),SEARCH(" - ",TRIM('MSR RAW'!C149))+3,LEN(TRIM('MSR RAW'!C149))-SEARCH(" - ",TRIM('MSR RAW'!C149))-9)))</f>
        <v/>
      </c>
      <c r="G149">
        <f>IF(E149="","",IFERROR(VLOOKUP(E149,'CATEGORY MAP'!$A$2:$B$20,2,FALSE()),"REVIEW"))</f>
        <v/>
      </c>
      <c r="H149">
        <f>IF(E149="","",IFERROR(VALUE(SUBSTITUTE('MSR RAW'!P149,",","")),0))</f>
        <v/>
      </c>
      <c r="I149">
        <f>IF(E149="","",IFERROR(VALUE(SUBSTITUTE('MSR RAW'!S149,",","")),0))</f>
        <v/>
      </c>
    </row>
    <row r="150" ht="68.65000000000001" customHeight="1" s="126">
      <c r="A150" t="n">
        <v>150</v>
      </c>
      <c r="B150" s="30">
        <f>IF('MSR RAW'!$A$3="","",'MSR RAW'!$A$3)</f>
        <v/>
      </c>
      <c r="C150">
        <f>IF(LEFT(TRIM('MSR RAW'!A150),11)="Department:",TRIM('MSR RAW'!A150),C149)</f>
        <v/>
      </c>
      <c r="D150">
        <f>IF(LEFT(TRIM('MSR RAW'!B150),9)="Location:",TRIM(MID('MSR RAW'!B150,10,999)),D149)</f>
        <v/>
      </c>
      <c r="E150">
        <f>IF(AND(ISNUMBER(SEARCH(" - ",TRIM('MSR RAW'!C150))),RIGHT(TRIM('MSR RAW'!C150),6)="Total:"),LEFT(TRIM('MSR RAW'!C150),SEARCH(" - ",TRIM('MSR RAW'!C150))-1),"")</f>
        <v/>
      </c>
      <c r="F150">
        <f>IF(E150="","",TRIM(MID(TRIM('MSR RAW'!C150),SEARCH(" - ",TRIM('MSR RAW'!C150))+3,LEN(TRIM('MSR RAW'!C150))-SEARCH(" - ",TRIM('MSR RAW'!C150))-9)))</f>
        <v/>
      </c>
      <c r="G150">
        <f>IF(E150="","",IFERROR(VLOOKUP(E150,'CATEGORY MAP'!$A$2:$B$20,2,FALSE()),"REVIEW"))</f>
        <v/>
      </c>
      <c r="H150">
        <f>IF(E150="","",IFERROR(VALUE(SUBSTITUTE('MSR RAW'!P150,",","")),0))</f>
        <v/>
      </c>
      <c r="I150">
        <f>IF(E150="","",IFERROR(VALUE(SUBSTITUTE('MSR RAW'!S150,",","")),0))</f>
        <v/>
      </c>
    </row>
    <row r="151" ht="68.65000000000001" customHeight="1" s="126">
      <c r="A151" t="n">
        <v>151</v>
      </c>
      <c r="B151" s="30">
        <f>IF('MSR RAW'!$A$3="","",'MSR RAW'!$A$3)</f>
        <v/>
      </c>
      <c r="C151">
        <f>IF(LEFT(TRIM('MSR RAW'!A151),11)="Department:",TRIM('MSR RAW'!A151),C150)</f>
        <v/>
      </c>
      <c r="D151">
        <f>IF(LEFT(TRIM('MSR RAW'!B151),9)="Location:",TRIM(MID('MSR RAW'!B151,10,999)),D150)</f>
        <v/>
      </c>
      <c r="E151">
        <f>IF(AND(ISNUMBER(SEARCH(" - ",TRIM('MSR RAW'!C151))),RIGHT(TRIM('MSR RAW'!C151),6)="Total:"),LEFT(TRIM('MSR RAW'!C151),SEARCH(" - ",TRIM('MSR RAW'!C151))-1),"")</f>
        <v/>
      </c>
      <c r="F151">
        <f>IF(E151="","",TRIM(MID(TRIM('MSR RAW'!C151),SEARCH(" - ",TRIM('MSR RAW'!C151))+3,LEN(TRIM('MSR RAW'!C151))-SEARCH(" - ",TRIM('MSR RAW'!C151))-9)))</f>
        <v/>
      </c>
      <c r="G151">
        <f>IF(E151="","",IFERROR(VLOOKUP(E151,'CATEGORY MAP'!$A$2:$B$20,2,FALSE()),"REVIEW"))</f>
        <v/>
      </c>
      <c r="H151">
        <f>IF(E151="","",IFERROR(VALUE(SUBSTITUTE('MSR RAW'!P151,",","")),0))</f>
        <v/>
      </c>
      <c r="I151">
        <f>IF(E151="","",IFERROR(VALUE(SUBSTITUTE('MSR RAW'!S151,",","")),0))</f>
        <v/>
      </c>
    </row>
    <row r="152" ht="68.65000000000001" customHeight="1" s="126">
      <c r="A152" t="n">
        <v>152</v>
      </c>
      <c r="B152" s="30">
        <f>IF('MSR RAW'!$A$3="","",'MSR RAW'!$A$3)</f>
        <v/>
      </c>
      <c r="C152">
        <f>IF(LEFT(TRIM('MSR RAW'!A152),11)="Department:",TRIM('MSR RAW'!A152),C151)</f>
        <v/>
      </c>
      <c r="D152">
        <f>IF(LEFT(TRIM('MSR RAW'!B152),9)="Location:",TRIM(MID('MSR RAW'!B152,10,999)),D151)</f>
        <v/>
      </c>
      <c r="E152">
        <f>IF(AND(ISNUMBER(SEARCH(" - ",TRIM('MSR RAW'!C152))),RIGHT(TRIM('MSR RAW'!C152),6)="Total:"),LEFT(TRIM('MSR RAW'!C152),SEARCH(" - ",TRIM('MSR RAW'!C152))-1),"")</f>
        <v/>
      </c>
      <c r="F152">
        <f>IF(E152="","",TRIM(MID(TRIM('MSR RAW'!C152),SEARCH(" - ",TRIM('MSR RAW'!C152))+3,LEN(TRIM('MSR RAW'!C152))-SEARCH(" - ",TRIM('MSR RAW'!C152))-9)))</f>
        <v/>
      </c>
      <c r="G152">
        <f>IF(E152="","",IFERROR(VLOOKUP(E152,'CATEGORY MAP'!$A$2:$B$20,2,FALSE()),"REVIEW"))</f>
        <v/>
      </c>
      <c r="H152">
        <f>IF(E152="","",IFERROR(VALUE(SUBSTITUTE('MSR RAW'!P152,",","")),0))</f>
        <v/>
      </c>
      <c r="I152">
        <f>IF(E152="","",IFERROR(VALUE(SUBSTITUTE('MSR RAW'!S152,",","")),0))</f>
        <v/>
      </c>
    </row>
    <row r="153" ht="68.65000000000001" customHeight="1" s="126">
      <c r="A153" t="n">
        <v>153</v>
      </c>
      <c r="B153" s="30">
        <f>IF('MSR RAW'!$A$3="","",'MSR RAW'!$A$3)</f>
        <v/>
      </c>
      <c r="C153">
        <f>IF(LEFT(TRIM('MSR RAW'!A153),11)="Department:",TRIM('MSR RAW'!A153),C152)</f>
        <v/>
      </c>
      <c r="D153">
        <f>IF(LEFT(TRIM('MSR RAW'!B153),9)="Location:",TRIM(MID('MSR RAW'!B153,10,999)),D152)</f>
        <v/>
      </c>
      <c r="E153">
        <f>IF(AND(ISNUMBER(SEARCH(" - ",TRIM('MSR RAW'!C153))),RIGHT(TRIM('MSR RAW'!C153),6)="Total:"),LEFT(TRIM('MSR RAW'!C153),SEARCH(" - ",TRIM('MSR RAW'!C153))-1),"")</f>
        <v/>
      </c>
      <c r="F153">
        <f>IF(E153="","",TRIM(MID(TRIM('MSR RAW'!C153),SEARCH(" - ",TRIM('MSR RAW'!C153))+3,LEN(TRIM('MSR RAW'!C153))-SEARCH(" - ",TRIM('MSR RAW'!C153))-9)))</f>
        <v/>
      </c>
      <c r="G153">
        <f>IF(E153="","",IFERROR(VLOOKUP(E153,'CATEGORY MAP'!$A$2:$B$20,2,FALSE()),"REVIEW"))</f>
        <v/>
      </c>
      <c r="H153">
        <f>IF(E153="","",IFERROR(VALUE(SUBSTITUTE('MSR RAW'!P153,",","")),0))</f>
        <v/>
      </c>
      <c r="I153">
        <f>IF(E153="","",IFERROR(VALUE(SUBSTITUTE('MSR RAW'!S153,",","")),0))</f>
        <v/>
      </c>
    </row>
    <row r="154" ht="68.65000000000001" customHeight="1" s="126">
      <c r="A154" t="n">
        <v>154</v>
      </c>
      <c r="B154" s="30">
        <f>IF('MSR RAW'!$A$3="","",'MSR RAW'!$A$3)</f>
        <v/>
      </c>
      <c r="C154">
        <f>IF(LEFT(TRIM('MSR RAW'!A154),11)="Department:",TRIM('MSR RAW'!A154),C153)</f>
        <v/>
      </c>
      <c r="D154">
        <f>IF(LEFT(TRIM('MSR RAW'!B154),9)="Location:",TRIM(MID('MSR RAW'!B154,10,999)),D153)</f>
        <v/>
      </c>
      <c r="E154">
        <f>IF(AND(ISNUMBER(SEARCH(" - ",TRIM('MSR RAW'!C154))),RIGHT(TRIM('MSR RAW'!C154),6)="Total:"),LEFT(TRIM('MSR RAW'!C154),SEARCH(" - ",TRIM('MSR RAW'!C154))-1),"")</f>
        <v/>
      </c>
      <c r="F154">
        <f>IF(E154="","",TRIM(MID(TRIM('MSR RAW'!C154),SEARCH(" - ",TRIM('MSR RAW'!C154))+3,LEN(TRIM('MSR RAW'!C154))-SEARCH(" - ",TRIM('MSR RAW'!C154))-9)))</f>
        <v/>
      </c>
      <c r="G154">
        <f>IF(E154="","",IFERROR(VLOOKUP(E154,'CATEGORY MAP'!$A$2:$B$20,2,FALSE()),"REVIEW"))</f>
        <v/>
      </c>
      <c r="H154">
        <f>IF(E154="","",IFERROR(VALUE(SUBSTITUTE('MSR RAW'!P154,",","")),0))</f>
        <v/>
      </c>
      <c r="I154">
        <f>IF(E154="","",IFERROR(VALUE(SUBSTITUTE('MSR RAW'!S154,",","")),0))</f>
        <v/>
      </c>
    </row>
    <row r="155" ht="68.65000000000001" customHeight="1" s="126">
      <c r="A155" t="n">
        <v>155</v>
      </c>
      <c r="B155" s="30">
        <f>IF('MSR RAW'!$A$3="","",'MSR RAW'!$A$3)</f>
        <v/>
      </c>
      <c r="C155">
        <f>IF(LEFT(TRIM('MSR RAW'!A155),11)="Department:",TRIM('MSR RAW'!A155),C154)</f>
        <v/>
      </c>
      <c r="D155">
        <f>IF(LEFT(TRIM('MSR RAW'!B155),9)="Location:",TRIM(MID('MSR RAW'!B155,10,999)),D154)</f>
        <v/>
      </c>
      <c r="E155">
        <f>IF(AND(ISNUMBER(SEARCH(" - ",TRIM('MSR RAW'!C155))),RIGHT(TRIM('MSR RAW'!C155),6)="Total:"),LEFT(TRIM('MSR RAW'!C155),SEARCH(" - ",TRIM('MSR RAW'!C155))-1),"")</f>
        <v/>
      </c>
      <c r="F155">
        <f>IF(E155="","",TRIM(MID(TRIM('MSR RAW'!C155),SEARCH(" - ",TRIM('MSR RAW'!C155))+3,LEN(TRIM('MSR RAW'!C155))-SEARCH(" - ",TRIM('MSR RAW'!C155))-9)))</f>
        <v/>
      </c>
      <c r="G155">
        <f>IF(E155="","",IFERROR(VLOOKUP(E155,'CATEGORY MAP'!$A$2:$B$20,2,FALSE()),"REVIEW"))</f>
        <v/>
      </c>
      <c r="H155">
        <f>IF(E155="","",IFERROR(VALUE(SUBSTITUTE('MSR RAW'!P155,",","")),0))</f>
        <v/>
      </c>
      <c r="I155">
        <f>IF(E155="","",IFERROR(VALUE(SUBSTITUTE('MSR RAW'!S155,",","")),0))</f>
        <v/>
      </c>
    </row>
    <row r="156" ht="68.65000000000001" customHeight="1" s="126">
      <c r="A156" t="n">
        <v>156</v>
      </c>
      <c r="B156" s="30">
        <f>IF('MSR RAW'!$A$3="","",'MSR RAW'!$A$3)</f>
        <v/>
      </c>
      <c r="C156">
        <f>IF(LEFT(TRIM('MSR RAW'!A156),11)="Department:",TRIM('MSR RAW'!A156),C155)</f>
        <v/>
      </c>
      <c r="D156">
        <f>IF(LEFT(TRIM('MSR RAW'!B156),9)="Location:",TRIM(MID('MSR RAW'!B156,10,999)),D155)</f>
        <v/>
      </c>
      <c r="E156">
        <f>IF(AND(ISNUMBER(SEARCH(" - ",TRIM('MSR RAW'!C156))),RIGHT(TRIM('MSR RAW'!C156),6)="Total:"),LEFT(TRIM('MSR RAW'!C156),SEARCH(" - ",TRIM('MSR RAW'!C156))-1),"")</f>
        <v/>
      </c>
      <c r="F156">
        <f>IF(E156="","",TRIM(MID(TRIM('MSR RAW'!C156),SEARCH(" - ",TRIM('MSR RAW'!C156))+3,LEN(TRIM('MSR RAW'!C156))-SEARCH(" - ",TRIM('MSR RAW'!C156))-9)))</f>
        <v/>
      </c>
      <c r="G156">
        <f>IF(E156="","",IFERROR(VLOOKUP(E156,'CATEGORY MAP'!$A$2:$B$20,2,FALSE()),"REVIEW"))</f>
        <v/>
      </c>
      <c r="H156">
        <f>IF(E156="","",IFERROR(VALUE(SUBSTITUTE('MSR RAW'!P156,",","")),0))</f>
        <v/>
      </c>
      <c r="I156">
        <f>IF(E156="","",IFERROR(VALUE(SUBSTITUTE('MSR RAW'!S156,",","")),0))</f>
        <v/>
      </c>
    </row>
    <row r="157" ht="68.65000000000001" customHeight="1" s="126">
      <c r="A157" t="n">
        <v>157</v>
      </c>
      <c r="B157" s="30">
        <f>IF('MSR RAW'!$A$3="","",'MSR RAW'!$A$3)</f>
        <v/>
      </c>
      <c r="C157">
        <f>IF(LEFT(TRIM('MSR RAW'!A157),11)="Department:",TRIM('MSR RAW'!A157),C156)</f>
        <v/>
      </c>
      <c r="D157">
        <f>IF(LEFT(TRIM('MSR RAW'!B157),9)="Location:",TRIM(MID('MSR RAW'!B157,10,999)),D156)</f>
        <v/>
      </c>
      <c r="E157">
        <f>IF(AND(ISNUMBER(SEARCH(" - ",TRIM('MSR RAW'!C157))),RIGHT(TRIM('MSR RAW'!C157),6)="Total:"),LEFT(TRIM('MSR RAW'!C157),SEARCH(" - ",TRIM('MSR RAW'!C157))-1),"")</f>
        <v/>
      </c>
      <c r="F157">
        <f>IF(E157="","",TRIM(MID(TRIM('MSR RAW'!C157),SEARCH(" - ",TRIM('MSR RAW'!C157))+3,LEN(TRIM('MSR RAW'!C157))-SEARCH(" - ",TRIM('MSR RAW'!C157))-9)))</f>
        <v/>
      </c>
      <c r="G157">
        <f>IF(E157="","",IFERROR(VLOOKUP(E157,'CATEGORY MAP'!$A$2:$B$20,2,FALSE()),"REVIEW"))</f>
        <v/>
      </c>
      <c r="H157">
        <f>IF(E157="","",IFERROR(VALUE(SUBSTITUTE('MSR RAW'!P157,",","")),0))</f>
        <v/>
      </c>
      <c r="I157">
        <f>IF(E157="","",IFERROR(VALUE(SUBSTITUTE('MSR RAW'!S157,",","")),0))</f>
        <v/>
      </c>
    </row>
    <row r="158" ht="68.65000000000001" customHeight="1" s="126">
      <c r="A158" t="n">
        <v>158</v>
      </c>
      <c r="B158" s="30">
        <f>IF('MSR RAW'!$A$3="","",'MSR RAW'!$A$3)</f>
        <v/>
      </c>
      <c r="C158">
        <f>IF(LEFT(TRIM('MSR RAW'!A158),11)="Department:",TRIM('MSR RAW'!A158),C157)</f>
        <v/>
      </c>
      <c r="D158">
        <f>IF(LEFT(TRIM('MSR RAW'!B158),9)="Location:",TRIM(MID('MSR RAW'!B158,10,999)),D157)</f>
        <v/>
      </c>
      <c r="E158">
        <f>IF(AND(ISNUMBER(SEARCH(" - ",TRIM('MSR RAW'!C158))),RIGHT(TRIM('MSR RAW'!C158),6)="Total:"),LEFT(TRIM('MSR RAW'!C158),SEARCH(" - ",TRIM('MSR RAW'!C158))-1),"")</f>
        <v/>
      </c>
      <c r="F158">
        <f>IF(E158="","",TRIM(MID(TRIM('MSR RAW'!C158),SEARCH(" - ",TRIM('MSR RAW'!C158))+3,LEN(TRIM('MSR RAW'!C158))-SEARCH(" - ",TRIM('MSR RAW'!C158))-9)))</f>
        <v/>
      </c>
      <c r="G158">
        <f>IF(E158="","",IFERROR(VLOOKUP(E158,'CATEGORY MAP'!$A$2:$B$20,2,FALSE()),"REVIEW"))</f>
        <v/>
      </c>
      <c r="H158">
        <f>IF(E158="","",IFERROR(VALUE(SUBSTITUTE('MSR RAW'!P158,",","")),0))</f>
        <v/>
      </c>
      <c r="I158">
        <f>IF(E158="","",IFERROR(VALUE(SUBSTITUTE('MSR RAW'!S158,",","")),0))</f>
        <v/>
      </c>
    </row>
    <row r="159" ht="68.65000000000001" customHeight="1" s="126">
      <c r="A159" t="n">
        <v>159</v>
      </c>
      <c r="B159" s="30">
        <f>IF('MSR RAW'!$A$3="","",'MSR RAW'!$A$3)</f>
        <v/>
      </c>
      <c r="C159">
        <f>IF(LEFT(TRIM('MSR RAW'!A159),11)="Department:",TRIM('MSR RAW'!A159),C158)</f>
        <v/>
      </c>
      <c r="D159">
        <f>IF(LEFT(TRIM('MSR RAW'!B159),9)="Location:",TRIM(MID('MSR RAW'!B159,10,999)),D158)</f>
        <v/>
      </c>
      <c r="E159">
        <f>IF(AND(ISNUMBER(SEARCH(" - ",TRIM('MSR RAW'!C159))),RIGHT(TRIM('MSR RAW'!C159),6)="Total:"),LEFT(TRIM('MSR RAW'!C159),SEARCH(" - ",TRIM('MSR RAW'!C159))-1),"")</f>
        <v/>
      </c>
      <c r="F159">
        <f>IF(E159="","",TRIM(MID(TRIM('MSR RAW'!C159),SEARCH(" - ",TRIM('MSR RAW'!C159))+3,LEN(TRIM('MSR RAW'!C159))-SEARCH(" - ",TRIM('MSR RAW'!C159))-9)))</f>
        <v/>
      </c>
      <c r="G159">
        <f>IF(E159="","",IFERROR(VLOOKUP(E159,'CATEGORY MAP'!$A$2:$B$20,2,FALSE()),"REVIEW"))</f>
        <v/>
      </c>
      <c r="H159">
        <f>IF(E159="","",IFERROR(VALUE(SUBSTITUTE('MSR RAW'!P159,",","")),0))</f>
        <v/>
      </c>
      <c r="I159">
        <f>IF(E159="","",IFERROR(VALUE(SUBSTITUTE('MSR RAW'!S159,",","")),0))</f>
        <v/>
      </c>
    </row>
    <row r="160" ht="68.65000000000001" customHeight="1" s="126">
      <c r="A160" t="n">
        <v>160</v>
      </c>
      <c r="B160" s="30">
        <f>IF('MSR RAW'!$A$3="","",'MSR RAW'!$A$3)</f>
        <v/>
      </c>
      <c r="C160">
        <f>IF(LEFT(TRIM('MSR RAW'!A160),11)="Department:",TRIM('MSR RAW'!A160),C159)</f>
        <v/>
      </c>
      <c r="D160">
        <f>IF(LEFT(TRIM('MSR RAW'!B160),9)="Location:",TRIM(MID('MSR RAW'!B160,10,999)),D159)</f>
        <v/>
      </c>
      <c r="E160">
        <f>IF(AND(ISNUMBER(SEARCH(" - ",TRIM('MSR RAW'!C160))),RIGHT(TRIM('MSR RAW'!C160),6)="Total:"),LEFT(TRIM('MSR RAW'!C160),SEARCH(" - ",TRIM('MSR RAW'!C160))-1),"")</f>
        <v/>
      </c>
      <c r="F160">
        <f>IF(E160="","",TRIM(MID(TRIM('MSR RAW'!C160),SEARCH(" - ",TRIM('MSR RAW'!C160))+3,LEN(TRIM('MSR RAW'!C160))-SEARCH(" - ",TRIM('MSR RAW'!C160))-9)))</f>
        <v/>
      </c>
      <c r="G160">
        <f>IF(E160="","",IFERROR(VLOOKUP(E160,'CATEGORY MAP'!$A$2:$B$20,2,FALSE()),"REVIEW"))</f>
        <v/>
      </c>
      <c r="H160">
        <f>IF(E160="","",IFERROR(VALUE(SUBSTITUTE('MSR RAW'!P160,",","")),0))</f>
        <v/>
      </c>
      <c r="I160">
        <f>IF(E160="","",IFERROR(VALUE(SUBSTITUTE('MSR RAW'!S160,",","")),0))</f>
        <v/>
      </c>
    </row>
    <row r="161" ht="68.65000000000001" customHeight="1" s="126">
      <c r="A161" t="n">
        <v>161</v>
      </c>
      <c r="B161" s="30">
        <f>IF('MSR RAW'!$A$3="","",'MSR RAW'!$A$3)</f>
        <v/>
      </c>
      <c r="C161">
        <f>IF(LEFT(TRIM('MSR RAW'!A161),11)="Department:",TRIM('MSR RAW'!A161),C160)</f>
        <v/>
      </c>
      <c r="D161">
        <f>IF(LEFT(TRIM('MSR RAW'!B161),9)="Location:",TRIM(MID('MSR RAW'!B161,10,999)),D160)</f>
        <v/>
      </c>
      <c r="E161">
        <f>IF(AND(ISNUMBER(SEARCH(" - ",TRIM('MSR RAW'!C161))),RIGHT(TRIM('MSR RAW'!C161),6)="Total:"),LEFT(TRIM('MSR RAW'!C161),SEARCH(" - ",TRIM('MSR RAW'!C161))-1),"")</f>
        <v/>
      </c>
      <c r="F161">
        <f>IF(E161="","",TRIM(MID(TRIM('MSR RAW'!C161),SEARCH(" - ",TRIM('MSR RAW'!C161))+3,LEN(TRIM('MSR RAW'!C161))-SEARCH(" - ",TRIM('MSR RAW'!C161))-9)))</f>
        <v/>
      </c>
      <c r="G161">
        <f>IF(E161="","",IFERROR(VLOOKUP(E161,'CATEGORY MAP'!$A$2:$B$20,2,FALSE()),"REVIEW"))</f>
        <v/>
      </c>
      <c r="H161">
        <f>IF(E161="","",IFERROR(VALUE(SUBSTITUTE('MSR RAW'!P161,",","")),0))</f>
        <v/>
      </c>
      <c r="I161">
        <f>IF(E161="","",IFERROR(VALUE(SUBSTITUTE('MSR RAW'!S161,",","")),0))</f>
        <v/>
      </c>
    </row>
    <row r="162" ht="68.65000000000001" customHeight="1" s="126">
      <c r="A162" t="n">
        <v>162</v>
      </c>
      <c r="B162" s="30">
        <f>IF('MSR RAW'!$A$3="","",'MSR RAW'!$A$3)</f>
        <v/>
      </c>
      <c r="C162">
        <f>IF(LEFT(TRIM('MSR RAW'!A162),11)="Department:",TRIM('MSR RAW'!A162),C161)</f>
        <v/>
      </c>
      <c r="D162">
        <f>IF(LEFT(TRIM('MSR RAW'!B162),9)="Location:",TRIM(MID('MSR RAW'!B162,10,999)),D161)</f>
        <v/>
      </c>
      <c r="E162">
        <f>IF(AND(ISNUMBER(SEARCH(" - ",TRIM('MSR RAW'!C162))),RIGHT(TRIM('MSR RAW'!C162),6)="Total:"),LEFT(TRIM('MSR RAW'!C162),SEARCH(" - ",TRIM('MSR RAW'!C162))-1),"")</f>
        <v/>
      </c>
      <c r="F162">
        <f>IF(E162="","",TRIM(MID(TRIM('MSR RAW'!C162),SEARCH(" - ",TRIM('MSR RAW'!C162))+3,LEN(TRIM('MSR RAW'!C162))-SEARCH(" - ",TRIM('MSR RAW'!C162))-9)))</f>
        <v/>
      </c>
      <c r="G162">
        <f>IF(E162="","",IFERROR(VLOOKUP(E162,'CATEGORY MAP'!$A$2:$B$20,2,FALSE()),"REVIEW"))</f>
        <v/>
      </c>
      <c r="H162">
        <f>IF(E162="","",IFERROR(VALUE(SUBSTITUTE('MSR RAW'!P162,",","")),0))</f>
        <v/>
      </c>
      <c r="I162">
        <f>IF(E162="","",IFERROR(VALUE(SUBSTITUTE('MSR RAW'!S162,",","")),0))</f>
        <v/>
      </c>
    </row>
    <row r="163" ht="68.65000000000001" customHeight="1" s="126">
      <c r="A163" t="n">
        <v>163</v>
      </c>
      <c r="B163" s="30">
        <f>IF('MSR RAW'!$A$3="","",'MSR RAW'!$A$3)</f>
        <v/>
      </c>
      <c r="C163">
        <f>IF(LEFT(TRIM('MSR RAW'!A163),11)="Department:",TRIM('MSR RAW'!A163),C162)</f>
        <v/>
      </c>
      <c r="D163">
        <f>IF(LEFT(TRIM('MSR RAW'!B163),9)="Location:",TRIM(MID('MSR RAW'!B163,10,999)),D162)</f>
        <v/>
      </c>
      <c r="E163">
        <f>IF(AND(ISNUMBER(SEARCH(" - ",TRIM('MSR RAW'!C163))),RIGHT(TRIM('MSR RAW'!C163),6)="Total:"),LEFT(TRIM('MSR RAW'!C163),SEARCH(" - ",TRIM('MSR RAW'!C163))-1),"")</f>
        <v/>
      </c>
      <c r="F163">
        <f>IF(E163="","",TRIM(MID(TRIM('MSR RAW'!C163),SEARCH(" - ",TRIM('MSR RAW'!C163))+3,LEN(TRIM('MSR RAW'!C163))-SEARCH(" - ",TRIM('MSR RAW'!C163))-9)))</f>
        <v/>
      </c>
      <c r="G163">
        <f>IF(E163="","",IFERROR(VLOOKUP(E163,'CATEGORY MAP'!$A$2:$B$20,2,FALSE()),"REVIEW"))</f>
        <v/>
      </c>
      <c r="H163">
        <f>IF(E163="","",IFERROR(VALUE(SUBSTITUTE('MSR RAW'!P163,",","")),0))</f>
        <v/>
      </c>
      <c r="I163">
        <f>IF(E163="","",IFERROR(VALUE(SUBSTITUTE('MSR RAW'!S163,",","")),0))</f>
        <v/>
      </c>
    </row>
    <row r="164" ht="68.65000000000001" customHeight="1" s="126">
      <c r="A164" t="n">
        <v>164</v>
      </c>
      <c r="B164" s="30">
        <f>IF('MSR RAW'!$A$3="","",'MSR RAW'!$A$3)</f>
        <v/>
      </c>
      <c r="C164">
        <f>IF(LEFT(TRIM('MSR RAW'!A164),11)="Department:",TRIM('MSR RAW'!A164),C163)</f>
        <v/>
      </c>
      <c r="D164">
        <f>IF(LEFT(TRIM('MSR RAW'!B164),9)="Location:",TRIM(MID('MSR RAW'!B164,10,999)),D163)</f>
        <v/>
      </c>
      <c r="E164">
        <f>IF(AND(ISNUMBER(SEARCH(" - ",TRIM('MSR RAW'!C164))),RIGHT(TRIM('MSR RAW'!C164),6)="Total:"),LEFT(TRIM('MSR RAW'!C164),SEARCH(" - ",TRIM('MSR RAW'!C164))-1),"")</f>
        <v/>
      </c>
      <c r="F164">
        <f>IF(E164="","",TRIM(MID(TRIM('MSR RAW'!C164),SEARCH(" - ",TRIM('MSR RAW'!C164))+3,LEN(TRIM('MSR RAW'!C164))-SEARCH(" - ",TRIM('MSR RAW'!C164))-9)))</f>
        <v/>
      </c>
      <c r="G164">
        <f>IF(E164="","",IFERROR(VLOOKUP(E164,'CATEGORY MAP'!$A$2:$B$20,2,FALSE()),"REVIEW"))</f>
        <v/>
      </c>
      <c r="H164">
        <f>IF(E164="","",IFERROR(VALUE(SUBSTITUTE('MSR RAW'!P164,",","")),0))</f>
        <v/>
      </c>
      <c r="I164">
        <f>IF(E164="","",IFERROR(VALUE(SUBSTITUTE('MSR RAW'!S164,",","")),0))</f>
        <v/>
      </c>
    </row>
    <row r="165" ht="68.65000000000001" customHeight="1" s="126">
      <c r="A165" t="n">
        <v>165</v>
      </c>
      <c r="B165" s="30">
        <f>IF('MSR RAW'!$A$3="","",'MSR RAW'!$A$3)</f>
        <v/>
      </c>
      <c r="C165">
        <f>IF(LEFT(TRIM('MSR RAW'!A165),11)="Department:",TRIM('MSR RAW'!A165),C164)</f>
        <v/>
      </c>
      <c r="D165">
        <f>IF(LEFT(TRIM('MSR RAW'!B165),9)="Location:",TRIM(MID('MSR RAW'!B165,10,999)),D164)</f>
        <v/>
      </c>
      <c r="E165">
        <f>IF(AND(ISNUMBER(SEARCH(" - ",TRIM('MSR RAW'!C165))),RIGHT(TRIM('MSR RAW'!C165),6)="Total:"),LEFT(TRIM('MSR RAW'!C165),SEARCH(" - ",TRIM('MSR RAW'!C165))-1),"")</f>
        <v/>
      </c>
      <c r="F165">
        <f>IF(E165="","",TRIM(MID(TRIM('MSR RAW'!C165),SEARCH(" - ",TRIM('MSR RAW'!C165))+3,LEN(TRIM('MSR RAW'!C165))-SEARCH(" - ",TRIM('MSR RAW'!C165))-9)))</f>
        <v/>
      </c>
      <c r="G165">
        <f>IF(E165="","",IFERROR(VLOOKUP(E165,'CATEGORY MAP'!$A$2:$B$20,2,FALSE()),"REVIEW"))</f>
        <v/>
      </c>
      <c r="H165">
        <f>IF(E165="","",IFERROR(VALUE(SUBSTITUTE('MSR RAW'!P165,",","")),0))</f>
        <v/>
      </c>
      <c r="I165">
        <f>IF(E165="","",IFERROR(VALUE(SUBSTITUTE('MSR RAW'!S165,",","")),0))</f>
        <v/>
      </c>
    </row>
    <row r="166" ht="68.65000000000001" customHeight="1" s="126">
      <c r="A166" t="n">
        <v>166</v>
      </c>
      <c r="B166" s="30">
        <f>IF('MSR RAW'!$A$3="","",'MSR RAW'!$A$3)</f>
        <v/>
      </c>
      <c r="C166">
        <f>IF(LEFT(TRIM('MSR RAW'!A166),11)="Department:",TRIM('MSR RAW'!A166),C165)</f>
        <v/>
      </c>
      <c r="D166">
        <f>IF(LEFT(TRIM('MSR RAW'!B166),9)="Location:",TRIM(MID('MSR RAW'!B166,10,999)),D165)</f>
        <v/>
      </c>
      <c r="E166">
        <f>IF(AND(ISNUMBER(SEARCH(" - ",TRIM('MSR RAW'!C166))),RIGHT(TRIM('MSR RAW'!C166),6)="Total:"),LEFT(TRIM('MSR RAW'!C166),SEARCH(" - ",TRIM('MSR RAW'!C166))-1),"")</f>
        <v/>
      </c>
      <c r="F166">
        <f>IF(E166="","",TRIM(MID(TRIM('MSR RAW'!C166),SEARCH(" - ",TRIM('MSR RAW'!C166))+3,LEN(TRIM('MSR RAW'!C166))-SEARCH(" - ",TRIM('MSR RAW'!C166))-9)))</f>
        <v/>
      </c>
      <c r="G166">
        <f>IF(E166="","",IFERROR(VLOOKUP(E166,'CATEGORY MAP'!$A$2:$B$20,2,FALSE()),"REVIEW"))</f>
        <v/>
      </c>
      <c r="H166">
        <f>IF(E166="","",IFERROR(VALUE(SUBSTITUTE('MSR RAW'!P166,",","")),0))</f>
        <v/>
      </c>
      <c r="I166">
        <f>IF(E166="","",IFERROR(VALUE(SUBSTITUTE('MSR RAW'!S166,",","")),0))</f>
        <v/>
      </c>
    </row>
    <row r="167" ht="68.65000000000001" customHeight="1" s="126">
      <c r="A167" t="n">
        <v>167</v>
      </c>
      <c r="B167" s="30">
        <f>IF('MSR RAW'!$A$3="","",'MSR RAW'!$A$3)</f>
        <v/>
      </c>
      <c r="C167">
        <f>IF(LEFT(TRIM('MSR RAW'!A167),11)="Department:",TRIM('MSR RAW'!A167),C166)</f>
        <v/>
      </c>
      <c r="D167">
        <f>IF(LEFT(TRIM('MSR RAW'!B167),9)="Location:",TRIM(MID('MSR RAW'!B167,10,999)),D166)</f>
        <v/>
      </c>
      <c r="E167">
        <f>IF(AND(ISNUMBER(SEARCH(" - ",TRIM('MSR RAW'!C167))),RIGHT(TRIM('MSR RAW'!C167),6)="Total:"),LEFT(TRIM('MSR RAW'!C167),SEARCH(" - ",TRIM('MSR RAW'!C167))-1),"")</f>
        <v/>
      </c>
      <c r="F167">
        <f>IF(E167="","",TRIM(MID(TRIM('MSR RAW'!C167),SEARCH(" - ",TRIM('MSR RAW'!C167))+3,LEN(TRIM('MSR RAW'!C167))-SEARCH(" - ",TRIM('MSR RAW'!C167))-9)))</f>
        <v/>
      </c>
      <c r="G167">
        <f>IF(E167="","",IFERROR(VLOOKUP(E167,'CATEGORY MAP'!$A$2:$B$20,2,FALSE()),"REVIEW"))</f>
        <v/>
      </c>
      <c r="H167">
        <f>IF(E167="","",IFERROR(VALUE(SUBSTITUTE('MSR RAW'!P167,",","")),0))</f>
        <v/>
      </c>
      <c r="I167">
        <f>IF(E167="","",IFERROR(VALUE(SUBSTITUTE('MSR RAW'!S167,",","")),0))</f>
        <v/>
      </c>
    </row>
    <row r="168" ht="68.65000000000001" customHeight="1" s="126">
      <c r="A168" t="n">
        <v>168</v>
      </c>
      <c r="B168" s="30">
        <f>IF('MSR RAW'!$A$3="","",'MSR RAW'!$A$3)</f>
        <v/>
      </c>
      <c r="C168">
        <f>IF(LEFT(TRIM('MSR RAW'!A168),11)="Department:",TRIM('MSR RAW'!A168),C167)</f>
        <v/>
      </c>
      <c r="D168">
        <f>IF(LEFT(TRIM('MSR RAW'!B168),9)="Location:",TRIM(MID('MSR RAW'!B168,10,999)),D167)</f>
        <v/>
      </c>
      <c r="E168">
        <f>IF(AND(ISNUMBER(SEARCH(" - ",TRIM('MSR RAW'!C168))),RIGHT(TRIM('MSR RAW'!C168),6)="Total:"),LEFT(TRIM('MSR RAW'!C168),SEARCH(" - ",TRIM('MSR RAW'!C168))-1),"")</f>
        <v/>
      </c>
      <c r="F168">
        <f>IF(E168="","",TRIM(MID(TRIM('MSR RAW'!C168),SEARCH(" - ",TRIM('MSR RAW'!C168))+3,LEN(TRIM('MSR RAW'!C168))-SEARCH(" - ",TRIM('MSR RAW'!C168))-9)))</f>
        <v/>
      </c>
      <c r="G168">
        <f>IF(E168="","",IFERROR(VLOOKUP(E168,'CATEGORY MAP'!$A$2:$B$20,2,FALSE()),"REVIEW"))</f>
        <v/>
      </c>
      <c r="H168">
        <f>IF(E168="","",IFERROR(VALUE(SUBSTITUTE('MSR RAW'!P168,",","")),0))</f>
        <v/>
      </c>
      <c r="I168">
        <f>IF(E168="","",IFERROR(VALUE(SUBSTITUTE('MSR RAW'!S168,",","")),0))</f>
        <v/>
      </c>
    </row>
    <row r="169" ht="68.65000000000001" customHeight="1" s="126">
      <c r="A169" t="n">
        <v>169</v>
      </c>
      <c r="B169" s="30">
        <f>IF('MSR RAW'!$A$3="","",'MSR RAW'!$A$3)</f>
        <v/>
      </c>
      <c r="C169">
        <f>IF(LEFT(TRIM('MSR RAW'!A169),11)="Department:",TRIM('MSR RAW'!A169),C168)</f>
        <v/>
      </c>
      <c r="D169">
        <f>IF(LEFT(TRIM('MSR RAW'!B169),9)="Location:",TRIM(MID('MSR RAW'!B169,10,999)),D168)</f>
        <v/>
      </c>
      <c r="E169">
        <f>IF(AND(ISNUMBER(SEARCH(" - ",TRIM('MSR RAW'!C169))),RIGHT(TRIM('MSR RAW'!C169),6)="Total:"),LEFT(TRIM('MSR RAW'!C169),SEARCH(" - ",TRIM('MSR RAW'!C169))-1),"")</f>
        <v/>
      </c>
      <c r="F169">
        <f>IF(E169="","",TRIM(MID(TRIM('MSR RAW'!C169),SEARCH(" - ",TRIM('MSR RAW'!C169))+3,LEN(TRIM('MSR RAW'!C169))-SEARCH(" - ",TRIM('MSR RAW'!C169))-9)))</f>
        <v/>
      </c>
      <c r="G169">
        <f>IF(E169="","",IFERROR(VLOOKUP(E169,'CATEGORY MAP'!$A$2:$B$20,2,FALSE()),"REVIEW"))</f>
        <v/>
      </c>
      <c r="H169">
        <f>IF(E169="","",IFERROR(VALUE(SUBSTITUTE('MSR RAW'!P169,",","")),0))</f>
        <v/>
      </c>
      <c r="I169">
        <f>IF(E169="","",IFERROR(VALUE(SUBSTITUTE('MSR RAW'!S169,",","")),0))</f>
        <v/>
      </c>
    </row>
    <row r="170" ht="68.65000000000001" customHeight="1" s="126">
      <c r="A170" t="n">
        <v>170</v>
      </c>
      <c r="B170" s="30">
        <f>IF('MSR RAW'!$A$3="","",'MSR RAW'!$A$3)</f>
        <v/>
      </c>
      <c r="C170">
        <f>IF(LEFT(TRIM('MSR RAW'!A170),11)="Department:",TRIM('MSR RAW'!A170),C169)</f>
        <v/>
      </c>
      <c r="D170">
        <f>IF(LEFT(TRIM('MSR RAW'!B170),9)="Location:",TRIM(MID('MSR RAW'!B170,10,999)),D169)</f>
        <v/>
      </c>
      <c r="E170">
        <f>IF(AND(ISNUMBER(SEARCH(" - ",TRIM('MSR RAW'!C170))),RIGHT(TRIM('MSR RAW'!C170),6)="Total:"),LEFT(TRIM('MSR RAW'!C170),SEARCH(" - ",TRIM('MSR RAW'!C170))-1),"")</f>
        <v/>
      </c>
      <c r="F170">
        <f>IF(E170="","",TRIM(MID(TRIM('MSR RAW'!C170),SEARCH(" - ",TRIM('MSR RAW'!C170))+3,LEN(TRIM('MSR RAW'!C170))-SEARCH(" - ",TRIM('MSR RAW'!C170))-9)))</f>
        <v/>
      </c>
      <c r="G170">
        <f>IF(E170="","",IFERROR(VLOOKUP(E170,'CATEGORY MAP'!$A$2:$B$20,2,FALSE()),"REVIEW"))</f>
        <v/>
      </c>
      <c r="H170">
        <f>IF(E170="","",IFERROR(VALUE(SUBSTITUTE('MSR RAW'!P170,",","")),0))</f>
        <v/>
      </c>
      <c r="I170">
        <f>IF(E170="","",IFERROR(VALUE(SUBSTITUTE('MSR RAW'!S170,",","")),0))</f>
        <v/>
      </c>
    </row>
    <row r="171" ht="68.65000000000001" customHeight="1" s="126">
      <c r="A171" t="n">
        <v>171</v>
      </c>
      <c r="B171" s="30">
        <f>IF('MSR RAW'!$A$3="","",'MSR RAW'!$A$3)</f>
        <v/>
      </c>
      <c r="C171">
        <f>IF(LEFT(TRIM('MSR RAW'!A171),11)="Department:",TRIM('MSR RAW'!A171),C170)</f>
        <v/>
      </c>
      <c r="D171">
        <f>IF(LEFT(TRIM('MSR RAW'!B171),9)="Location:",TRIM(MID('MSR RAW'!B171,10,999)),D170)</f>
        <v/>
      </c>
      <c r="E171">
        <f>IF(AND(ISNUMBER(SEARCH(" - ",TRIM('MSR RAW'!C171))),RIGHT(TRIM('MSR RAW'!C171),6)="Total:"),LEFT(TRIM('MSR RAW'!C171),SEARCH(" - ",TRIM('MSR RAW'!C171))-1),"")</f>
        <v/>
      </c>
      <c r="F171">
        <f>IF(E171="","",TRIM(MID(TRIM('MSR RAW'!C171),SEARCH(" - ",TRIM('MSR RAW'!C171))+3,LEN(TRIM('MSR RAW'!C171))-SEARCH(" - ",TRIM('MSR RAW'!C171))-9)))</f>
        <v/>
      </c>
      <c r="G171">
        <f>IF(E171="","",IFERROR(VLOOKUP(E171,'CATEGORY MAP'!$A$2:$B$20,2,FALSE()),"REVIEW"))</f>
        <v/>
      </c>
      <c r="H171">
        <f>IF(E171="","",IFERROR(VALUE(SUBSTITUTE('MSR RAW'!P171,",","")),0))</f>
        <v/>
      </c>
      <c r="I171">
        <f>IF(E171="","",IFERROR(VALUE(SUBSTITUTE('MSR RAW'!S171,",","")),0))</f>
        <v/>
      </c>
    </row>
    <row r="172" ht="68.65000000000001" customHeight="1" s="126">
      <c r="A172" t="n">
        <v>172</v>
      </c>
      <c r="B172" s="30">
        <f>IF('MSR RAW'!$A$3="","",'MSR RAW'!$A$3)</f>
        <v/>
      </c>
      <c r="C172">
        <f>IF(LEFT(TRIM('MSR RAW'!A172),11)="Department:",TRIM('MSR RAW'!A172),C171)</f>
        <v/>
      </c>
      <c r="D172">
        <f>IF(LEFT(TRIM('MSR RAW'!B172),9)="Location:",TRIM(MID('MSR RAW'!B172,10,999)),D171)</f>
        <v/>
      </c>
      <c r="E172">
        <f>IF(AND(ISNUMBER(SEARCH(" - ",TRIM('MSR RAW'!C172))),RIGHT(TRIM('MSR RAW'!C172),6)="Total:"),LEFT(TRIM('MSR RAW'!C172),SEARCH(" - ",TRIM('MSR RAW'!C172))-1),"")</f>
        <v/>
      </c>
      <c r="F172">
        <f>IF(E172="","",TRIM(MID(TRIM('MSR RAW'!C172),SEARCH(" - ",TRIM('MSR RAW'!C172))+3,LEN(TRIM('MSR RAW'!C172))-SEARCH(" - ",TRIM('MSR RAW'!C172))-9)))</f>
        <v/>
      </c>
      <c r="G172">
        <f>IF(E172="","",IFERROR(VLOOKUP(E172,'CATEGORY MAP'!$A$2:$B$20,2,FALSE()),"REVIEW"))</f>
        <v/>
      </c>
      <c r="H172">
        <f>IF(E172="","",IFERROR(VALUE(SUBSTITUTE('MSR RAW'!P172,",","")),0))</f>
        <v/>
      </c>
      <c r="I172">
        <f>IF(E172="","",IFERROR(VALUE(SUBSTITUTE('MSR RAW'!S172,",","")),0))</f>
        <v/>
      </c>
    </row>
    <row r="173" ht="68.65000000000001" customHeight="1" s="126">
      <c r="A173" t="n">
        <v>173</v>
      </c>
      <c r="B173" s="30">
        <f>IF('MSR RAW'!$A$3="","",'MSR RAW'!$A$3)</f>
        <v/>
      </c>
      <c r="C173">
        <f>IF(LEFT(TRIM('MSR RAW'!A173),11)="Department:",TRIM('MSR RAW'!A173),C172)</f>
        <v/>
      </c>
      <c r="D173">
        <f>IF(LEFT(TRIM('MSR RAW'!B173),9)="Location:",TRIM(MID('MSR RAW'!B173,10,999)),D172)</f>
        <v/>
      </c>
      <c r="E173">
        <f>IF(AND(ISNUMBER(SEARCH(" - ",TRIM('MSR RAW'!C173))),RIGHT(TRIM('MSR RAW'!C173),6)="Total:"),LEFT(TRIM('MSR RAW'!C173),SEARCH(" - ",TRIM('MSR RAW'!C173))-1),"")</f>
        <v/>
      </c>
      <c r="F173">
        <f>IF(E173="","",TRIM(MID(TRIM('MSR RAW'!C173),SEARCH(" - ",TRIM('MSR RAW'!C173))+3,LEN(TRIM('MSR RAW'!C173))-SEARCH(" - ",TRIM('MSR RAW'!C173))-9)))</f>
        <v/>
      </c>
      <c r="G173">
        <f>IF(E173="","",IFERROR(VLOOKUP(E173,'CATEGORY MAP'!$A$2:$B$20,2,FALSE()),"REVIEW"))</f>
        <v/>
      </c>
      <c r="H173">
        <f>IF(E173="","",IFERROR(VALUE(SUBSTITUTE('MSR RAW'!P173,",","")),0))</f>
        <v/>
      </c>
      <c r="I173">
        <f>IF(E173="","",IFERROR(VALUE(SUBSTITUTE('MSR RAW'!S173,",","")),0))</f>
        <v/>
      </c>
    </row>
    <row r="174" ht="68.65000000000001" customHeight="1" s="126">
      <c r="A174" t="n">
        <v>174</v>
      </c>
      <c r="B174" s="30">
        <f>IF('MSR RAW'!$A$3="","",'MSR RAW'!$A$3)</f>
        <v/>
      </c>
      <c r="C174">
        <f>IF(LEFT(TRIM('MSR RAW'!A174),11)="Department:",TRIM('MSR RAW'!A174),C173)</f>
        <v/>
      </c>
      <c r="D174">
        <f>IF(LEFT(TRIM('MSR RAW'!B174),9)="Location:",TRIM(MID('MSR RAW'!B174,10,999)),D173)</f>
        <v/>
      </c>
      <c r="E174">
        <f>IF(AND(ISNUMBER(SEARCH(" - ",TRIM('MSR RAW'!C174))),RIGHT(TRIM('MSR RAW'!C174),6)="Total:"),LEFT(TRIM('MSR RAW'!C174),SEARCH(" - ",TRIM('MSR RAW'!C174))-1),"")</f>
        <v/>
      </c>
      <c r="F174">
        <f>IF(E174="","",TRIM(MID(TRIM('MSR RAW'!C174),SEARCH(" - ",TRIM('MSR RAW'!C174))+3,LEN(TRIM('MSR RAW'!C174))-SEARCH(" - ",TRIM('MSR RAW'!C174))-9)))</f>
        <v/>
      </c>
      <c r="G174">
        <f>IF(E174="","",IFERROR(VLOOKUP(E174,'CATEGORY MAP'!$A$2:$B$20,2,FALSE()),"REVIEW"))</f>
        <v/>
      </c>
      <c r="H174">
        <f>IF(E174="","",IFERROR(VALUE(SUBSTITUTE('MSR RAW'!P174,",","")),0))</f>
        <v/>
      </c>
      <c r="I174">
        <f>IF(E174="","",IFERROR(VALUE(SUBSTITUTE('MSR RAW'!S174,",","")),0))</f>
        <v/>
      </c>
    </row>
    <row r="175" ht="68.65000000000001" customHeight="1" s="126">
      <c r="A175" t="n">
        <v>175</v>
      </c>
      <c r="B175" s="30">
        <f>IF('MSR RAW'!$A$3="","",'MSR RAW'!$A$3)</f>
        <v/>
      </c>
      <c r="C175">
        <f>IF(LEFT(TRIM('MSR RAW'!A175),11)="Department:",TRIM('MSR RAW'!A175),C174)</f>
        <v/>
      </c>
      <c r="D175">
        <f>IF(LEFT(TRIM('MSR RAW'!B175),9)="Location:",TRIM(MID('MSR RAW'!B175,10,999)),D174)</f>
        <v/>
      </c>
      <c r="E175">
        <f>IF(AND(ISNUMBER(SEARCH(" - ",TRIM('MSR RAW'!C175))),RIGHT(TRIM('MSR RAW'!C175),6)="Total:"),LEFT(TRIM('MSR RAW'!C175),SEARCH(" - ",TRIM('MSR RAW'!C175))-1),"")</f>
        <v/>
      </c>
      <c r="F175">
        <f>IF(E175="","",TRIM(MID(TRIM('MSR RAW'!C175),SEARCH(" - ",TRIM('MSR RAW'!C175))+3,LEN(TRIM('MSR RAW'!C175))-SEARCH(" - ",TRIM('MSR RAW'!C175))-9)))</f>
        <v/>
      </c>
      <c r="G175">
        <f>IF(E175="","",IFERROR(VLOOKUP(E175,'CATEGORY MAP'!$A$2:$B$20,2,FALSE()),"REVIEW"))</f>
        <v/>
      </c>
      <c r="H175">
        <f>IF(E175="","",IFERROR(VALUE(SUBSTITUTE('MSR RAW'!P175,",","")),0))</f>
        <v/>
      </c>
      <c r="I175">
        <f>IF(E175="","",IFERROR(VALUE(SUBSTITUTE('MSR RAW'!S175,",","")),0))</f>
        <v/>
      </c>
    </row>
    <row r="176" ht="68.65000000000001" customHeight="1" s="126">
      <c r="A176" t="n">
        <v>176</v>
      </c>
      <c r="B176" s="30">
        <f>IF('MSR RAW'!$A$3="","",'MSR RAW'!$A$3)</f>
        <v/>
      </c>
      <c r="C176">
        <f>IF(LEFT(TRIM('MSR RAW'!A176),11)="Department:",TRIM('MSR RAW'!A176),C175)</f>
        <v/>
      </c>
      <c r="D176">
        <f>IF(LEFT(TRIM('MSR RAW'!B176),9)="Location:",TRIM(MID('MSR RAW'!B176,10,999)),D175)</f>
        <v/>
      </c>
      <c r="E176">
        <f>IF(AND(ISNUMBER(SEARCH(" - ",TRIM('MSR RAW'!C176))),RIGHT(TRIM('MSR RAW'!C176),6)="Total:"),LEFT(TRIM('MSR RAW'!C176),SEARCH(" - ",TRIM('MSR RAW'!C176))-1),"")</f>
        <v/>
      </c>
      <c r="F176">
        <f>IF(E176="","",TRIM(MID(TRIM('MSR RAW'!C176),SEARCH(" - ",TRIM('MSR RAW'!C176))+3,LEN(TRIM('MSR RAW'!C176))-SEARCH(" - ",TRIM('MSR RAW'!C176))-9)))</f>
        <v/>
      </c>
      <c r="G176">
        <f>IF(E176="","",IFERROR(VLOOKUP(E176,'CATEGORY MAP'!$A$2:$B$20,2,FALSE()),"REVIEW"))</f>
        <v/>
      </c>
      <c r="H176">
        <f>IF(E176="","",IFERROR(VALUE(SUBSTITUTE('MSR RAW'!P176,",","")),0))</f>
        <v/>
      </c>
      <c r="I176">
        <f>IF(E176="","",IFERROR(VALUE(SUBSTITUTE('MSR RAW'!S176,",","")),0))</f>
        <v/>
      </c>
    </row>
    <row r="177" ht="68.65000000000001" customHeight="1" s="126">
      <c r="A177" t="n">
        <v>177</v>
      </c>
      <c r="B177" s="30">
        <f>IF('MSR RAW'!$A$3="","",'MSR RAW'!$A$3)</f>
        <v/>
      </c>
      <c r="C177">
        <f>IF(LEFT(TRIM('MSR RAW'!A177),11)="Department:",TRIM('MSR RAW'!A177),C176)</f>
        <v/>
      </c>
      <c r="D177">
        <f>IF(LEFT(TRIM('MSR RAW'!B177),9)="Location:",TRIM(MID('MSR RAW'!B177,10,999)),D176)</f>
        <v/>
      </c>
      <c r="E177">
        <f>IF(AND(ISNUMBER(SEARCH(" - ",TRIM('MSR RAW'!C177))),RIGHT(TRIM('MSR RAW'!C177),6)="Total:"),LEFT(TRIM('MSR RAW'!C177),SEARCH(" - ",TRIM('MSR RAW'!C177))-1),"")</f>
        <v/>
      </c>
      <c r="F177">
        <f>IF(E177="","",TRIM(MID(TRIM('MSR RAW'!C177),SEARCH(" - ",TRIM('MSR RAW'!C177))+3,LEN(TRIM('MSR RAW'!C177))-SEARCH(" - ",TRIM('MSR RAW'!C177))-9)))</f>
        <v/>
      </c>
      <c r="G177">
        <f>IF(E177="","",IFERROR(VLOOKUP(E177,'CATEGORY MAP'!$A$2:$B$20,2,FALSE()),"REVIEW"))</f>
        <v/>
      </c>
      <c r="H177">
        <f>IF(E177="","",IFERROR(VALUE(SUBSTITUTE('MSR RAW'!P177,",","")),0))</f>
        <v/>
      </c>
      <c r="I177">
        <f>IF(E177="","",IFERROR(VALUE(SUBSTITUTE('MSR RAW'!S177,",","")),0))</f>
        <v/>
      </c>
    </row>
    <row r="178" ht="68.65000000000001" customHeight="1" s="126">
      <c r="A178" t="n">
        <v>178</v>
      </c>
      <c r="B178" s="30">
        <f>IF('MSR RAW'!$A$3="","",'MSR RAW'!$A$3)</f>
        <v/>
      </c>
      <c r="C178">
        <f>IF(LEFT(TRIM('MSR RAW'!A178),11)="Department:",TRIM('MSR RAW'!A178),C177)</f>
        <v/>
      </c>
      <c r="D178">
        <f>IF(LEFT(TRIM('MSR RAW'!B178),9)="Location:",TRIM(MID('MSR RAW'!B178,10,999)),D177)</f>
        <v/>
      </c>
      <c r="E178">
        <f>IF(AND(ISNUMBER(SEARCH(" - ",TRIM('MSR RAW'!C178))),RIGHT(TRIM('MSR RAW'!C178),6)="Total:"),LEFT(TRIM('MSR RAW'!C178),SEARCH(" - ",TRIM('MSR RAW'!C178))-1),"")</f>
        <v/>
      </c>
      <c r="F178">
        <f>IF(E178="","",TRIM(MID(TRIM('MSR RAW'!C178),SEARCH(" - ",TRIM('MSR RAW'!C178))+3,LEN(TRIM('MSR RAW'!C178))-SEARCH(" - ",TRIM('MSR RAW'!C178))-9)))</f>
        <v/>
      </c>
      <c r="G178">
        <f>IF(E178="","",IFERROR(VLOOKUP(E178,'CATEGORY MAP'!$A$2:$B$20,2,FALSE()),"REVIEW"))</f>
        <v/>
      </c>
      <c r="H178">
        <f>IF(E178="","",IFERROR(VALUE(SUBSTITUTE('MSR RAW'!P178,",","")),0))</f>
        <v/>
      </c>
      <c r="I178">
        <f>IF(E178="","",IFERROR(VALUE(SUBSTITUTE('MSR RAW'!S178,",","")),0))</f>
        <v/>
      </c>
    </row>
    <row r="179" ht="68.65000000000001" customHeight="1" s="126">
      <c r="A179" t="n">
        <v>179</v>
      </c>
      <c r="B179" s="30">
        <f>IF('MSR RAW'!$A$3="","",'MSR RAW'!$A$3)</f>
        <v/>
      </c>
      <c r="C179">
        <f>IF(LEFT(TRIM('MSR RAW'!A179),11)="Department:",TRIM('MSR RAW'!A179),C178)</f>
        <v/>
      </c>
      <c r="D179">
        <f>IF(LEFT(TRIM('MSR RAW'!B179),9)="Location:",TRIM(MID('MSR RAW'!B179,10,999)),D178)</f>
        <v/>
      </c>
      <c r="E179">
        <f>IF(AND(ISNUMBER(SEARCH(" - ",TRIM('MSR RAW'!C179))),RIGHT(TRIM('MSR RAW'!C179),6)="Total:"),LEFT(TRIM('MSR RAW'!C179),SEARCH(" - ",TRIM('MSR RAW'!C179))-1),"")</f>
        <v/>
      </c>
      <c r="F179">
        <f>IF(E179="","",TRIM(MID(TRIM('MSR RAW'!C179),SEARCH(" - ",TRIM('MSR RAW'!C179))+3,LEN(TRIM('MSR RAW'!C179))-SEARCH(" - ",TRIM('MSR RAW'!C179))-9)))</f>
        <v/>
      </c>
      <c r="G179">
        <f>IF(E179="","",IFERROR(VLOOKUP(E179,'CATEGORY MAP'!$A$2:$B$20,2,FALSE()),"REVIEW"))</f>
        <v/>
      </c>
      <c r="H179">
        <f>IF(E179="","",IFERROR(VALUE(SUBSTITUTE('MSR RAW'!P179,",","")),0))</f>
        <v/>
      </c>
      <c r="I179">
        <f>IF(E179="","",IFERROR(VALUE(SUBSTITUTE('MSR RAW'!S179,",","")),0))</f>
        <v/>
      </c>
    </row>
    <row r="180" ht="68.65000000000001" customHeight="1" s="126">
      <c r="A180" t="n">
        <v>180</v>
      </c>
      <c r="B180" s="30">
        <f>IF('MSR RAW'!$A$3="","",'MSR RAW'!$A$3)</f>
        <v/>
      </c>
      <c r="C180">
        <f>IF(LEFT(TRIM('MSR RAW'!A180),11)="Department:",TRIM('MSR RAW'!A180),C179)</f>
        <v/>
      </c>
      <c r="D180">
        <f>IF(LEFT(TRIM('MSR RAW'!B180),9)="Location:",TRIM(MID('MSR RAW'!B180,10,999)),D179)</f>
        <v/>
      </c>
      <c r="E180">
        <f>IF(AND(ISNUMBER(SEARCH(" - ",TRIM('MSR RAW'!C180))),RIGHT(TRIM('MSR RAW'!C180),6)="Total:"),LEFT(TRIM('MSR RAW'!C180),SEARCH(" - ",TRIM('MSR RAW'!C180))-1),"")</f>
        <v/>
      </c>
      <c r="F180">
        <f>IF(E180="","",TRIM(MID(TRIM('MSR RAW'!C180),SEARCH(" - ",TRIM('MSR RAW'!C180))+3,LEN(TRIM('MSR RAW'!C180))-SEARCH(" - ",TRIM('MSR RAW'!C180))-9)))</f>
        <v/>
      </c>
      <c r="G180">
        <f>IF(E180="","",IFERROR(VLOOKUP(E180,'CATEGORY MAP'!$A$2:$B$20,2,FALSE()),"REVIEW"))</f>
        <v/>
      </c>
      <c r="H180">
        <f>IF(E180="","",IFERROR(VALUE(SUBSTITUTE('MSR RAW'!P180,",","")),0))</f>
        <v/>
      </c>
      <c r="I180">
        <f>IF(E180="","",IFERROR(VALUE(SUBSTITUTE('MSR RAW'!S180,",","")),0))</f>
        <v/>
      </c>
    </row>
    <row r="181" ht="68.65000000000001" customHeight="1" s="126">
      <c r="A181" t="n">
        <v>181</v>
      </c>
      <c r="B181" s="30">
        <f>IF('MSR RAW'!$A$3="","",'MSR RAW'!$A$3)</f>
        <v/>
      </c>
      <c r="C181">
        <f>IF(LEFT(TRIM('MSR RAW'!A181),11)="Department:",TRIM('MSR RAW'!A181),C180)</f>
        <v/>
      </c>
      <c r="D181">
        <f>IF(LEFT(TRIM('MSR RAW'!B181),9)="Location:",TRIM(MID('MSR RAW'!B181,10,999)),D180)</f>
        <v/>
      </c>
      <c r="E181">
        <f>IF(AND(ISNUMBER(SEARCH(" - ",TRIM('MSR RAW'!C181))),RIGHT(TRIM('MSR RAW'!C181),6)="Total:"),LEFT(TRIM('MSR RAW'!C181),SEARCH(" - ",TRIM('MSR RAW'!C181))-1),"")</f>
        <v/>
      </c>
      <c r="F181">
        <f>IF(E181="","",TRIM(MID(TRIM('MSR RAW'!C181),SEARCH(" - ",TRIM('MSR RAW'!C181))+3,LEN(TRIM('MSR RAW'!C181))-SEARCH(" - ",TRIM('MSR RAW'!C181))-9)))</f>
        <v/>
      </c>
      <c r="G181">
        <f>IF(E181="","",IFERROR(VLOOKUP(E181,'CATEGORY MAP'!$A$2:$B$20,2,FALSE()),"REVIEW"))</f>
        <v/>
      </c>
      <c r="H181">
        <f>IF(E181="","",IFERROR(VALUE(SUBSTITUTE('MSR RAW'!P181,",","")),0))</f>
        <v/>
      </c>
      <c r="I181">
        <f>IF(E181="","",IFERROR(VALUE(SUBSTITUTE('MSR RAW'!S181,",","")),0))</f>
        <v/>
      </c>
    </row>
    <row r="182" ht="68.65000000000001" customHeight="1" s="126">
      <c r="A182" t="n">
        <v>182</v>
      </c>
      <c r="B182" s="30">
        <f>IF('MSR RAW'!$A$3="","",'MSR RAW'!$A$3)</f>
        <v/>
      </c>
      <c r="C182">
        <f>IF(LEFT(TRIM('MSR RAW'!A182),11)="Department:",TRIM('MSR RAW'!A182),C181)</f>
        <v/>
      </c>
      <c r="D182">
        <f>IF(LEFT(TRIM('MSR RAW'!B182),9)="Location:",TRIM(MID('MSR RAW'!B182,10,999)),D181)</f>
        <v/>
      </c>
      <c r="E182">
        <f>IF(AND(ISNUMBER(SEARCH(" - ",TRIM('MSR RAW'!C182))),RIGHT(TRIM('MSR RAW'!C182),6)="Total:"),LEFT(TRIM('MSR RAW'!C182),SEARCH(" - ",TRIM('MSR RAW'!C182))-1),"")</f>
        <v/>
      </c>
      <c r="F182">
        <f>IF(E182="","",TRIM(MID(TRIM('MSR RAW'!C182),SEARCH(" - ",TRIM('MSR RAW'!C182))+3,LEN(TRIM('MSR RAW'!C182))-SEARCH(" - ",TRIM('MSR RAW'!C182))-9)))</f>
        <v/>
      </c>
      <c r="G182">
        <f>IF(E182="","",IFERROR(VLOOKUP(E182,'CATEGORY MAP'!$A$2:$B$20,2,FALSE()),"REVIEW"))</f>
        <v/>
      </c>
      <c r="H182">
        <f>IF(E182="","",IFERROR(VALUE(SUBSTITUTE('MSR RAW'!P182,",","")),0))</f>
        <v/>
      </c>
      <c r="I182">
        <f>IF(E182="","",IFERROR(VALUE(SUBSTITUTE('MSR RAW'!S182,",","")),0))</f>
        <v/>
      </c>
    </row>
    <row r="183" ht="68.65000000000001" customHeight="1" s="126">
      <c r="A183" t="n">
        <v>183</v>
      </c>
      <c r="B183" s="30">
        <f>IF('MSR RAW'!$A$3="","",'MSR RAW'!$A$3)</f>
        <v/>
      </c>
      <c r="C183">
        <f>IF(LEFT(TRIM('MSR RAW'!A183),11)="Department:",TRIM('MSR RAW'!A183),C182)</f>
        <v/>
      </c>
      <c r="D183">
        <f>IF(LEFT(TRIM('MSR RAW'!B183),9)="Location:",TRIM(MID('MSR RAW'!B183,10,999)),D182)</f>
        <v/>
      </c>
      <c r="E183">
        <f>IF(AND(ISNUMBER(SEARCH(" - ",TRIM('MSR RAW'!C183))),RIGHT(TRIM('MSR RAW'!C183),6)="Total:"),LEFT(TRIM('MSR RAW'!C183),SEARCH(" - ",TRIM('MSR RAW'!C183))-1),"")</f>
        <v/>
      </c>
      <c r="F183">
        <f>IF(E183="","",TRIM(MID(TRIM('MSR RAW'!C183),SEARCH(" - ",TRIM('MSR RAW'!C183))+3,LEN(TRIM('MSR RAW'!C183))-SEARCH(" - ",TRIM('MSR RAW'!C183))-9)))</f>
        <v/>
      </c>
      <c r="G183">
        <f>IF(E183="","",IFERROR(VLOOKUP(E183,'CATEGORY MAP'!$A$2:$B$20,2,FALSE()),"REVIEW"))</f>
        <v/>
      </c>
      <c r="H183">
        <f>IF(E183="","",IFERROR(VALUE(SUBSTITUTE('MSR RAW'!P183,",","")),0))</f>
        <v/>
      </c>
      <c r="I183">
        <f>IF(E183="","",IFERROR(VALUE(SUBSTITUTE('MSR RAW'!S183,",","")),0))</f>
        <v/>
      </c>
    </row>
    <row r="184" ht="68.65000000000001" customHeight="1" s="126">
      <c r="A184" t="n">
        <v>184</v>
      </c>
      <c r="B184" s="30">
        <f>IF('MSR RAW'!$A$3="","",'MSR RAW'!$A$3)</f>
        <v/>
      </c>
      <c r="C184">
        <f>IF(LEFT(TRIM('MSR RAW'!A184),11)="Department:",TRIM('MSR RAW'!A184),C183)</f>
        <v/>
      </c>
      <c r="D184">
        <f>IF(LEFT(TRIM('MSR RAW'!B184),9)="Location:",TRIM(MID('MSR RAW'!B184,10,999)),D183)</f>
        <v/>
      </c>
      <c r="E184">
        <f>IF(AND(ISNUMBER(SEARCH(" - ",TRIM('MSR RAW'!C184))),RIGHT(TRIM('MSR RAW'!C184),6)="Total:"),LEFT(TRIM('MSR RAW'!C184),SEARCH(" - ",TRIM('MSR RAW'!C184))-1),"")</f>
        <v/>
      </c>
      <c r="F184">
        <f>IF(E184="","",TRIM(MID(TRIM('MSR RAW'!C184),SEARCH(" - ",TRIM('MSR RAW'!C184))+3,LEN(TRIM('MSR RAW'!C184))-SEARCH(" - ",TRIM('MSR RAW'!C184))-9)))</f>
        <v/>
      </c>
      <c r="G184">
        <f>IF(E184="","",IFERROR(VLOOKUP(E184,'CATEGORY MAP'!$A$2:$B$20,2,FALSE()),"REVIEW"))</f>
        <v/>
      </c>
      <c r="H184">
        <f>IF(E184="","",IFERROR(VALUE(SUBSTITUTE('MSR RAW'!P184,",","")),0))</f>
        <v/>
      </c>
      <c r="I184">
        <f>IF(E184="","",IFERROR(VALUE(SUBSTITUTE('MSR RAW'!S184,",","")),0))</f>
        <v/>
      </c>
    </row>
    <row r="185" ht="68.65000000000001" customHeight="1" s="126">
      <c r="A185" t="n">
        <v>185</v>
      </c>
      <c r="B185" s="30">
        <f>IF('MSR RAW'!$A$3="","",'MSR RAW'!$A$3)</f>
        <v/>
      </c>
      <c r="C185">
        <f>IF(LEFT(TRIM('MSR RAW'!A185),11)="Department:",TRIM('MSR RAW'!A185),C184)</f>
        <v/>
      </c>
      <c r="D185">
        <f>IF(LEFT(TRIM('MSR RAW'!B185),9)="Location:",TRIM(MID('MSR RAW'!B185,10,999)),D184)</f>
        <v/>
      </c>
      <c r="E185">
        <f>IF(AND(ISNUMBER(SEARCH(" - ",TRIM('MSR RAW'!C185))),RIGHT(TRIM('MSR RAW'!C185),6)="Total:"),LEFT(TRIM('MSR RAW'!C185),SEARCH(" - ",TRIM('MSR RAW'!C185))-1),"")</f>
        <v/>
      </c>
      <c r="F185">
        <f>IF(E185="","",TRIM(MID(TRIM('MSR RAW'!C185),SEARCH(" - ",TRIM('MSR RAW'!C185))+3,LEN(TRIM('MSR RAW'!C185))-SEARCH(" - ",TRIM('MSR RAW'!C185))-9)))</f>
        <v/>
      </c>
      <c r="G185">
        <f>IF(E185="","",IFERROR(VLOOKUP(E185,'CATEGORY MAP'!$A$2:$B$20,2,FALSE()),"REVIEW"))</f>
        <v/>
      </c>
      <c r="H185">
        <f>IF(E185="","",IFERROR(VALUE(SUBSTITUTE('MSR RAW'!P185,",","")),0))</f>
        <v/>
      </c>
      <c r="I185">
        <f>IF(E185="","",IFERROR(VALUE(SUBSTITUTE('MSR RAW'!S185,",","")),0))</f>
        <v/>
      </c>
    </row>
    <row r="186" ht="68.65000000000001" customHeight="1" s="126">
      <c r="A186" t="n">
        <v>186</v>
      </c>
      <c r="B186" s="30">
        <f>IF('MSR RAW'!$A$3="","",'MSR RAW'!$A$3)</f>
        <v/>
      </c>
      <c r="C186">
        <f>IF(LEFT(TRIM('MSR RAW'!A186),11)="Department:",TRIM('MSR RAW'!A186),C185)</f>
        <v/>
      </c>
      <c r="D186">
        <f>IF(LEFT(TRIM('MSR RAW'!B186),9)="Location:",TRIM(MID('MSR RAW'!B186,10,999)),D185)</f>
        <v/>
      </c>
      <c r="E186">
        <f>IF(AND(ISNUMBER(SEARCH(" - ",TRIM('MSR RAW'!C186))),RIGHT(TRIM('MSR RAW'!C186),6)="Total:"),LEFT(TRIM('MSR RAW'!C186),SEARCH(" - ",TRIM('MSR RAW'!C186))-1),"")</f>
        <v/>
      </c>
      <c r="F186">
        <f>IF(E186="","",TRIM(MID(TRIM('MSR RAW'!C186),SEARCH(" - ",TRIM('MSR RAW'!C186))+3,LEN(TRIM('MSR RAW'!C186))-SEARCH(" - ",TRIM('MSR RAW'!C186))-9)))</f>
        <v/>
      </c>
      <c r="G186">
        <f>IF(E186="","",IFERROR(VLOOKUP(E186,'CATEGORY MAP'!$A$2:$B$20,2,FALSE()),"REVIEW"))</f>
        <v/>
      </c>
      <c r="H186">
        <f>IF(E186="","",IFERROR(VALUE(SUBSTITUTE('MSR RAW'!P186,",","")),0))</f>
        <v/>
      </c>
      <c r="I186">
        <f>IF(E186="","",IFERROR(VALUE(SUBSTITUTE('MSR RAW'!S186,",","")),0))</f>
        <v/>
      </c>
    </row>
    <row r="187" ht="68.65000000000001" customHeight="1" s="126">
      <c r="A187" t="n">
        <v>187</v>
      </c>
      <c r="B187" s="30">
        <f>IF('MSR RAW'!$A$3="","",'MSR RAW'!$A$3)</f>
        <v/>
      </c>
      <c r="C187">
        <f>IF(LEFT(TRIM('MSR RAW'!A187),11)="Department:",TRIM('MSR RAW'!A187),C186)</f>
        <v/>
      </c>
      <c r="D187">
        <f>IF(LEFT(TRIM('MSR RAW'!B187),9)="Location:",TRIM(MID('MSR RAW'!B187,10,999)),D186)</f>
        <v/>
      </c>
      <c r="E187">
        <f>IF(AND(ISNUMBER(SEARCH(" - ",TRIM('MSR RAW'!C187))),RIGHT(TRIM('MSR RAW'!C187),6)="Total:"),LEFT(TRIM('MSR RAW'!C187),SEARCH(" - ",TRIM('MSR RAW'!C187))-1),"")</f>
        <v/>
      </c>
      <c r="F187">
        <f>IF(E187="","",TRIM(MID(TRIM('MSR RAW'!C187),SEARCH(" - ",TRIM('MSR RAW'!C187))+3,LEN(TRIM('MSR RAW'!C187))-SEARCH(" - ",TRIM('MSR RAW'!C187))-9)))</f>
        <v/>
      </c>
      <c r="G187">
        <f>IF(E187="","",IFERROR(VLOOKUP(E187,'CATEGORY MAP'!$A$2:$B$20,2,FALSE()),"REVIEW"))</f>
        <v/>
      </c>
      <c r="H187">
        <f>IF(E187="","",IFERROR(VALUE(SUBSTITUTE('MSR RAW'!P187,",","")),0))</f>
        <v/>
      </c>
      <c r="I187">
        <f>IF(E187="","",IFERROR(VALUE(SUBSTITUTE('MSR RAW'!S187,",","")),0))</f>
        <v/>
      </c>
    </row>
    <row r="188" ht="68.65000000000001" customHeight="1" s="126">
      <c r="A188" t="n">
        <v>188</v>
      </c>
      <c r="B188" s="30">
        <f>IF('MSR RAW'!$A$3="","",'MSR RAW'!$A$3)</f>
        <v/>
      </c>
      <c r="C188">
        <f>IF(LEFT(TRIM('MSR RAW'!A188),11)="Department:",TRIM('MSR RAW'!A188),C187)</f>
        <v/>
      </c>
      <c r="D188">
        <f>IF(LEFT(TRIM('MSR RAW'!B188),9)="Location:",TRIM(MID('MSR RAW'!B188,10,999)),D187)</f>
        <v/>
      </c>
      <c r="E188">
        <f>IF(AND(ISNUMBER(SEARCH(" - ",TRIM('MSR RAW'!C188))),RIGHT(TRIM('MSR RAW'!C188),6)="Total:"),LEFT(TRIM('MSR RAW'!C188),SEARCH(" - ",TRIM('MSR RAW'!C188))-1),"")</f>
        <v/>
      </c>
      <c r="F188">
        <f>IF(E188="","",TRIM(MID(TRIM('MSR RAW'!C188),SEARCH(" - ",TRIM('MSR RAW'!C188))+3,LEN(TRIM('MSR RAW'!C188))-SEARCH(" - ",TRIM('MSR RAW'!C188))-9)))</f>
        <v/>
      </c>
      <c r="G188">
        <f>IF(E188="","",IFERROR(VLOOKUP(E188,'CATEGORY MAP'!$A$2:$B$20,2,FALSE()),"REVIEW"))</f>
        <v/>
      </c>
      <c r="H188">
        <f>IF(E188="","",IFERROR(VALUE(SUBSTITUTE('MSR RAW'!P188,",","")),0))</f>
        <v/>
      </c>
      <c r="I188">
        <f>IF(E188="","",IFERROR(VALUE(SUBSTITUTE('MSR RAW'!S188,",","")),0))</f>
        <v/>
      </c>
    </row>
    <row r="189" ht="68.65000000000001" customHeight="1" s="126">
      <c r="A189" t="n">
        <v>189</v>
      </c>
      <c r="B189" s="30">
        <f>IF('MSR RAW'!$A$3="","",'MSR RAW'!$A$3)</f>
        <v/>
      </c>
      <c r="C189">
        <f>IF(LEFT(TRIM('MSR RAW'!A189),11)="Department:",TRIM('MSR RAW'!A189),C188)</f>
        <v/>
      </c>
      <c r="D189">
        <f>IF(LEFT(TRIM('MSR RAW'!B189),9)="Location:",TRIM(MID('MSR RAW'!B189,10,999)),D188)</f>
        <v/>
      </c>
      <c r="E189">
        <f>IF(AND(ISNUMBER(SEARCH(" - ",TRIM('MSR RAW'!C189))),RIGHT(TRIM('MSR RAW'!C189),6)="Total:"),LEFT(TRIM('MSR RAW'!C189),SEARCH(" - ",TRIM('MSR RAW'!C189))-1),"")</f>
        <v/>
      </c>
      <c r="F189">
        <f>IF(E189="","",TRIM(MID(TRIM('MSR RAW'!C189),SEARCH(" - ",TRIM('MSR RAW'!C189))+3,LEN(TRIM('MSR RAW'!C189))-SEARCH(" - ",TRIM('MSR RAW'!C189))-9)))</f>
        <v/>
      </c>
      <c r="G189">
        <f>IF(E189="","",IFERROR(VLOOKUP(E189,'CATEGORY MAP'!$A$2:$B$20,2,FALSE()),"REVIEW"))</f>
        <v/>
      </c>
      <c r="H189">
        <f>IF(E189="","",IFERROR(VALUE(SUBSTITUTE('MSR RAW'!P189,",","")),0))</f>
        <v/>
      </c>
      <c r="I189">
        <f>IF(E189="","",IFERROR(VALUE(SUBSTITUTE('MSR RAW'!S189,",","")),0))</f>
        <v/>
      </c>
    </row>
    <row r="190" ht="68.65000000000001" customHeight="1" s="126">
      <c r="A190" t="n">
        <v>190</v>
      </c>
      <c r="B190" s="30">
        <f>IF('MSR RAW'!$A$3="","",'MSR RAW'!$A$3)</f>
        <v/>
      </c>
      <c r="C190">
        <f>IF(LEFT(TRIM('MSR RAW'!A190),11)="Department:",TRIM('MSR RAW'!A190),C189)</f>
        <v/>
      </c>
      <c r="D190">
        <f>IF(LEFT(TRIM('MSR RAW'!B190),9)="Location:",TRIM(MID('MSR RAW'!B190,10,999)),D189)</f>
        <v/>
      </c>
      <c r="E190">
        <f>IF(AND(ISNUMBER(SEARCH(" - ",TRIM('MSR RAW'!C190))),RIGHT(TRIM('MSR RAW'!C190),6)="Total:"),LEFT(TRIM('MSR RAW'!C190),SEARCH(" - ",TRIM('MSR RAW'!C190))-1),"")</f>
        <v/>
      </c>
      <c r="F190">
        <f>IF(E190="","",TRIM(MID(TRIM('MSR RAW'!C190),SEARCH(" - ",TRIM('MSR RAW'!C190))+3,LEN(TRIM('MSR RAW'!C190))-SEARCH(" - ",TRIM('MSR RAW'!C190))-9)))</f>
        <v/>
      </c>
      <c r="G190">
        <f>IF(E190="","",IFERROR(VLOOKUP(E190,'CATEGORY MAP'!$A$2:$B$20,2,FALSE()),"REVIEW"))</f>
        <v/>
      </c>
      <c r="H190">
        <f>IF(E190="","",IFERROR(VALUE(SUBSTITUTE('MSR RAW'!P190,",","")),0))</f>
        <v/>
      </c>
      <c r="I190">
        <f>IF(E190="","",IFERROR(VALUE(SUBSTITUTE('MSR RAW'!S190,",","")),0))</f>
        <v/>
      </c>
    </row>
    <row r="191" ht="68.65000000000001" customHeight="1" s="126">
      <c r="A191" t="n">
        <v>191</v>
      </c>
      <c r="B191" s="30">
        <f>IF('MSR RAW'!$A$3="","",'MSR RAW'!$A$3)</f>
        <v/>
      </c>
      <c r="C191">
        <f>IF(LEFT(TRIM('MSR RAW'!A191),11)="Department:",TRIM('MSR RAW'!A191),C190)</f>
        <v/>
      </c>
      <c r="D191">
        <f>IF(LEFT(TRIM('MSR RAW'!B191),9)="Location:",TRIM(MID('MSR RAW'!B191,10,999)),D190)</f>
        <v/>
      </c>
      <c r="E191">
        <f>IF(AND(ISNUMBER(SEARCH(" - ",TRIM('MSR RAW'!C191))),RIGHT(TRIM('MSR RAW'!C191),6)="Total:"),LEFT(TRIM('MSR RAW'!C191),SEARCH(" - ",TRIM('MSR RAW'!C191))-1),"")</f>
        <v/>
      </c>
      <c r="F191">
        <f>IF(E191="","",TRIM(MID(TRIM('MSR RAW'!C191),SEARCH(" - ",TRIM('MSR RAW'!C191))+3,LEN(TRIM('MSR RAW'!C191))-SEARCH(" - ",TRIM('MSR RAW'!C191))-9)))</f>
        <v/>
      </c>
      <c r="G191">
        <f>IF(E191="","",IFERROR(VLOOKUP(E191,'CATEGORY MAP'!$A$2:$B$20,2,FALSE()),"REVIEW"))</f>
        <v/>
      </c>
      <c r="H191">
        <f>IF(E191="","",IFERROR(VALUE(SUBSTITUTE('MSR RAW'!P191,",","")),0))</f>
        <v/>
      </c>
      <c r="I191">
        <f>IF(E191="","",IFERROR(VALUE(SUBSTITUTE('MSR RAW'!S191,",","")),0))</f>
        <v/>
      </c>
    </row>
    <row r="192" ht="68.65000000000001" customHeight="1" s="126">
      <c r="A192" t="n">
        <v>192</v>
      </c>
      <c r="B192" s="30">
        <f>IF('MSR RAW'!$A$3="","",'MSR RAW'!$A$3)</f>
        <v/>
      </c>
      <c r="C192">
        <f>IF(LEFT(TRIM('MSR RAW'!A192),11)="Department:",TRIM('MSR RAW'!A192),C191)</f>
        <v/>
      </c>
      <c r="D192">
        <f>IF(LEFT(TRIM('MSR RAW'!B192),9)="Location:",TRIM(MID('MSR RAW'!B192,10,999)),D191)</f>
        <v/>
      </c>
      <c r="E192">
        <f>IF(AND(ISNUMBER(SEARCH(" - ",TRIM('MSR RAW'!C192))),RIGHT(TRIM('MSR RAW'!C192),6)="Total:"),LEFT(TRIM('MSR RAW'!C192),SEARCH(" - ",TRIM('MSR RAW'!C192))-1),"")</f>
        <v/>
      </c>
      <c r="F192">
        <f>IF(E192="","",TRIM(MID(TRIM('MSR RAW'!C192),SEARCH(" - ",TRIM('MSR RAW'!C192))+3,LEN(TRIM('MSR RAW'!C192))-SEARCH(" - ",TRIM('MSR RAW'!C192))-9)))</f>
        <v/>
      </c>
      <c r="G192">
        <f>IF(E192="","",IFERROR(VLOOKUP(E192,'CATEGORY MAP'!$A$2:$B$20,2,FALSE()),"REVIEW"))</f>
        <v/>
      </c>
      <c r="H192">
        <f>IF(E192="","",IFERROR(VALUE(SUBSTITUTE('MSR RAW'!P192,",","")),0))</f>
        <v/>
      </c>
      <c r="I192">
        <f>IF(E192="","",IFERROR(VALUE(SUBSTITUTE('MSR RAW'!S192,",","")),0))</f>
        <v/>
      </c>
    </row>
    <row r="193" ht="68.65000000000001" customHeight="1" s="126">
      <c r="A193" t="n">
        <v>193</v>
      </c>
      <c r="B193" s="30">
        <f>IF('MSR RAW'!$A$3="","",'MSR RAW'!$A$3)</f>
        <v/>
      </c>
      <c r="C193">
        <f>IF(LEFT(TRIM('MSR RAW'!A193),11)="Department:",TRIM('MSR RAW'!A193),C192)</f>
        <v/>
      </c>
      <c r="D193">
        <f>IF(LEFT(TRIM('MSR RAW'!B193),9)="Location:",TRIM(MID('MSR RAW'!B193,10,999)),D192)</f>
        <v/>
      </c>
      <c r="E193">
        <f>IF(AND(ISNUMBER(SEARCH(" - ",TRIM('MSR RAW'!C193))),RIGHT(TRIM('MSR RAW'!C193),6)="Total:"),LEFT(TRIM('MSR RAW'!C193),SEARCH(" - ",TRIM('MSR RAW'!C193))-1),"")</f>
        <v/>
      </c>
      <c r="F193">
        <f>IF(E193="","",TRIM(MID(TRIM('MSR RAW'!C193),SEARCH(" - ",TRIM('MSR RAW'!C193))+3,LEN(TRIM('MSR RAW'!C193))-SEARCH(" - ",TRIM('MSR RAW'!C193))-9)))</f>
        <v/>
      </c>
      <c r="G193">
        <f>IF(E193="","",IFERROR(VLOOKUP(E193,'CATEGORY MAP'!$A$2:$B$20,2,FALSE()),"REVIEW"))</f>
        <v/>
      </c>
      <c r="H193">
        <f>IF(E193="","",IFERROR(VALUE(SUBSTITUTE('MSR RAW'!P193,",","")),0))</f>
        <v/>
      </c>
      <c r="I193">
        <f>IF(E193="","",IFERROR(VALUE(SUBSTITUTE('MSR RAW'!S193,",","")),0))</f>
        <v/>
      </c>
    </row>
    <row r="194" ht="68.65000000000001" customHeight="1" s="126">
      <c r="A194" t="n">
        <v>194</v>
      </c>
      <c r="B194" s="30">
        <f>IF('MSR RAW'!$A$3="","",'MSR RAW'!$A$3)</f>
        <v/>
      </c>
      <c r="C194">
        <f>IF(LEFT(TRIM('MSR RAW'!A194),11)="Department:",TRIM('MSR RAW'!A194),C193)</f>
        <v/>
      </c>
      <c r="D194">
        <f>IF(LEFT(TRIM('MSR RAW'!B194),9)="Location:",TRIM(MID('MSR RAW'!B194,10,999)),D193)</f>
        <v/>
      </c>
      <c r="E194">
        <f>IF(AND(ISNUMBER(SEARCH(" - ",TRIM('MSR RAW'!C194))),RIGHT(TRIM('MSR RAW'!C194),6)="Total:"),LEFT(TRIM('MSR RAW'!C194),SEARCH(" - ",TRIM('MSR RAW'!C194))-1),"")</f>
        <v/>
      </c>
      <c r="F194">
        <f>IF(E194="","",TRIM(MID(TRIM('MSR RAW'!C194),SEARCH(" - ",TRIM('MSR RAW'!C194))+3,LEN(TRIM('MSR RAW'!C194))-SEARCH(" - ",TRIM('MSR RAW'!C194))-9)))</f>
        <v/>
      </c>
      <c r="G194">
        <f>IF(E194="","",IFERROR(VLOOKUP(E194,'CATEGORY MAP'!$A$2:$B$20,2,FALSE()),"REVIEW"))</f>
        <v/>
      </c>
      <c r="H194">
        <f>IF(E194="","",IFERROR(VALUE(SUBSTITUTE('MSR RAW'!P194,",","")),0))</f>
        <v/>
      </c>
      <c r="I194">
        <f>IF(E194="","",IFERROR(VALUE(SUBSTITUTE('MSR RAW'!S194,",","")),0))</f>
        <v/>
      </c>
    </row>
    <row r="195" ht="68.65000000000001" customHeight="1" s="126">
      <c r="A195" t="n">
        <v>195</v>
      </c>
      <c r="B195" s="30">
        <f>IF('MSR RAW'!$A$3="","",'MSR RAW'!$A$3)</f>
        <v/>
      </c>
      <c r="C195">
        <f>IF(LEFT(TRIM('MSR RAW'!A195),11)="Department:",TRIM('MSR RAW'!A195),C194)</f>
        <v/>
      </c>
      <c r="D195">
        <f>IF(LEFT(TRIM('MSR RAW'!B195),9)="Location:",TRIM(MID('MSR RAW'!B195,10,999)),D194)</f>
        <v/>
      </c>
      <c r="E195">
        <f>IF(AND(ISNUMBER(SEARCH(" - ",TRIM('MSR RAW'!C195))),RIGHT(TRIM('MSR RAW'!C195),6)="Total:"),LEFT(TRIM('MSR RAW'!C195),SEARCH(" - ",TRIM('MSR RAW'!C195))-1),"")</f>
        <v/>
      </c>
      <c r="F195">
        <f>IF(E195="","",TRIM(MID(TRIM('MSR RAW'!C195),SEARCH(" - ",TRIM('MSR RAW'!C195))+3,LEN(TRIM('MSR RAW'!C195))-SEARCH(" - ",TRIM('MSR RAW'!C195))-9)))</f>
        <v/>
      </c>
      <c r="G195">
        <f>IF(E195="","",IFERROR(VLOOKUP(E195,'CATEGORY MAP'!$A$2:$B$20,2,FALSE()),"REVIEW"))</f>
        <v/>
      </c>
      <c r="H195">
        <f>IF(E195="","",IFERROR(VALUE(SUBSTITUTE('MSR RAW'!P195,",","")),0))</f>
        <v/>
      </c>
      <c r="I195">
        <f>IF(E195="","",IFERROR(VALUE(SUBSTITUTE('MSR RAW'!S195,",","")),0))</f>
        <v/>
      </c>
    </row>
    <row r="196" ht="68.65000000000001" customHeight="1" s="126">
      <c r="A196" t="n">
        <v>196</v>
      </c>
      <c r="B196" s="30">
        <f>IF('MSR RAW'!$A$3="","",'MSR RAW'!$A$3)</f>
        <v/>
      </c>
      <c r="C196">
        <f>IF(LEFT(TRIM('MSR RAW'!A196),11)="Department:",TRIM('MSR RAW'!A196),C195)</f>
        <v/>
      </c>
      <c r="D196">
        <f>IF(LEFT(TRIM('MSR RAW'!B196),9)="Location:",TRIM(MID('MSR RAW'!B196,10,999)),D195)</f>
        <v/>
      </c>
      <c r="E196">
        <f>IF(AND(ISNUMBER(SEARCH(" - ",TRIM('MSR RAW'!C196))),RIGHT(TRIM('MSR RAW'!C196),6)="Total:"),LEFT(TRIM('MSR RAW'!C196),SEARCH(" - ",TRIM('MSR RAW'!C196))-1),"")</f>
        <v/>
      </c>
      <c r="F196">
        <f>IF(E196="","",TRIM(MID(TRIM('MSR RAW'!C196),SEARCH(" - ",TRIM('MSR RAW'!C196))+3,LEN(TRIM('MSR RAW'!C196))-SEARCH(" - ",TRIM('MSR RAW'!C196))-9)))</f>
        <v/>
      </c>
      <c r="G196">
        <f>IF(E196="","",IFERROR(VLOOKUP(E196,'CATEGORY MAP'!$A$2:$B$20,2,FALSE()),"REVIEW"))</f>
        <v/>
      </c>
      <c r="H196">
        <f>IF(E196="","",IFERROR(VALUE(SUBSTITUTE('MSR RAW'!P196,",","")),0))</f>
        <v/>
      </c>
      <c r="I196">
        <f>IF(E196="","",IFERROR(VALUE(SUBSTITUTE('MSR RAW'!S196,",","")),0))</f>
        <v/>
      </c>
    </row>
    <row r="197" ht="68.65000000000001" customHeight="1" s="126">
      <c r="A197" t="n">
        <v>197</v>
      </c>
      <c r="B197" s="30">
        <f>IF('MSR RAW'!$A$3="","",'MSR RAW'!$A$3)</f>
        <v/>
      </c>
      <c r="C197">
        <f>IF(LEFT(TRIM('MSR RAW'!A197),11)="Department:",TRIM('MSR RAW'!A197),C196)</f>
        <v/>
      </c>
      <c r="D197">
        <f>IF(LEFT(TRIM('MSR RAW'!B197),9)="Location:",TRIM(MID('MSR RAW'!B197,10,999)),D196)</f>
        <v/>
      </c>
      <c r="E197">
        <f>IF(AND(ISNUMBER(SEARCH(" - ",TRIM('MSR RAW'!C197))),RIGHT(TRIM('MSR RAW'!C197),6)="Total:"),LEFT(TRIM('MSR RAW'!C197),SEARCH(" - ",TRIM('MSR RAW'!C197))-1),"")</f>
        <v/>
      </c>
      <c r="F197">
        <f>IF(E197="","",TRIM(MID(TRIM('MSR RAW'!C197),SEARCH(" - ",TRIM('MSR RAW'!C197))+3,LEN(TRIM('MSR RAW'!C197))-SEARCH(" - ",TRIM('MSR RAW'!C197))-9)))</f>
        <v/>
      </c>
      <c r="G197">
        <f>IF(E197="","",IFERROR(VLOOKUP(E197,'CATEGORY MAP'!$A$2:$B$20,2,FALSE()),"REVIEW"))</f>
        <v/>
      </c>
      <c r="H197">
        <f>IF(E197="","",IFERROR(VALUE(SUBSTITUTE('MSR RAW'!P197,",","")),0))</f>
        <v/>
      </c>
      <c r="I197">
        <f>IF(E197="","",IFERROR(VALUE(SUBSTITUTE('MSR RAW'!S197,",","")),0))</f>
        <v/>
      </c>
    </row>
    <row r="198" ht="68.65000000000001" customHeight="1" s="126">
      <c r="A198" t="n">
        <v>198</v>
      </c>
      <c r="B198" s="30">
        <f>IF('MSR RAW'!$A$3="","",'MSR RAW'!$A$3)</f>
        <v/>
      </c>
      <c r="C198">
        <f>IF(LEFT(TRIM('MSR RAW'!A198),11)="Department:",TRIM('MSR RAW'!A198),C197)</f>
        <v/>
      </c>
      <c r="D198">
        <f>IF(LEFT(TRIM('MSR RAW'!B198),9)="Location:",TRIM(MID('MSR RAW'!B198,10,999)),D197)</f>
        <v/>
      </c>
      <c r="E198">
        <f>IF(AND(ISNUMBER(SEARCH(" - ",TRIM('MSR RAW'!C198))),RIGHT(TRIM('MSR RAW'!C198),6)="Total:"),LEFT(TRIM('MSR RAW'!C198),SEARCH(" - ",TRIM('MSR RAW'!C198))-1),"")</f>
        <v/>
      </c>
      <c r="F198">
        <f>IF(E198="","",TRIM(MID(TRIM('MSR RAW'!C198),SEARCH(" - ",TRIM('MSR RAW'!C198))+3,LEN(TRIM('MSR RAW'!C198))-SEARCH(" - ",TRIM('MSR RAW'!C198))-9)))</f>
        <v/>
      </c>
      <c r="G198">
        <f>IF(E198="","",IFERROR(VLOOKUP(E198,'CATEGORY MAP'!$A$2:$B$20,2,FALSE()),"REVIEW"))</f>
        <v/>
      </c>
      <c r="H198">
        <f>IF(E198="","",IFERROR(VALUE(SUBSTITUTE('MSR RAW'!P198,",","")),0))</f>
        <v/>
      </c>
      <c r="I198">
        <f>IF(E198="","",IFERROR(VALUE(SUBSTITUTE('MSR RAW'!S198,",","")),0))</f>
        <v/>
      </c>
    </row>
    <row r="199" ht="68.65000000000001" customHeight="1" s="126">
      <c r="A199" t="n">
        <v>199</v>
      </c>
      <c r="B199" s="30">
        <f>IF('MSR RAW'!$A$3="","",'MSR RAW'!$A$3)</f>
        <v/>
      </c>
      <c r="C199">
        <f>IF(LEFT(TRIM('MSR RAW'!A199),11)="Department:",TRIM('MSR RAW'!A199),C198)</f>
        <v/>
      </c>
      <c r="D199">
        <f>IF(LEFT(TRIM('MSR RAW'!B199),9)="Location:",TRIM(MID('MSR RAW'!B199,10,999)),D198)</f>
        <v/>
      </c>
      <c r="E199">
        <f>IF(AND(ISNUMBER(SEARCH(" - ",TRIM('MSR RAW'!C199))),RIGHT(TRIM('MSR RAW'!C199),6)="Total:"),LEFT(TRIM('MSR RAW'!C199),SEARCH(" - ",TRIM('MSR RAW'!C199))-1),"")</f>
        <v/>
      </c>
      <c r="F199">
        <f>IF(E199="","",TRIM(MID(TRIM('MSR RAW'!C199),SEARCH(" - ",TRIM('MSR RAW'!C199))+3,LEN(TRIM('MSR RAW'!C199))-SEARCH(" - ",TRIM('MSR RAW'!C199))-9)))</f>
        <v/>
      </c>
      <c r="G199">
        <f>IF(E199="","",IFERROR(VLOOKUP(E199,'CATEGORY MAP'!$A$2:$B$20,2,FALSE()),"REVIEW"))</f>
        <v/>
      </c>
      <c r="H199">
        <f>IF(E199="","",IFERROR(VALUE(SUBSTITUTE('MSR RAW'!P199,",","")),0))</f>
        <v/>
      </c>
      <c r="I199">
        <f>IF(E199="","",IFERROR(VALUE(SUBSTITUTE('MSR RAW'!S199,",","")),0))</f>
        <v/>
      </c>
    </row>
    <row r="200" ht="68.65000000000001" customHeight="1" s="126">
      <c r="A200" t="n">
        <v>200</v>
      </c>
      <c r="B200" s="30">
        <f>IF('MSR RAW'!$A$3="","",'MSR RAW'!$A$3)</f>
        <v/>
      </c>
      <c r="C200">
        <f>IF(LEFT(TRIM('MSR RAW'!A200),11)="Department:",TRIM('MSR RAW'!A200),C199)</f>
        <v/>
      </c>
      <c r="D200">
        <f>IF(LEFT(TRIM('MSR RAW'!B200),9)="Location:",TRIM(MID('MSR RAW'!B200,10,999)),D199)</f>
        <v/>
      </c>
      <c r="E200">
        <f>IF(AND(ISNUMBER(SEARCH(" - ",TRIM('MSR RAW'!C200))),RIGHT(TRIM('MSR RAW'!C200),6)="Total:"),LEFT(TRIM('MSR RAW'!C200),SEARCH(" - ",TRIM('MSR RAW'!C200))-1),"")</f>
        <v/>
      </c>
      <c r="F200">
        <f>IF(E200="","",TRIM(MID(TRIM('MSR RAW'!C200),SEARCH(" - ",TRIM('MSR RAW'!C200))+3,LEN(TRIM('MSR RAW'!C200))-SEARCH(" - ",TRIM('MSR RAW'!C200))-9)))</f>
        <v/>
      </c>
      <c r="G200">
        <f>IF(E200="","",IFERROR(VLOOKUP(E200,'CATEGORY MAP'!$A$2:$B$20,2,FALSE()),"REVIEW"))</f>
        <v/>
      </c>
      <c r="H200">
        <f>IF(E200="","",IFERROR(VALUE(SUBSTITUTE('MSR RAW'!P200,",","")),0))</f>
        <v/>
      </c>
      <c r="I200">
        <f>IF(E200="","",IFERROR(VALUE(SUBSTITUTE('MSR RAW'!S200,",","")),0))</f>
        <v/>
      </c>
    </row>
    <row r="201" ht="68.65000000000001" customHeight="1" s="126">
      <c r="A201" t="n">
        <v>201</v>
      </c>
      <c r="B201" s="30">
        <f>IF('MSR RAW'!$A$3="","",'MSR RAW'!$A$3)</f>
        <v/>
      </c>
      <c r="C201">
        <f>IF(LEFT(TRIM('MSR RAW'!A201),11)="Department:",TRIM('MSR RAW'!A201),C200)</f>
        <v/>
      </c>
      <c r="D201">
        <f>IF(LEFT(TRIM('MSR RAW'!B201),9)="Location:",TRIM(MID('MSR RAW'!B201,10,999)),D200)</f>
        <v/>
      </c>
      <c r="E201">
        <f>IF(AND(ISNUMBER(SEARCH(" - ",TRIM('MSR RAW'!C201))),RIGHT(TRIM('MSR RAW'!C201),6)="Total:"),LEFT(TRIM('MSR RAW'!C201),SEARCH(" - ",TRIM('MSR RAW'!C201))-1),"")</f>
        <v/>
      </c>
      <c r="F201">
        <f>IF(E201="","",TRIM(MID(TRIM('MSR RAW'!C201),SEARCH(" - ",TRIM('MSR RAW'!C201))+3,LEN(TRIM('MSR RAW'!C201))-SEARCH(" - ",TRIM('MSR RAW'!C201))-9)))</f>
        <v/>
      </c>
      <c r="G201">
        <f>IF(E201="","",IFERROR(VLOOKUP(E201,'CATEGORY MAP'!$A$2:$B$20,2,FALSE()),"REVIEW"))</f>
        <v/>
      </c>
      <c r="H201">
        <f>IF(E201="","",IFERROR(VALUE(SUBSTITUTE('MSR RAW'!P201,",","")),0))</f>
        <v/>
      </c>
      <c r="I201">
        <f>IF(E201="","",IFERROR(VALUE(SUBSTITUTE('MSR RAW'!S201,",","")),0))</f>
        <v/>
      </c>
    </row>
    <row r="202" ht="68.65000000000001" customHeight="1" s="126">
      <c r="A202" t="n">
        <v>202</v>
      </c>
      <c r="B202" s="30">
        <f>IF('MSR RAW'!$A$3="","",'MSR RAW'!$A$3)</f>
        <v/>
      </c>
      <c r="C202">
        <f>IF(LEFT(TRIM('MSR RAW'!A202),11)="Department:",TRIM('MSR RAW'!A202),C201)</f>
        <v/>
      </c>
      <c r="D202">
        <f>IF(LEFT(TRIM('MSR RAW'!B202),9)="Location:",TRIM(MID('MSR RAW'!B202,10,999)),D201)</f>
        <v/>
      </c>
      <c r="E202">
        <f>IF(AND(ISNUMBER(SEARCH(" - ",TRIM('MSR RAW'!C202))),RIGHT(TRIM('MSR RAW'!C202),6)="Total:"),LEFT(TRIM('MSR RAW'!C202),SEARCH(" - ",TRIM('MSR RAW'!C202))-1),"")</f>
        <v/>
      </c>
      <c r="F202">
        <f>IF(E202="","",TRIM(MID(TRIM('MSR RAW'!C202),SEARCH(" - ",TRIM('MSR RAW'!C202))+3,LEN(TRIM('MSR RAW'!C202))-SEARCH(" - ",TRIM('MSR RAW'!C202))-9)))</f>
        <v/>
      </c>
      <c r="G202">
        <f>IF(E202="","",IFERROR(VLOOKUP(E202,'CATEGORY MAP'!$A$2:$B$20,2,FALSE()),"REVIEW"))</f>
        <v/>
      </c>
      <c r="H202">
        <f>IF(E202="","",IFERROR(VALUE(SUBSTITUTE('MSR RAW'!P202,",","")),0))</f>
        <v/>
      </c>
      <c r="I202">
        <f>IF(E202="","",IFERROR(VALUE(SUBSTITUTE('MSR RAW'!S202,",","")),0))</f>
        <v/>
      </c>
    </row>
    <row r="203" ht="68.65000000000001" customHeight="1" s="126">
      <c r="A203" t="n">
        <v>203</v>
      </c>
      <c r="B203" s="30">
        <f>IF('MSR RAW'!$A$3="","",'MSR RAW'!$A$3)</f>
        <v/>
      </c>
      <c r="C203">
        <f>IF(LEFT(TRIM('MSR RAW'!A203),11)="Department:",TRIM('MSR RAW'!A203),C202)</f>
        <v/>
      </c>
      <c r="D203">
        <f>IF(LEFT(TRIM('MSR RAW'!B203),9)="Location:",TRIM(MID('MSR RAW'!B203,10,999)),D202)</f>
        <v/>
      </c>
      <c r="E203">
        <f>IF(AND(ISNUMBER(SEARCH(" - ",TRIM('MSR RAW'!C203))),RIGHT(TRIM('MSR RAW'!C203),6)="Total:"),LEFT(TRIM('MSR RAW'!C203),SEARCH(" - ",TRIM('MSR RAW'!C203))-1),"")</f>
        <v/>
      </c>
      <c r="F203">
        <f>IF(E203="","",TRIM(MID(TRIM('MSR RAW'!C203),SEARCH(" - ",TRIM('MSR RAW'!C203))+3,LEN(TRIM('MSR RAW'!C203))-SEARCH(" - ",TRIM('MSR RAW'!C203))-9)))</f>
        <v/>
      </c>
      <c r="G203">
        <f>IF(E203="","",IFERROR(VLOOKUP(E203,'CATEGORY MAP'!$A$2:$B$20,2,FALSE()),"REVIEW"))</f>
        <v/>
      </c>
      <c r="H203">
        <f>IF(E203="","",IFERROR(VALUE(SUBSTITUTE('MSR RAW'!P203,",","")),0))</f>
        <v/>
      </c>
      <c r="I203">
        <f>IF(E203="","",IFERROR(VALUE(SUBSTITUTE('MSR RAW'!S203,",","")),0))</f>
        <v/>
      </c>
    </row>
    <row r="204" ht="68.65000000000001" customHeight="1" s="126">
      <c r="A204" t="n">
        <v>204</v>
      </c>
      <c r="B204" s="30">
        <f>IF('MSR RAW'!$A$3="","",'MSR RAW'!$A$3)</f>
        <v/>
      </c>
      <c r="C204">
        <f>IF(LEFT(TRIM('MSR RAW'!A204),11)="Department:",TRIM('MSR RAW'!A204),C203)</f>
        <v/>
      </c>
      <c r="D204">
        <f>IF(LEFT(TRIM('MSR RAW'!B204),9)="Location:",TRIM(MID('MSR RAW'!B204,10,999)),D203)</f>
        <v/>
      </c>
      <c r="E204">
        <f>IF(AND(ISNUMBER(SEARCH(" - ",TRIM('MSR RAW'!C204))),RIGHT(TRIM('MSR RAW'!C204),6)="Total:"),LEFT(TRIM('MSR RAW'!C204),SEARCH(" - ",TRIM('MSR RAW'!C204))-1),"")</f>
        <v/>
      </c>
      <c r="F204">
        <f>IF(E204="","",TRIM(MID(TRIM('MSR RAW'!C204),SEARCH(" - ",TRIM('MSR RAW'!C204))+3,LEN(TRIM('MSR RAW'!C204))-SEARCH(" - ",TRIM('MSR RAW'!C204))-9)))</f>
        <v/>
      </c>
      <c r="G204">
        <f>IF(E204="","",IFERROR(VLOOKUP(E204,'CATEGORY MAP'!$A$2:$B$20,2,FALSE()),"REVIEW"))</f>
        <v/>
      </c>
      <c r="H204">
        <f>IF(E204="","",IFERROR(VALUE(SUBSTITUTE('MSR RAW'!P204,",","")),0))</f>
        <v/>
      </c>
      <c r="I204">
        <f>IF(E204="","",IFERROR(VALUE(SUBSTITUTE('MSR RAW'!S204,",","")),0))</f>
        <v/>
      </c>
    </row>
    <row r="205" ht="68.65000000000001" customHeight="1" s="126">
      <c r="A205" t="n">
        <v>205</v>
      </c>
      <c r="B205" s="30">
        <f>IF('MSR RAW'!$A$3="","",'MSR RAW'!$A$3)</f>
        <v/>
      </c>
      <c r="C205">
        <f>IF(LEFT(TRIM('MSR RAW'!A205),11)="Department:",TRIM('MSR RAW'!A205),C204)</f>
        <v/>
      </c>
      <c r="D205">
        <f>IF(LEFT(TRIM('MSR RAW'!B205),9)="Location:",TRIM(MID('MSR RAW'!B205,10,999)),D204)</f>
        <v/>
      </c>
      <c r="E205">
        <f>IF(AND(ISNUMBER(SEARCH(" - ",TRIM('MSR RAW'!C205))),RIGHT(TRIM('MSR RAW'!C205),6)="Total:"),LEFT(TRIM('MSR RAW'!C205),SEARCH(" - ",TRIM('MSR RAW'!C205))-1),"")</f>
        <v/>
      </c>
      <c r="F205">
        <f>IF(E205="","",TRIM(MID(TRIM('MSR RAW'!C205),SEARCH(" - ",TRIM('MSR RAW'!C205))+3,LEN(TRIM('MSR RAW'!C205))-SEARCH(" - ",TRIM('MSR RAW'!C205))-9)))</f>
        <v/>
      </c>
      <c r="G205">
        <f>IF(E205="","",IFERROR(VLOOKUP(E205,'CATEGORY MAP'!$A$2:$B$20,2,FALSE()),"REVIEW"))</f>
        <v/>
      </c>
      <c r="H205">
        <f>IF(E205="","",IFERROR(VALUE(SUBSTITUTE('MSR RAW'!P205,",","")),0))</f>
        <v/>
      </c>
      <c r="I205">
        <f>IF(E205="","",IFERROR(VALUE(SUBSTITUTE('MSR RAW'!S205,",","")),0))</f>
        <v/>
      </c>
    </row>
    <row r="206" ht="68.65000000000001" customHeight="1" s="126">
      <c r="A206" t="n">
        <v>206</v>
      </c>
      <c r="B206" s="30">
        <f>IF('MSR RAW'!$A$3="","",'MSR RAW'!$A$3)</f>
        <v/>
      </c>
      <c r="C206">
        <f>IF(LEFT(TRIM('MSR RAW'!A206),11)="Department:",TRIM('MSR RAW'!A206),C205)</f>
        <v/>
      </c>
      <c r="D206">
        <f>IF(LEFT(TRIM('MSR RAW'!B206),9)="Location:",TRIM(MID('MSR RAW'!B206,10,999)),D205)</f>
        <v/>
      </c>
      <c r="E206">
        <f>IF(AND(ISNUMBER(SEARCH(" - ",TRIM('MSR RAW'!C206))),RIGHT(TRIM('MSR RAW'!C206),6)="Total:"),LEFT(TRIM('MSR RAW'!C206),SEARCH(" - ",TRIM('MSR RAW'!C206))-1),"")</f>
        <v/>
      </c>
      <c r="F206">
        <f>IF(E206="","",TRIM(MID(TRIM('MSR RAW'!C206),SEARCH(" - ",TRIM('MSR RAW'!C206))+3,LEN(TRIM('MSR RAW'!C206))-SEARCH(" - ",TRIM('MSR RAW'!C206))-9)))</f>
        <v/>
      </c>
      <c r="G206">
        <f>IF(E206="","",IFERROR(VLOOKUP(E206,'CATEGORY MAP'!$A$2:$B$20,2,FALSE()),"REVIEW"))</f>
        <v/>
      </c>
      <c r="H206">
        <f>IF(E206="","",IFERROR(VALUE(SUBSTITUTE('MSR RAW'!P206,",","")),0))</f>
        <v/>
      </c>
      <c r="I206">
        <f>IF(E206="","",IFERROR(VALUE(SUBSTITUTE('MSR RAW'!S206,",","")),0))</f>
        <v/>
      </c>
    </row>
    <row r="207" ht="68.65000000000001" customHeight="1" s="126">
      <c r="A207" t="n">
        <v>207</v>
      </c>
      <c r="B207" s="30">
        <f>IF('MSR RAW'!$A$3="","",'MSR RAW'!$A$3)</f>
        <v/>
      </c>
      <c r="C207">
        <f>IF(LEFT(TRIM('MSR RAW'!A207),11)="Department:",TRIM('MSR RAW'!A207),C206)</f>
        <v/>
      </c>
      <c r="D207">
        <f>IF(LEFT(TRIM('MSR RAW'!B207),9)="Location:",TRIM(MID('MSR RAW'!B207,10,999)),D206)</f>
        <v/>
      </c>
      <c r="E207">
        <f>IF(AND(ISNUMBER(SEARCH(" - ",TRIM('MSR RAW'!C207))),RIGHT(TRIM('MSR RAW'!C207),6)="Total:"),LEFT(TRIM('MSR RAW'!C207),SEARCH(" - ",TRIM('MSR RAW'!C207))-1),"")</f>
        <v/>
      </c>
      <c r="F207">
        <f>IF(E207="","",TRIM(MID(TRIM('MSR RAW'!C207),SEARCH(" - ",TRIM('MSR RAW'!C207))+3,LEN(TRIM('MSR RAW'!C207))-SEARCH(" - ",TRIM('MSR RAW'!C207))-9)))</f>
        <v/>
      </c>
      <c r="G207">
        <f>IF(E207="","",IFERROR(VLOOKUP(E207,'CATEGORY MAP'!$A$2:$B$20,2,FALSE()),"REVIEW"))</f>
        <v/>
      </c>
      <c r="H207">
        <f>IF(E207="","",IFERROR(VALUE(SUBSTITUTE('MSR RAW'!P207,",","")),0))</f>
        <v/>
      </c>
      <c r="I207">
        <f>IF(E207="","",IFERROR(VALUE(SUBSTITUTE('MSR RAW'!S207,",","")),0))</f>
        <v/>
      </c>
    </row>
    <row r="208" ht="68.65000000000001" customHeight="1" s="126">
      <c r="A208" t="n">
        <v>208</v>
      </c>
      <c r="B208" s="30">
        <f>IF('MSR RAW'!$A$3="","",'MSR RAW'!$A$3)</f>
        <v/>
      </c>
      <c r="C208">
        <f>IF(LEFT(TRIM('MSR RAW'!A208),11)="Department:",TRIM('MSR RAW'!A208),C207)</f>
        <v/>
      </c>
      <c r="D208">
        <f>IF(LEFT(TRIM('MSR RAW'!B208),9)="Location:",TRIM(MID('MSR RAW'!B208,10,999)),D207)</f>
        <v/>
      </c>
      <c r="E208">
        <f>IF(AND(ISNUMBER(SEARCH(" - ",TRIM('MSR RAW'!C208))),RIGHT(TRIM('MSR RAW'!C208),6)="Total:"),LEFT(TRIM('MSR RAW'!C208),SEARCH(" - ",TRIM('MSR RAW'!C208))-1),"")</f>
        <v/>
      </c>
      <c r="F208">
        <f>IF(E208="","",TRIM(MID(TRIM('MSR RAW'!C208),SEARCH(" - ",TRIM('MSR RAW'!C208))+3,LEN(TRIM('MSR RAW'!C208))-SEARCH(" - ",TRIM('MSR RAW'!C208))-9)))</f>
        <v/>
      </c>
      <c r="G208">
        <f>IF(E208="","",IFERROR(VLOOKUP(E208,'CATEGORY MAP'!$A$2:$B$20,2,FALSE()),"REVIEW"))</f>
        <v/>
      </c>
      <c r="H208">
        <f>IF(E208="","",IFERROR(VALUE(SUBSTITUTE('MSR RAW'!P208,",","")),0))</f>
        <v/>
      </c>
      <c r="I208">
        <f>IF(E208="","",IFERROR(VALUE(SUBSTITUTE('MSR RAW'!S208,",","")),0))</f>
        <v/>
      </c>
    </row>
    <row r="209" ht="68.65000000000001" customHeight="1" s="126">
      <c r="A209" t="n">
        <v>209</v>
      </c>
      <c r="B209" s="30">
        <f>IF('MSR RAW'!$A$3="","",'MSR RAW'!$A$3)</f>
        <v/>
      </c>
      <c r="C209">
        <f>IF(LEFT(TRIM('MSR RAW'!A209),11)="Department:",TRIM('MSR RAW'!A209),C208)</f>
        <v/>
      </c>
      <c r="D209">
        <f>IF(LEFT(TRIM('MSR RAW'!B209),9)="Location:",TRIM(MID('MSR RAW'!B209,10,999)),D208)</f>
        <v/>
      </c>
      <c r="E209">
        <f>IF(AND(ISNUMBER(SEARCH(" - ",TRIM('MSR RAW'!C209))),RIGHT(TRIM('MSR RAW'!C209),6)="Total:"),LEFT(TRIM('MSR RAW'!C209),SEARCH(" - ",TRIM('MSR RAW'!C209))-1),"")</f>
        <v/>
      </c>
      <c r="F209">
        <f>IF(E209="","",TRIM(MID(TRIM('MSR RAW'!C209),SEARCH(" - ",TRIM('MSR RAW'!C209))+3,LEN(TRIM('MSR RAW'!C209))-SEARCH(" - ",TRIM('MSR RAW'!C209))-9)))</f>
        <v/>
      </c>
      <c r="G209">
        <f>IF(E209="","",IFERROR(VLOOKUP(E209,'CATEGORY MAP'!$A$2:$B$20,2,FALSE()),"REVIEW"))</f>
        <v/>
      </c>
      <c r="H209">
        <f>IF(E209="","",IFERROR(VALUE(SUBSTITUTE('MSR RAW'!P209,",","")),0))</f>
        <v/>
      </c>
      <c r="I209">
        <f>IF(E209="","",IFERROR(VALUE(SUBSTITUTE('MSR RAW'!S209,",","")),0))</f>
        <v/>
      </c>
    </row>
    <row r="210" ht="68.65000000000001" customHeight="1" s="126">
      <c r="A210" t="n">
        <v>210</v>
      </c>
      <c r="B210" s="30">
        <f>IF('MSR RAW'!$A$3="","",'MSR RAW'!$A$3)</f>
        <v/>
      </c>
      <c r="C210">
        <f>IF(LEFT(TRIM('MSR RAW'!A210),11)="Department:",TRIM('MSR RAW'!A210),C209)</f>
        <v/>
      </c>
      <c r="D210">
        <f>IF(LEFT(TRIM('MSR RAW'!B210),9)="Location:",TRIM(MID('MSR RAW'!B210,10,999)),D209)</f>
        <v/>
      </c>
      <c r="E210">
        <f>IF(AND(ISNUMBER(SEARCH(" - ",TRIM('MSR RAW'!C210))),RIGHT(TRIM('MSR RAW'!C210),6)="Total:"),LEFT(TRIM('MSR RAW'!C210),SEARCH(" - ",TRIM('MSR RAW'!C210))-1),"")</f>
        <v/>
      </c>
      <c r="F210">
        <f>IF(E210="","",TRIM(MID(TRIM('MSR RAW'!C210),SEARCH(" - ",TRIM('MSR RAW'!C210))+3,LEN(TRIM('MSR RAW'!C210))-SEARCH(" - ",TRIM('MSR RAW'!C210))-9)))</f>
        <v/>
      </c>
      <c r="G210">
        <f>IF(E210="","",IFERROR(VLOOKUP(E210,'CATEGORY MAP'!$A$2:$B$20,2,FALSE()),"REVIEW"))</f>
        <v/>
      </c>
      <c r="H210">
        <f>IF(E210="","",IFERROR(VALUE(SUBSTITUTE('MSR RAW'!P210,",","")),0))</f>
        <v/>
      </c>
      <c r="I210">
        <f>IF(E210="","",IFERROR(VALUE(SUBSTITUTE('MSR RAW'!S210,",","")),0))</f>
        <v/>
      </c>
    </row>
    <row r="211" ht="68.65000000000001" customHeight="1" s="126">
      <c r="A211" t="n">
        <v>211</v>
      </c>
      <c r="B211" s="30">
        <f>IF('MSR RAW'!$A$3="","",'MSR RAW'!$A$3)</f>
        <v/>
      </c>
      <c r="C211">
        <f>IF(LEFT(TRIM('MSR RAW'!A211),11)="Department:",TRIM('MSR RAW'!A211),C210)</f>
        <v/>
      </c>
      <c r="D211">
        <f>IF(LEFT(TRIM('MSR RAW'!B211),9)="Location:",TRIM(MID('MSR RAW'!B211,10,999)),D210)</f>
        <v/>
      </c>
      <c r="E211">
        <f>IF(AND(ISNUMBER(SEARCH(" - ",TRIM('MSR RAW'!C211))),RIGHT(TRIM('MSR RAW'!C211),6)="Total:"),LEFT(TRIM('MSR RAW'!C211),SEARCH(" - ",TRIM('MSR RAW'!C211))-1),"")</f>
        <v/>
      </c>
      <c r="F211">
        <f>IF(E211="","",TRIM(MID(TRIM('MSR RAW'!C211),SEARCH(" - ",TRIM('MSR RAW'!C211))+3,LEN(TRIM('MSR RAW'!C211))-SEARCH(" - ",TRIM('MSR RAW'!C211))-9)))</f>
        <v/>
      </c>
      <c r="G211">
        <f>IF(E211="","",IFERROR(VLOOKUP(E211,'CATEGORY MAP'!$A$2:$B$20,2,FALSE()),"REVIEW"))</f>
        <v/>
      </c>
      <c r="H211">
        <f>IF(E211="","",IFERROR(VALUE(SUBSTITUTE('MSR RAW'!P211,",","")),0))</f>
        <v/>
      </c>
      <c r="I211">
        <f>IF(E211="","",IFERROR(VALUE(SUBSTITUTE('MSR RAW'!S211,",","")),0))</f>
        <v/>
      </c>
    </row>
    <row r="212" ht="68.65000000000001" customHeight="1" s="126">
      <c r="A212" t="n">
        <v>212</v>
      </c>
      <c r="B212" s="30">
        <f>IF('MSR RAW'!$A$3="","",'MSR RAW'!$A$3)</f>
        <v/>
      </c>
      <c r="C212">
        <f>IF(LEFT(TRIM('MSR RAW'!A212),11)="Department:",TRIM('MSR RAW'!A212),C211)</f>
        <v/>
      </c>
      <c r="D212">
        <f>IF(LEFT(TRIM('MSR RAW'!B212),9)="Location:",TRIM(MID('MSR RAW'!B212,10,999)),D211)</f>
        <v/>
      </c>
      <c r="E212">
        <f>IF(AND(ISNUMBER(SEARCH(" - ",TRIM('MSR RAW'!C212))),RIGHT(TRIM('MSR RAW'!C212),6)="Total:"),LEFT(TRIM('MSR RAW'!C212),SEARCH(" - ",TRIM('MSR RAW'!C212))-1),"")</f>
        <v/>
      </c>
      <c r="F212">
        <f>IF(E212="","",TRIM(MID(TRIM('MSR RAW'!C212),SEARCH(" - ",TRIM('MSR RAW'!C212))+3,LEN(TRIM('MSR RAW'!C212))-SEARCH(" - ",TRIM('MSR RAW'!C212))-9)))</f>
        <v/>
      </c>
      <c r="G212">
        <f>IF(E212="","",IFERROR(VLOOKUP(E212,'CATEGORY MAP'!$A$2:$B$20,2,FALSE()),"REVIEW"))</f>
        <v/>
      </c>
      <c r="H212">
        <f>IF(E212="","",IFERROR(VALUE(SUBSTITUTE('MSR RAW'!P212,",","")),0))</f>
        <v/>
      </c>
      <c r="I212">
        <f>IF(E212="","",IFERROR(VALUE(SUBSTITUTE('MSR RAW'!S212,",","")),0))</f>
        <v/>
      </c>
    </row>
    <row r="213" ht="68.65000000000001" customHeight="1" s="126">
      <c r="A213" t="n">
        <v>213</v>
      </c>
      <c r="B213" s="30">
        <f>IF('MSR RAW'!$A$3="","",'MSR RAW'!$A$3)</f>
        <v/>
      </c>
      <c r="C213">
        <f>IF(LEFT(TRIM('MSR RAW'!A213),11)="Department:",TRIM('MSR RAW'!A213),C212)</f>
        <v/>
      </c>
      <c r="D213">
        <f>IF(LEFT(TRIM('MSR RAW'!B213),9)="Location:",TRIM(MID('MSR RAW'!B213,10,999)),D212)</f>
        <v/>
      </c>
      <c r="E213">
        <f>IF(AND(ISNUMBER(SEARCH(" - ",TRIM('MSR RAW'!C213))),RIGHT(TRIM('MSR RAW'!C213),6)="Total:"),LEFT(TRIM('MSR RAW'!C213),SEARCH(" - ",TRIM('MSR RAW'!C213))-1),"")</f>
        <v/>
      </c>
      <c r="F213">
        <f>IF(E213="","",TRIM(MID(TRIM('MSR RAW'!C213),SEARCH(" - ",TRIM('MSR RAW'!C213))+3,LEN(TRIM('MSR RAW'!C213))-SEARCH(" - ",TRIM('MSR RAW'!C213))-9)))</f>
        <v/>
      </c>
      <c r="G213">
        <f>IF(E213="","",IFERROR(VLOOKUP(E213,'CATEGORY MAP'!$A$2:$B$20,2,FALSE()),"REVIEW"))</f>
        <v/>
      </c>
      <c r="H213">
        <f>IF(E213="","",IFERROR(VALUE(SUBSTITUTE('MSR RAW'!P213,",","")),0))</f>
        <v/>
      </c>
      <c r="I213">
        <f>IF(E213="","",IFERROR(VALUE(SUBSTITUTE('MSR RAW'!S213,",","")),0))</f>
        <v/>
      </c>
    </row>
    <row r="214" ht="68.65000000000001" customHeight="1" s="126">
      <c r="A214" t="n">
        <v>214</v>
      </c>
      <c r="B214" s="30">
        <f>IF('MSR RAW'!$A$3="","",'MSR RAW'!$A$3)</f>
        <v/>
      </c>
      <c r="C214">
        <f>IF(LEFT(TRIM('MSR RAW'!A214),11)="Department:",TRIM('MSR RAW'!A214),C213)</f>
        <v/>
      </c>
      <c r="D214">
        <f>IF(LEFT(TRIM('MSR RAW'!B214),9)="Location:",TRIM(MID('MSR RAW'!B214,10,999)),D213)</f>
        <v/>
      </c>
      <c r="E214">
        <f>IF(AND(ISNUMBER(SEARCH(" - ",TRIM('MSR RAW'!C214))),RIGHT(TRIM('MSR RAW'!C214),6)="Total:"),LEFT(TRIM('MSR RAW'!C214),SEARCH(" - ",TRIM('MSR RAW'!C214))-1),"")</f>
        <v/>
      </c>
      <c r="F214">
        <f>IF(E214="","",TRIM(MID(TRIM('MSR RAW'!C214),SEARCH(" - ",TRIM('MSR RAW'!C214))+3,LEN(TRIM('MSR RAW'!C214))-SEARCH(" - ",TRIM('MSR RAW'!C214))-9)))</f>
        <v/>
      </c>
      <c r="G214">
        <f>IF(E214="","",IFERROR(VLOOKUP(E214,'CATEGORY MAP'!$A$2:$B$20,2,FALSE()),"REVIEW"))</f>
        <v/>
      </c>
      <c r="H214">
        <f>IF(E214="","",IFERROR(VALUE(SUBSTITUTE('MSR RAW'!P214,",","")),0))</f>
        <v/>
      </c>
      <c r="I214">
        <f>IF(E214="","",IFERROR(VALUE(SUBSTITUTE('MSR RAW'!S214,",","")),0))</f>
        <v/>
      </c>
    </row>
    <row r="215" ht="68.65000000000001" customHeight="1" s="126">
      <c r="A215" t="n">
        <v>215</v>
      </c>
      <c r="B215" s="30">
        <f>IF('MSR RAW'!$A$3="","",'MSR RAW'!$A$3)</f>
        <v/>
      </c>
      <c r="C215">
        <f>IF(LEFT(TRIM('MSR RAW'!A215),11)="Department:",TRIM('MSR RAW'!A215),C214)</f>
        <v/>
      </c>
      <c r="D215">
        <f>IF(LEFT(TRIM('MSR RAW'!B215),9)="Location:",TRIM(MID('MSR RAW'!B215,10,999)),D214)</f>
        <v/>
      </c>
      <c r="E215">
        <f>IF(AND(ISNUMBER(SEARCH(" - ",TRIM('MSR RAW'!C215))),RIGHT(TRIM('MSR RAW'!C215),6)="Total:"),LEFT(TRIM('MSR RAW'!C215),SEARCH(" - ",TRIM('MSR RAW'!C215))-1),"")</f>
        <v/>
      </c>
      <c r="F215">
        <f>IF(E215="","",TRIM(MID(TRIM('MSR RAW'!C215),SEARCH(" - ",TRIM('MSR RAW'!C215))+3,LEN(TRIM('MSR RAW'!C215))-SEARCH(" - ",TRIM('MSR RAW'!C215))-9)))</f>
        <v/>
      </c>
      <c r="G215">
        <f>IF(E215="","",IFERROR(VLOOKUP(E215,'CATEGORY MAP'!$A$2:$B$20,2,FALSE()),"REVIEW"))</f>
        <v/>
      </c>
      <c r="H215">
        <f>IF(E215="","",IFERROR(VALUE(SUBSTITUTE('MSR RAW'!P215,",","")),0))</f>
        <v/>
      </c>
      <c r="I215">
        <f>IF(E215="","",IFERROR(VALUE(SUBSTITUTE('MSR RAW'!S215,",","")),0))</f>
        <v/>
      </c>
    </row>
    <row r="216" ht="68.65000000000001" customHeight="1" s="126">
      <c r="A216" t="n">
        <v>216</v>
      </c>
      <c r="B216" s="30">
        <f>IF('MSR RAW'!$A$3="","",'MSR RAW'!$A$3)</f>
        <v/>
      </c>
      <c r="C216">
        <f>IF(LEFT(TRIM('MSR RAW'!A216),11)="Department:",TRIM('MSR RAW'!A216),C215)</f>
        <v/>
      </c>
      <c r="D216">
        <f>IF(LEFT(TRIM('MSR RAW'!B216),9)="Location:",TRIM(MID('MSR RAW'!B216,10,999)),D215)</f>
        <v/>
      </c>
      <c r="E216">
        <f>IF(AND(ISNUMBER(SEARCH(" - ",TRIM('MSR RAW'!C216))),RIGHT(TRIM('MSR RAW'!C216),6)="Total:"),LEFT(TRIM('MSR RAW'!C216),SEARCH(" - ",TRIM('MSR RAW'!C216))-1),"")</f>
        <v/>
      </c>
      <c r="F216">
        <f>IF(E216="","",TRIM(MID(TRIM('MSR RAW'!C216),SEARCH(" - ",TRIM('MSR RAW'!C216))+3,LEN(TRIM('MSR RAW'!C216))-SEARCH(" - ",TRIM('MSR RAW'!C216))-9)))</f>
        <v/>
      </c>
      <c r="G216">
        <f>IF(E216="","",IFERROR(VLOOKUP(E216,'CATEGORY MAP'!$A$2:$B$20,2,FALSE()),"REVIEW"))</f>
        <v/>
      </c>
      <c r="H216">
        <f>IF(E216="","",IFERROR(VALUE(SUBSTITUTE('MSR RAW'!P216,",","")),0))</f>
        <v/>
      </c>
      <c r="I216">
        <f>IF(E216="","",IFERROR(VALUE(SUBSTITUTE('MSR RAW'!S216,",","")),0))</f>
        <v/>
      </c>
    </row>
    <row r="217" ht="68.65000000000001" customHeight="1" s="126">
      <c r="A217" t="n">
        <v>217</v>
      </c>
      <c r="B217" s="30">
        <f>IF('MSR RAW'!$A$3="","",'MSR RAW'!$A$3)</f>
        <v/>
      </c>
      <c r="C217">
        <f>IF(LEFT(TRIM('MSR RAW'!A217),11)="Department:",TRIM('MSR RAW'!A217),C216)</f>
        <v/>
      </c>
      <c r="D217">
        <f>IF(LEFT(TRIM('MSR RAW'!B217),9)="Location:",TRIM(MID('MSR RAW'!B217,10,999)),D216)</f>
        <v/>
      </c>
      <c r="E217">
        <f>IF(AND(ISNUMBER(SEARCH(" - ",TRIM('MSR RAW'!C217))),RIGHT(TRIM('MSR RAW'!C217),6)="Total:"),LEFT(TRIM('MSR RAW'!C217),SEARCH(" - ",TRIM('MSR RAW'!C217))-1),"")</f>
        <v/>
      </c>
      <c r="F217">
        <f>IF(E217="","",TRIM(MID(TRIM('MSR RAW'!C217),SEARCH(" - ",TRIM('MSR RAW'!C217))+3,LEN(TRIM('MSR RAW'!C217))-SEARCH(" - ",TRIM('MSR RAW'!C217))-9)))</f>
        <v/>
      </c>
      <c r="G217">
        <f>IF(E217="","",IFERROR(VLOOKUP(E217,'CATEGORY MAP'!$A$2:$B$20,2,FALSE()),"REVIEW"))</f>
        <v/>
      </c>
      <c r="H217">
        <f>IF(E217="","",IFERROR(VALUE(SUBSTITUTE('MSR RAW'!P217,",","")),0))</f>
        <v/>
      </c>
      <c r="I217">
        <f>IF(E217="","",IFERROR(VALUE(SUBSTITUTE('MSR RAW'!S217,",","")),0))</f>
        <v/>
      </c>
    </row>
    <row r="218" ht="68.65000000000001" customHeight="1" s="126">
      <c r="A218" t="n">
        <v>218</v>
      </c>
      <c r="B218" s="30">
        <f>IF('MSR RAW'!$A$3="","",'MSR RAW'!$A$3)</f>
        <v/>
      </c>
      <c r="C218">
        <f>IF(LEFT(TRIM('MSR RAW'!A218),11)="Department:",TRIM('MSR RAW'!A218),C217)</f>
        <v/>
      </c>
      <c r="D218">
        <f>IF(LEFT(TRIM('MSR RAW'!B218),9)="Location:",TRIM(MID('MSR RAW'!B218,10,999)),D217)</f>
        <v/>
      </c>
      <c r="E218">
        <f>IF(AND(ISNUMBER(SEARCH(" - ",TRIM('MSR RAW'!C218))),RIGHT(TRIM('MSR RAW'!C218),6)="Total:"),LEFT(TRIM('MSR RAW'!C218),SEARCH(" - ",TRIM('MSR RAW'!C218))-1),"")</f>
        <v/>
      </c>
      <c r="F218">
        <f>IF(E218="","",TRIM(MID(TRIM('MSR RAW'!C218),SEARCH(" - ",TRIM('MSR RAW'!C218))+3,LEN(TRIM('MSR RAW'!C218))-SEARCH(" - ",TRIM('MSR RAW'!C218))-9)))</f>
        <v/>
      </c>
      <c r="G218">
        <f>IF(E218="","",IFERROR(VLOOKUP(E218,'CATEGORY MAP'!$A$2:$B$20,2,FALSE()),"REVIEW"))</f>
        <v/>
      </c>
      <c r="H218">
        <f>IF(E218="","",IFERROR(VALUE(SUBSTITUTE('MSR RAW'!P218,",","")),0))</f>
        <v/>
      </c>
      <c r="I218">
        <f>IF(E218="","",IFERROR(VALUE(SUBSTITUTE('MSR RAW'!S218,",","")),0))</f>
        <v/>
      </c>
    </row>
    <row r="219" ht="68.65000000000001" customHeight="1" s="126">
      <c r="A219" t="n">
        <v>219</v>
      </c>
      <c r="B219" s="30">
        <f>IF('MSR RAW'!$A$3="","",'MSR RAW'!$A$3)</f>
        <v/>
      </c>
      <c r="C219">
        <f>IF(LEFT(TRIM('MSR RAW'!A219),11)="Department:",TRIM('MSR RAW'!A219),C218)</f>
        <v/>
      </c>
      <c r="D219">
        <f>IF(LEFT(TRIM('MSR RAW'!B219),9)="Location:",TRIM(MID('MSR RAW'!B219,10,999)),D218)</f>
        <v/>
      </c>
      <c r="E219">
        <f>IF(AND(ISNUMBER(SEARCH(" - ",TRIM('MSR RAW'!C219))),RIGHT(TRIM('MSR RAW'!C219),6)="Total:"),LEFT(TRIM('MSR RAW'!C219),SEARCH(" - ",TRIM('MSR RAW'!C219))-1),"")</f>
        <v/>
      </c>
      <c r="F219">
        <f>IF(E219="","",TRIM(MID(TRIM('MSR RAW'!C219),SEARCH(" - ",TRIM('MSR RAW'!C219))+3,LEN(TRIM('MSR RAW'!C219))-SEARCH(" - ",TRIM('MSR RAW'!C219))-9)))</f>
        <v/>
      </c>
      <c r="G219">
        <f>IF(E219="","",IFERROR(VLOOKUP(E219,'CATEGORY MAP'!$A$2:$B$20,2,FALSE()),"REVIEW"))</f>
        <v/>
      </c>
      <c r="H219">
        <f>IF(E219="","",IFERROR(VALUE(SUBSTITUTE('MSR RAW'!P219,",","")),0))</f>
        <v/>
      </c>
      <c r="I219">
        <f>IF(E219="","",IFERROR(VALUE(SUBSTITUTE('MSR RAW'!S219,",","")),0))</f>
        <v/>
      </c>
    </row>
    <row r="220" ht="68.65000000000001" customHeight="1" s="126">
      <c r="A220" t="n">
        <v>220</v>
      </c>
      <c r="B220" s="30">
        <f>IF('MSR RAW'!$A$3="","",'MSR RAW'!$A$3)</f>
        <v/>
      </c>
      <c r="C220">
        <f>IF(LEFT(TRIM('MSR RAW'!A220),11)="Department:",TRIM('MSR RAW'!A220),C219)</f>
        <v/>
      </c>
      <c r="D220">
        <f>IF(LEFT(TRIM('MSR RAW'!B220),9)="Location:",TRIM(MID('MSR RAW'!B220,10,999)),D219)</f>
        <v/>
      </c>
      <c r="E220">
        <f>IF(AND(ISNUMBER(SEARCH(" - ",TRIM('MSR RAW'!C220))),RIGHT(TRIM('MSR RAW'!C220),6)="Total:"),LEFT(TRIM('MSR RAW'!C220),SEARCH(" - ",TRIM('MSR RAW'!C220))-1),"")</f>
        <v/>
      </c>
      <c r="F220">
        <f>IF(E220="","",TRIM(MID(TRIM('MSR RAW'!C220),SEARCH(" - ",TRIM('MSR RAW'!C220))+3,LEN(TRIM('MSR RAW'!C220))-SEARCH(" - ",TRIM('MSR RAW'!C220))-9)))</f>
        <v/>
      </c>
      <c r="G220">
        <f>IF(E220="","",IFERROR(VLOOKUP(E220,'CATEGORY MAP'!$A$2:$B$20,2,FALSE()),"REVIEW"))</f>
        <v/>
      </c>
      <c r="H220">
        <f>IF(E220="","",IFERROR(VALUE(SUBSTITUTE('MSR RAW'!P220,",","")),0))</f>
        <v/>
      </c>
      <c r="I220">
        <f>IF(E220="","",IFERROR(VALUE(SUBSTITUTE('MSR RAW'!S220,",","")),0))</f>
        <v/>
      </c>
    </row>
    <row r="221" ht="68.65000000000001" customHeight="1" s="126">
      <c r="A221" t="n">
        <v>221</v>
      </c>
      <c r="B221" s="30">
        <f>IF('MSR RAW'!$A$3="","",'MSR RAW'!$A$3)</f>
        <v/>
      </c>
      <c r="C221">
        <f>IF(LEFT(TRIM('MSR RAW'!A221),11)="Department:",TRIM('MSR RAW'!A221),C220)</f>
        <v/>
      </c>
      <c r="D221">
        <f>IF(LEFT(TRIM('MSR RAW'!B221),9)="Location:",TRIM(MID('MSR RAW'!B221,10,999)),D220)</f>
        <v/>
      </c>
      <c r="E221">
        <f>IF(AND(ISNUMBER(SEARCH(" - ",TRIM('MSR RAW'!C221))),RIGHT(TRIM('MSR RAW'!C221),6)="Total:"),LEFT(TRIM('MSR RAW'!C221),SEARCH(" - ",TRIM('MSR RAW'!C221))-1),"")</f>
        <v/>
      </c>
      <c r="F221">
        <f>IF(E221="","",TRIM(MID(TRIM('MSR RAW'!C221),SEARCH(" - ",TRIM('MSR RAW'!C221))+3,LEN(TRIM('MSR RAW'!C221))-SEARCH(" - ",TRIM('MSR RAW'!C221))-9)))</f>
        <v/>
      </c>
      <c r="G221">
        <f>IF(E221="","",IFERROR(VLOOKUP(E221,'CATEGORY MAP'!$A$2:$B$20,2,FALSE()),"REVIEW"))</f>
        <v/>
      </c>
      <c r="H221">
        <f>IF(E221="","",IFERROR(VALUE(SUBSTITUTE('MSR RAW'!P221,",","")),0))</f>
        <v/>
      </c>
      <c r="I221">
        <f>IF(E221="","",IFERROR(VALUE(SUBSTITUTE('MSR RAW'!S221,",","")),0))</f>
        <v/>
      </c>
    </row>
    <row r="222" ht="68.65000000000001" customHeight="1" s="126">
      <c r="A222" t="n">
        <v>222</v>
      </c>
      <c r="B222" s="30">
        <f>IF('MSR RAW'!$A$3="","",'MSR RAW'!$A$3)</f>
        <v/>
      </c>
      <c r="C222">
        <f>IF(LEFT(TRIM('MSR RAW'!A222),11)="Department:",TRIM('MSR RAW'!A222),C221)</f>
        <v/>
      </c>
      <c r="D222">
        <f>IF(LEFT(TRIM('MSR RAW'!B222),9)="Location:",TRIM(MID('MSR RAW'!B222,10,999)),D221)</f>
        <v/>
      </c>
      <c r="E222">
        <f>IF(AND(ISNUMBER(SEARCH(" - ",TRIM('MSR RAW'!C222))),RIGHT(TRIM('MSR RAW'!C222),6)="Total:"),LEFT(TRIM('MSR RAW'!C222),SEARCH(" - ",TRIM('MSR RAW'!C222))-1),"")</f>
        <v/>
      </c>
      <c r="F222">
        <f>IF(E222="","",TRIM(MID(TRIM('MSR RAW'!C222),SEARCH(" - ",TRIM('MSR RAW'!C222))+3,LEN(TRIM('MSR RAW'!C222))-SEARCH(" - ",TRIM('MSR RAW'!C222))-9)))</f>
        <v/>
      </c>
      <c r="G222">
        <f>IF(E222="","",IFERROR(VLOOKUP(E222,'CATEGORY MAP'!$A$2:$B$20,2,FALSE()),"REVIEW"))</f>
        <v/>
      </c>
      <c r="H222">
        <f>IF(E222="","",IFERROR(VALUE(SUBSTITUTE('MSR RAW'!P222,",","")),0))</f>
        <v/>
      </c>
      <c r="I222">
        <f>IF(E222="","",IFERROR(VALUE(SUBSTITUTE('MSR RAW'!S222,",","")),0))</f>
        <v/>
      </c>
    </row>
    <row r="223" ht="68.65000000000001" customHeight="1" s="126">
      <c r="A223" t="n">
        <v>223</v>
      </c>
      <c r="B223" s="30">
        <f>IF('MSR RAW'!$A$3="","",'MSR RAW'!$A$3)</f>
        <v/>
      </c>
      <c r="C223">
        <f>IF(LEFT(TRIM('MSR RAW'!A223),11)="Department:",TRIM('MSR RAW'!A223),C222)</f>
        <v/>
      </c>
      <c r="D223">
        <f>IF(LEFT(TRIM('MSR RAW'!B223),9)="Location:",TRIM(MID('MSR RAW'!B223,10,999)),D222)</f>
        <v/>
      </c>
      <c r="E223">
        <f>IF(AND(ISNUMBER(SEARCH(" - ",TRIM('MSR RAW'!C223))),RIGHT(TRIM('MSR RAW'!C223),6)="Total:"),LEFT(TRIM('MSR RAW'!C223),SEARCH(" - ",TRIM('MSR RAW'!C223))-1),"")</f>
        <v/>
      </c>
      <c r="F223">
        <f>IF(E223="","",TRIM(MID(TRIM('MSR RAW'!C223),SEARCH(" - ",TRIM('MSR RAW'!C223))+3,LEN(TRIM('MSR RAW'!C223))-SEARCH(" - ",TRIM('MSR RAW'!C223))-9)))</f>
        <v/>
      </c>
      <c r="G223">
        <f>IF(E223="","",IFERROR(VLOOKUP(E223,'CATEGORY MAP'!$A$2:$B$20,2,FALSE()),"REVIEW"))</f>
        <v/>
      </c>
      <c r="H223">
        <f>IF(E223="","",IFERROR(VALUE(SUBSTITUTE('MSR RAW'!P223,",","")),0))</f>
        <v/>
      </c>
      <c r="I223">
        <f>IF(E223="","",IFERROR(VALUE(SUBSTITUTE('MSR RAW'!S223,",","")),0))</f>
        <v/>
      </c>
    </row>
    <row r="224" ht="68.65000000000001" customHeight="1" s="126">
      <c r="A224" t="n">
        <v>224</v>
      </c>
      <c r="B224" s="30">
        <f>IF('MSR RAW'!$A$3="","",'MSR RAW'!$A$3)</f>
        <v/>
      </c>
      <c r="C224">
        <f>IF(LEFT(TRIM('MSR RAW'!A224),11)="Department:",TRIM('MSR RAW'!A224),C223)</f>
        <v/>
      </c>
      <c r="D224">
        <f>IF(LEFT(TRIM('MSR RAW'!B224),9)="Location:",TRIM(MID('MSR RAW'!B224,10,999)),D223)</f>
        <v/>
      </c>
      <c r="E224">
        <f>IF(AND(ISNUMBER(SEARCH(" - ",TRIM('MSR RAW'!C224))),RIGHT(TRIM('MSR RAW'!C224),6)="Total:"),LEFT(TRIM('MSR RAW'!C224),SEARCH(" - ",TRIM('MSR RAW'!C224))-1),"")</f>
        <v/>
      </c>
      <c r="F224">
        <f>IF(E224="","",TRIM(MID(TRIM('MSR RAW'!C224),SEARCH(" - ",TRIM('MSR RAW'!C224))+3,LEN(TRIM('MSR RAW'!C224))-SEARCH(" - ",TRIM('MSR RAW'!C224))-9)))</f>
        <v/>
      </c>
      <c r="G224">
        <f>IF(E224="","",IFERROR(VLOOKUP(E224,'CATEGORY MAP'!$A$2:$B$20,2,FALSE()),"REVIEW"))</f>
        <v/>
      </c>
      <c r="H224">
        <f>IF(E224="","",IFERROR(VALUE(SUBSTITUTE('MSR RAW'!P224,",","")),0))</f>
        <v/>
      </c>
      <c r="I224">
        <f>IF(E224="","",IFERROR(VALUE(SUBSTITUTE('MSR RAW'!S224,",","")),0))</f>
        <v/>
      </c>
    </row>
    <row r="225" ht="68.65000000000001" customHeight="1" s="126">
      <c r="A225" t="n">
        <v>225</v>
      </c>
      <c r="B225" s="30">
        <f>IF('MSR RAW'!$A$3="","",'MSR RAW'!$A$3)</f>
        <v/>
      </c>
      <c r="C225">
        <f>IF(LEFT(TRIM('MSR RAW'!A225),11)="Department:",TRIM('MSR RAW'!A225),C224)</f>
        <v/>
      </c>
      <c r="D225">
        <f>IF(LEFT(TRIM('MSR RAW'!B225),9)="Location:",TRIM(MID('MSR RAW'!B225,10,999)),D224)</f>
        <v/>
      </c>
      <c r="E225">
        <f>IF(AND(ISNUMBER(SEARCH(" - ",TRIM('MSR RAW'!C225))),RIGHT(TRIM('MSR RAW'!C225),6)="Total:"),LEFT(TRIM('MSR RAW'!C225),SEARCH(" - ",TRIM('MSR RAW'!C225))-1),"")</f>
        <v/>
      </c>
      <c r="F225">
        <f>IF(E225="","",TRIM(MID(TRIM('MSR RAW'!C225),SEARCH(" - ",TRIM('MSR RAW'!C225))+3,LEN(TRIM('MSR RAW'!C225))-SEARCH(" - ",TRIM('MSR RAW'!C225))-9)))</f>
        <v/>
      </c>
      <c r="G225">
        <f>IF(E225="","",IFERROR(VLOOKUP(E225,'CATEGORY MAP'!$A$2:$B$20,2,FALSE()),"REVIEW"))</f>
        <v/>
      </c>
      <c r="H225">
        <f>IF(E225="","",IFERROR(VALUE(SUBSTITUTE('MSR RAW'!P225,",","")),0))</f>
        <v/>
      </c>
      <c r="I225">
        <f>IF(E225="","",IFERROR(VALUE(SUBSTITUTE('MSR RAW'!S225,",","")),0))</f>
        <v/>
      </c>
    </row>
    <row r="226" ht="68.65000000000001" customHeight="1" s="126">
      <c r="A226" t="n">
        <v>226</v>
      </c>
      <c r="B226" s="30">
        <f>IF('MSR RAW'!$A$3="","",'MSR RAW'!$A$3)</f>
        <v/>
      </c>
      <c r="C226">
        <f>IF(LEFT(TRIM('MSR RAW'!A226),11)="Department:",TRIM('MSR RAW'!A226),C225)</f>
        <v/>
      </c>
      <c r="D226">
        <f>IF(LEFT(TRIM('MSR RAW'!B226),9)="Location:",TRIM(MID('MSR RAW'!B226,10,999)),D225)</f>
        <v/>
      </c>
      <c r="E226">
        <f>IF(AND(ISNUMBER(SEARCH(" - ",TRIM('MSR RAW'!C226))),RIGHT(TRIM('MSR RAW'!C226),6)="Total:"),LEFT(TRIM('MSR RAW'!C226),SEARCH(" - ",TRIM('MSR RAW'!C226))-1),"")</f>
        <v/>
      </c>
      <c r="F226">
        <f>IF(E226="","",TRIM(MID(TRIM('MSR RAW'!C226),SEARCH(" - ",TRIM('MSR RAW'!C226))+3,LEN(TRIM('MSR RAW'!C226))-SEARCH(" - ",TRIM('MSR RAW'!C226))-9)))</f>
        <v/>
      </c>
      <c r="G226">
        <f>IF(E226="","",IFERROR(VLOOKUP(E226,'CATEGORY MAP'!$A$2:$B$20,2,FALSE()),"REVIEW"))</f>
        <v/>
      </c>
      <c r="H226">
        <f>IF(E226="","",IFERROR(VALUE(SUBSTITUTE('MSR RAW'!P226,",","")),0))</f>
        <v/>
      </c>
      <c r="I226">
        <f>IF(E226="","",IFERROR(VALUE(SUBSTITUTE('MSR RAW'!S226,",","")),0))</f>
        <v/>
      </c>
    </row>
    <row r="227" ht="68.65000000000001" customHeight="1" s="126">
      <c r="A227" t="n">
        <v>227</v>
      </c>
      <c r="B227" s="30">
        <f>IF('MSR RAW'!$A$3="","",'MSR RAW'!$A$3)</f>
        <v/>
      </c>
      <c r="C227">
        <f>IF(LEFT(TRIM('MSR RAW'!A227),11)="Department:",TRIM('MSR RAW'!A227),C226)</f>
        <v/>
      </c>
      <c r="D227">
        <f>IF(LEFT(TRIM('MSR RAW'!B227),9)="Location:",TRIM(MID('MSR RAW'!B227,10,999)),D226)</f>
        <v/>
      </c>
      <c r="E227">
        <f>IF(AND(ISNUMBER(SEARCH(" - ",TRIM('MSR RAW'!C227))),RIGHT(TRIM('MSR RAW'!C227),6)="Total:"),LEFT(TRIM('MSR RAW'!C227),SEARCH(" - ",TRIM('MSR RAW'!C227))-1),"")</f>
        <v/>
      </c>
      <c r="F227">
        <f>IF(E227="","",TRIM(MID(TRIM('MSR RAW'!C227),SEARCH(" - ",TRIM('MSR RAW'!C227))+3,LEN(TRIM('MSR RAW'!C227))-SEARCH(" - ",TRIM('MSR RAW'!C227))-9)))</f>
        <v/>
      </c>
      <c r="G227">
        <f>IF(E227="","",IFERROR(VLOOKUP(E227,'CATEGORY MAP'!$A$2:$B$20,2,FALSE()),"REVIEW"))</f>
        <v/>
      </c>
      <c r="H227">
        <f>IF(E227="","",IFERROR(VALUE(SUBSTITUTE('MSR RAW'!P227,",","")),0))</f>
        <v/>
      </c>
      <c r="I227">
        <f>IF(E227="","",IFERROR(VALUE(SUBSTITUTE('MSR RAW'!S227,",","")),0))</f>
        <v/>
      </c>
    </row>
    <row r="228" ht="68.65000000000001" customHeight="1" s="126">
      <c r="A228" t="n">
        <v>228</v>
      </c>
      <c r="B228" s="30">
        <f>IF('MSR RAW'!$A$3="","",'MSR RAW'!$A$3)</f>
        <v/>
      </c>
      <c r="C228">
        <f>IF(LEFT(TRIM('MSR RAW'!A228),11)="Department:",TRIM('MSR RAW'!A228),C227)</f>
        <v/>
      </c>
      <c r="D228">
        <f>IF(LEFT(TRIM('MSR RAW'!B228),9)="Location:",TRIM(MID('MSR RAW'!B228,10,999)),D227)</f>
        <v/>
      </c>
      <c r="E228">
        <f>IF(AND(ISNUMBER(SEARCH(" - ",TRIM('MSR RAW'!C228))),RIGHT(TRIM('MSR RAW'!C228),6)="Total:"),LEFT(TRIM('MSR RAW'!C228),SEARCH(" - ",TRIM('MSR RAW'!C228))-1),"")</f>
        <v/>
      </c>
      <c r="F228">
        <f>IF(E228="","",TRIM(MID(TRIM('MSR RAW'!C228),SEARCH(" - ",TRIM('MSR RAW'!C228))+3,LEN(TRIM('MSR RAW'!C228))-SEARCH(" - ",TRIM('MSR RAW'!C228))-9)))</f>
        <v/>
      </c>
      <c r="G228">
        <f>IF(E228="","",IFERROR(VLOOKUP(E228,'CATEGORY MAP'!$A$2:$B$20,2,FALSE()),"REVIEW"))</f>
        <v/>
      </c>
      <c r="H228">
        <f>IF(E228="","",IFERROR(VALUE(SUBSTITUTE('MSR RAW'!P228,",","")),0))</f>
        <v/>
      </c>
      <c r="I228">
        <f>IF(E228="","",IFERROR(VALUE(SUBSTITUTE('MSR RAW'!S228,",","")),0))</f>
        <v/>
      </c>
    </row>
    <row r="229" ht="68.65000000000001" customHeight="1" s="126">
      <c r="A229" t="n">
        <v>229</v>
      </c>
      <c r="B229" s="30">
        <f>IF('MSR RAW'!$A$3="","",'MSR RAW'!$A$3)</f>
        <v/>
      </c>
      <c r="C229">
        <f>IF(LEFT(TRIM('MSR RAW'!A229),11)="Department:",TRIM('MSR RAW'!A229),C228)</f>
        <v/>
      </c>
      <c r="D229">
        <f>IF(LEFT(TRIM('MSR RAW'!B229),9)="Location:",TRIM(MID('MSR RAW'!B229,10,999)),D228)</f>
        <v/>
      </c>
      <c r="E229">
        <f>IF(AND(ISNUMBER(SEARCH(" - ",TRIM('MSR RAW'!C229))),RIGHT(TRIM('MSR RAW'!C229),6)="Total:"),LEFT(TRIM('MSR RAW'!C229),SEARCH(" - ",TRIM('MSR RAW'!C229))-1),"")</f>
        <v/>
      </c>
      <c r="F229">
        <f>IF(E229="","",TRIM(MID(TRIM('MSR RAW'!C229),SEARCH(" - ",TRIM('MSR RAW'!C229))+3,LEN(TRIM('MSR RAW'!C229))-SEARCH(" - ",TRIM('MSR RAW'!C229))-9)))</f>
        <v/>
      </c>
      <c r="G229">
        <f>IF(E229="","",IFERROR(VLOOKUP(E229,'CATEGORY MAP'!$A$2:$B$20,2,FALSE()),"REVIEW"))</f>
        <v/>
      </c>
      <c r="H229">
        <f>IF(E229="","",IFERROR(VALUE(SUBSTITUTE('MSR RAW'!P229,",","")),0))</f>
        <v/>
      </c>
      <c r="I229">
        <f>IF(E229="","",IFERROR(VALUE(SUBSTITUTE('MSR RAW'!S229,",","")),0))</f>
        <v/>
      </c>
    </row>
    <row r="230" ht="68.65000000000001" customHeight="1" s="126">
      <c r="A230" t="n">
        <v>230</v>
      </c>
      <c r="B230" s="30">
        <f>IF('MSR RAW'!$A$3="","",'MSR RAW'!$A$3)</f>
        <v/>
      </c>
      <c r="C230">
        <f>IF(LEFT(TRIM('MSR RAW'!A230),11)="Department:",TRIM('MSR RAW'!A230),C229)</f>
        <v/>
      </c>
      <c r="D230">
        <f>IF(LEFT(TRIM('MSR RAW'!B230),9)="Location:",TRIM(MID('MSR RAW'!B230,10,999)),D229)</f>
        <v/>
      </c>
      <c r="E230">
        <f>IF(AND(ISNUMBER(SEARCH(" - ",TRIM('MSR RAW'!C230))),RIGHT(TRIM('MSR RAW'!C230),6)="Total:"),LEFT(TRIM('MSR RAW'!C230),SEARCH(" - ",TRIM('MSR RAW'!C230))-1),"")</f>
        <v/>
      </c>
      <c r="F230">
        <f>IF(E230="","",TRIM(MID(TRIM('MSR RAW'!C230),SEARCH(" - ",TRIM('MSR RAW'!C230))+3,LEN(TRIM('MSR RAW'!C230))-SEARCH(" - ",TRIM('MSR RAW'!C230))-9)))</f>
        <v/>
      </c>
      <c r="G230">
        <f>IF(E230="","",IFERROR(VLOOKUP(E230,'CATEGORY MAP'!$A$2:$B$20,2,FALSE()),"REVIEW"))</f>
        <v/>
      </c>
      <c r="H230">
        <f>IF(E230="","",IFERROR(VALUE(SUBSTITUTE('MSR RAW'!P230,",","")),0))</f>
        <v/>
      </c>
      <c r="I230">
        <f>IF(E230="","",IFERROR(VALUE(SUBSTITUTE('MSR RAW'!S230,",","")),0))</f>
        <v/>
      </c>
    </row>
    <row r="231" ht="68.65000000000001" customHeight="1" s="126">
      <c r="A231" t="n">
        <v>231</v>
      </c>
      <c r="B231" s="30">
        <f>IF('MSR RAW'!$A$3="","",'MSR RAW'!$A$3)</f>
        <v/>
      </c>
      <c r="C231">
        <f>IF(LEFT(TRIM('MSR RAW'!A231),11)="Department:",TRIM('MSR RAW'!A231),C230)</f>
        <v/>
      </c>
      <c r="D231">
        <f>IF(LEFT(TRIM('MSR RAW'!B231),9)="Location:",TRIM(MID('MSR RAW'!B231,10,999)),D230)</f>
        <v/>
      </c>
      <c r="E231">
        <f>IF(AND(ISNUMBER(SEARCH(" - ",TRIM('MSR RAW'!C231))),RIGHT(TRIM('MSR RAW'!C231),6)="Total:"),LEFT(TRIM('MSR RAW'!C231),SEARCH(" - ",TRIM('MSR RAW'!C231))-1),"")</f>
        <v/>
      </c>
      <c r="F231">
        <f>IF(E231="","",TRIM(MID(TRIM('MSR RAW'!C231),SEARCH(" - ",TRIM('MSR RAW'!C231))+3,LEN(TRIM('MSR RAW'!C231))-SEARCH(" - ",TRIM('MSR RAW'!C231))-9)))</f>
        <v/>
      </c>
      <c r="G231">
        <f>IF(E231="","",IFERROR(VLOOKUP(E231,'CATEGORY MAP'!$A$2:$B$20,2,FALSE()),"REVIEW"))</f>
        <v/>
      </c>
      <c r="H231">
        <f>IF(E231="","",IFERROR(VALUE(SUBSTITUTE('MSR RAW'!P231,",","")),0))</f>
        <v/>
      </c>
      <c r="I231">
        <f>IF(E231="","",IFERROR(VALUE(SUBSTITUTE('MSR RAW'!S231,",","")),0))</f>
        <v/>
      </c>
    </row>
    <row r="232" ht="68.65000000000001" customHeight="1" s="126">
      <c r="A232" t="n">
        <v>232</v>
      </c>
      <c r="B232" s="30">
        <f>IF('MSR RAW'!$A$3="","",'MSR RAW'!$A$3)</f>
        <v/>
      </c>
      <c r="C232">
        <f>IF(LEFT(TRIM('MSR RAW'!A232),11)="Department:",TRIM('MSR RAW'!A232),C231)</f>
        <v/>
      </c>
      <c r="D232">
        <f>IF(LEFT(TRIM('MSR RAW'!B232),9)="Location:",TRIM(MID('MSR RAW'!B232,10,999)),D231)</f>
        <v/>
      </c>
      <c r="E232">
        <f>IF(AND(ISNUMBER(SEARCH(" - ",TRIM('MSR RAW'!C232))),RIGHT(TRIM('MSR RAW'!C232),6)="Total:"),LEFT(TRIM('MSR RAW'!C232),SEARCH(" - ",TRIM('MSR RAW'!C232))-1),"")</f>
        <v/>
      </c>
      <c r="F232">
        <f>IF(E232="","",TRIM(MID(TRIM('MSR RAW'!C232),SEARCH(" - ",TRIM('MSR RAW'!C232))+3,LEN(TRIM('MSR RAW'!C232))-SEARCH(" - ",TRIM('MSR RAW'!C232))-9)))</f>
        <v/>
      </c>
      <c r="G232">
        <f>IF(E232="","",IFERROR(VLOOKUP(E232,'CATEGORY MAP'!$A$2:$B$20,2,FALSE()),"REVIEW"))</f>
        <v/>
      </c>
      <c r="H232">
        <f>IF(E232="","",IFERROR(VALUE(SUBSTITUTE('MSR RAW'!P232,",","")),0))</f>
        <v/>
      </c>
      <c r="I232">
        <f>IF(E232="","",IFERROR(VALUE(SUBSTITUTE('MSR RAW'!S232,",","")),0))</f>
        <v/>
      </c>
    </row>
    <row r="233" ht="68.65000000000001" customHeight="1" s="126">
      <c r="A233" t="n">
        <v>233</v>
      </c>
      <c r="B233" s="30">
        <f>IF('MSR RAW'!$A$3="","",'MSR RAW'!$A$3)</f>
        <v/>
      </c>
      <c r="C233">
        <f>IF(LEFT(TRIM('MSR RAW'!A233),11)="Department:",TRIM('MSR RAW'!A233),C232)</f>
        <v/>
      </c>
      <c r="D233">
        <f>IF(LEFT(TRIM('MSR RAW'!B233),9)="Location:",TRIM(MID('MSR RAW'!B233,10,999)),D232)</f>
        <v/>
      </c>
      <c r="E233">
        <f>IF(AND(ISNUMBER(SEARCH(" - ",TRIM('MSR RAW'!C233))),RIGHT(TRIM('MSR RAW'!C233),6)="Total:"),LEFT(TRIM('MSR RAW'!C233),SEARCH(" - ",TRIM('MSR RAW'!C233))-1),"")</f>
        <v/>
      </c>
      <c r="F233">
        <f>IF(E233="","",TRIM(MID(TRIM('MSR RAW'!C233),SEARCH(" - ",TRIM('MSR RAW'!C233))+3,LEN(TRIM('MSR RAW'!C233))-SEARCH(" - ",TRIM('MSR RAW'!C233))-9)))</f>
        <v/>
      </c>
      <c r="G233">
        <f>IF(E233="","",IFERROR(VLOOKUP(E233,'CATEGORY MAP'!$A$2:$B$20,2,FALSE()),"REVIEW"))</f>
        <v/>
      </c>
      <c r="H233">
        <f>IF(E233="","",IFERROR(VALUE(SUBSTITUTE('MSR RAW'!P233,",","")),0))</f>
        <v/>
      </c>
      <c r="I233">
        <f>IF(E233="","",IFERROR(VALUE(SUBSTITUTE('MSR RAW'!S233,",","")),0))</f>
        <v/>
      </c>
    </row>
    <row r="234" ht="68.65000000000001" customHeight="1" s="126">
      <c r="A234" t="n">
        <v>234</v>
      </c>
      <c r="B234" s="30">
        <f>IF('MSR RAW'!$A$3="","",'MSR RAW'!$A$3)</f>
        <v/>
      </c>
      <c r="C234">
        <f>IF(LEFT(TRIM('MSR RAW'!A234),11)="Department:",TRIM('MSR RAW'!A234),C233)</f>
        <v/>
      </c>
      <c r="D234">
        <f>IF(LEFT(TRIM('MSR RAW'!B234),9)="Location:",TRIM(MID('MSR RAW'!B234,10,999)),D233)</f>
        <v/>
      </c>
      <c r="E234">
        <f>IF(AND(ISNUMBER(SEARCH(" - ",TRIM('MSR RAW'!C234))),RIGHT(TRIM('MSR RAW'!C234),6)="Total:"),LEFT(TRIM('MSR RAW'!C234),SEARCH(" - ",TRIM('MSR RAW'!C234))-1),"")</f>
        <v/>
      </c>
      <c r="F234">
        <f>IF(E234="","",TRIM(MID(TRIM('MSR RAW'!C234),SEARCH(" - ",TRIM('MSR RAW'!C234))+3,LEN(TRIM('MSR RAW'!C234))-SEARCH(" - ",TRIM('MSR RAW'!C234))-9)))</f>
        <v/>
      </c>
      <c r="G234">
        <f>IF(E234="","",IFERROR(VLOOKUP(E234,'CATEGORY MAP'!$A$2:$B$20,2,FALSE()),"REVIEW"))</f>
        <v/>
      </c>
      <c r="H234">
        <f>IF(E234="","",IFERROR(VALUE(SUBSTITUTE('MSR RAW'!P234,",","")),0))</f>
        <v/>
      </c>
      <c r="I234">
        <f>IF(E234="","",IFERROR(VALUE(SUBSTITUTE('MSR RAW'!S234,",","")),0))</f>
        <v/>
      </c>
    </row>
    <row r="235" ht="68.65000000000001" customHeight="1" s="126">
      <c r="A235" t="n">
        <v>235</v>
      </c>
      <c r="B235" s="30">
        <f>IF('MSR RAW'!$A$3="","",'MSR RAW'!$A$3)</f>
        <v/>
      </c>
      <c r="C235">
        <f>IF(LEFT(TRIM('MSR RAW'!A235),11)="Department:",TRIM('MSR RAW'!A235),C234)</f>
        <v/>
      </c>
      <c r="D235">
        <f>IF(LEFT(TRIM('MSR RAW'!B235),9)="Location:",TRIM(MID('MSR RAW'!B235,10,999)),D234)</f>
        <v/>
      </c>
      <c r="E235">
        <f>IF(AND(ISNUMBER(SEARCH(" - ",TRIM('MSR RAW'!C235))),RIGHT(TRIM('MSR RAW'!C235),6)="Total:"),LEFT(TRIM('MSR RAW'!C235),SEARCH(" - ",TRIM('MSR RAW'!C235))-1),"")</f>
        <v/>
      </c>
      <c r="F235">
        <f>IF(E235="","",TRIM(MID(TRIM('MSR RAW'!C235),SEARCH(" - ",TRIM('MSR RAW'!C235))+3,LEN(TRIM('MSR RAW'!C235))-SEARCH(" - ",TRIM('MSR RAW'!C235))-9)))</f>
        <v/>
      </c>
      <c r="G235">
        <f>IF(E235="","",IFERROR(VLOOKUP(E235,'CATEGORY MAP'!$A$2:$B$20,2,FALSE()),"REVIEW"))</f>
        <v/>
      </c>
      <c r="H235">
        <f>IF(E235="","",IFERROR(VALUE(SUBSTITUTE('MSR RAW'!P235,",","")),0))</f>
        <v/>
      </c>
      <c r="I235">
        <f>IF(E235="","",IFERROR(VALUE(SUBSTITUTE('MSR RAW'!S235,",","")),0))</f>
        <v/>
      </c>
    </row>
    <row r="236" ht="68.65000000000001" customHeight="1" s="126">
      <c r="A236" t="n">
        <v>236</v>
      </c>
      <c r="B236" s="30">
        <f>IF('MSR RAW'!$A$3="","",'MSR RAW'!$A$3)</f>
        <v/>
      </c>
      <c r="C236">
        <f>IF(LEFT(TRIM('MSR RAW'!A236),11)="Department:",TRIM('MSR RAW'!A236),C235)</f>
        <v/>
      </c>
      <c r="D236">
        <f>IF(LEFT(TRIM('MSR RAW'!B236),9)="Location:",TRIM(MID('MSR RAW'!B236,10,999)),D235)</f>
        <v/>
      </c>
      <c r="E236">
        <f>IF(AND(ISNUMBER(SEARCH(" - ",TRIM('MSR RAW'!C236))),RIGHT(TRIM('MSR RAW'!C236),6)="Total:"),LEFT(TRIM('MSR RAW'!C236),SEARCH(" - ",TRIM('MSR RAW'!C236))-1),"")</f>
        <v/>
      </c>
      <c r="F236">
        <f>IF(E236="","",TRIM(MID(TRIM('MSR RAW'!C236),SEARCH(" - ",TRIM('MSR RAW'!C236))+3,LEN(TRIM('MSR RAW'!C236))-SEARCH(" - ",TRIM('MSR RAW'!C236))-9)))</f>
        <v/>
      </c>
      <c r="G236">
        <f>IF(E236="","",IFERROR(VLOOKUP(E236,'CATEGORY MAP'!$A$2:$B$20,2,FALSE()),"REVIEW"))</f>
        <v/>
      </c>
      <c r="H236">
        <f>IF(E236="","",IFERROR(VALUE(SUBSTITUTE('MSR RAW'!P236,",","")),0))</f>
        <v/>
      </c>
      <c r="I236">
        <f>IF(E236="","",IFERROR(VALUE(SUBSTITUTE('MSR RAW'!S236,",","")),0))</f>
        <v/>
      </c>
    </row>
    <row r="237" ht="68.65000000000001" customHeight="1" s="126">
      <c r="A237" t="n">
        <v>237</v>
      </c>
      <c r="B237" s="30">
        <f>IF('MSR RAW'!$A$3="","",'MSR RAW'!$A$3)</f>
        <v/>
      </c>
      <c r="C237">
        <f>IF(LEFT(TRIM('MSR RAW'!A237),11)="Department:",TRIM('MSR RAW'!A237),C236)</f>
        <v/>
      </c>
      <c r="D237">
        <f>IF(LEFT(TRIM('MSR RAW'!B237),9)="Location:",TRIM(MID('MSR RAW'!B237,10,999)),D236)</f>
        <v/>
      </c>
      <c r="E237">
        <f>IF(AND(ISNUMBER(SEARCH(" - ",TRIM('MSR RAW'!C237))),RIGHT(TRIM('MSR RAW'!C237),6)="Total:"),LEFT(TRIM('MSR RAW'!C237),SEARCH(" - ",TRIM('MSR RAW'!C237))-1),"")</f>
        <v/>
      </c>
      <c r="F237">
        <f>IF(E237="","",TRIM(MID(TRIM('MSR RAW'!C237),SEARCH(" - ",TRIM('MSR RAW'!C237))+3,LEN(TRIM('MSR RAW'!C237))-SEARCH(" - ",TRIM('MSR RAW'!C237))-9)))</f>
        <v/>
      </c>
      <c r="G237">
        <f>IF(E237="","",IFERROR(VLOOKUP(E237,'CATEGORY MAP'!$A$2:$B$20,2,FALSE()),"REVIEW"))</f>
        <v/>
      </c>
      <c r="H237">
        <f>IF(E237="","",IFERROR(VALUE(SUBSTITUTE('MSR RAW'!P237,",","")),0))</f>
        <v/>
      </c>
      <c r="I237">
        <f>IF(E237="","",IFERROR(VALUE(SUBSTITUTE('MSR RAW'!S237,",","")),0))</f>
        <v/>
      </c>
    </row>
    <row r="238" ht="68.65000000000001" customHeight="1" s="126">
      <c r="A238" t="n">
        <v>238</v>
      </c>
      <c r="B238" s="30">
        <f>IF('MSR RAW'!$A$3="","",'MSR RAW'!$A$3)</f>
        <v/>
      </c>
      <c r="C238">
        <f>IF(LEFT(TRIM('MSR RAW'!A238),11)="Department:",TRIM('MSR RAW'!A238),C237)</f>
        <v/>
      </c>
      <c r="D238">
        <f>IF(LEFT(TRIM('MSR RAW'!B238),9)="Location:",TRIM(MID('MSR RAW'!B238,10,999)),D237)</f>
        <v/>
      </c>
      <c r="E238">
        <f>IF(AND(ISNUMBER(SEARCH(" - ",TRIM('MSR RAW'!C238))),RIGHT(TRIM('MSR RAW'!C238),6)="Total:"),LEFT(TRIM('MSR RAW'!C238),SEARCH(" - ",TRIM('MSR RAW'!C238))-1),"")</f>
        <v/>
      </c>
      <c r="F238">
        <f>IF(E238="","",TRIM(MID(TRIM('MSR RAW'!C238),SEARCH(" - ",TRIM('MSR RAW'!C238))+3,LEN(TRIM('MSR RAW'!C238))-SEARCH(" - ",TRIM('MSR RAW'!C238))-9)))</f>
        <v/>
      </c>
      <c r="G238">
        <f>IF(E238="","",IFERROR(VLOOKUP(E238,'CATEGORY MAP'!$A$2:$B$20,2,FALSE()),"REVIEW"))</f>
        <v/>
      </c>
      <c r="H238">
        <f>IF(E238="","",IFERROR(VALUE(SUBSTITUTE('MSR RAW'!P238,",","")),0))</f>
        <v/>
      </c>
      <c r="I238">
        <f>IF(E238="","",IFERROR(VALUE(SUBSTITUTE('MSR RAW'!S238,",","")),0))</f>
        <v/>
      </c>
    </row>
    <row r="239" ht="68.65000000000001" customHeight="1" s="126">
      <c r="A239" t="n">
        <v>239</v>
      </c>
      <c r="B239" s="30">
        <f>IF('MSR RAW'!$A$3="","",'MSR RAW'!$A$3)</f>
        <v/>
      </c>
      <c r="C239">
        <f>IF(LEFT(TRIM('MSR RAW'!A239),11)="Department:",TRIM('MSR RAW'!A239),C238)</f>
        <v/>
      </c>
      <c r="D239">
        <f>IF(LEFT(TRIM('MSR RAW'!B239),9)="Location:",TRIM(MID('MSR RAW'!B239,10,999)),D238)</f>
        <v/>
      </c>
      <c r="E239">
        <f>IF(AND(ISNUMBER(SEARCH(" - ",TRIM('MSR RAW'!C239))),RIGHT(TRIM('MSR RAW'!C239),6)="Total:"),LEFT(TRIM('MSR RAW'!C239),SEARCH(" - ",TRIM('MSR RAW'!C239))-1),"")</f>
        <v/>
      </c>
      <c r="F239">
        <f>IF(E239="","",TRIM(MID(TRIM('MSR RAW'!C239),SEARCH(" - ",TRIM('MSR RAW'!C239))+3,LEN(TRIM('MSR RAW'!C239))-SEARCH(" - ",TRIM('MSR RAW'!C239))-9)))</f>
        <v/>
      </c>
      <c r="G239">
        <f>IF(E239="","",IFERROR(VLOOKUP(E239,'CATEGORY MAP'!$A$2:$B$20,2,FALSE()),"REVIEW"))</f>
        <v/>
      </c>
      <c r="H239">
        <f>IF(E239="","",IFERROR(VALUE(SUBSTITUTE('MSR RAW'!P239,",","")),0))</f>
        <v/>
      </c>
      <c r="I239">
        <f>IF(E239="","",IFERROR(VALUE(SUBSTITUTE('MSR RAW'!S239,",","")),0))</f>
        <v/>
      </c>
    </row>
    <row r="240" ht="68.65000000000001" customHeight="1" s="126">
      <c r="A240" t="n">
        <v>240</v>
      </c>
      <c r="B240" s="30">
        <f>IF('MSR RAW'!$A$3="","",'MSR RAW'!$A$3)</f>
        <v/>
      </c>
      <c r="C240">
        <f>IF(LEFT(TRIM('MSR RAW'!A240),11)="Department:",TRIM('MSR RAW'!A240),C239)</f>
        <v/>
      </c>
      <c r="D240">
        <f>IF(LEFT(TRIM('MSR RAW'!B240),9)="Location:",TRIM(MID('MSR RAW'!B240,10,999)),D239)</f>
        <v/>
      </c>
      <c r="E240">
        <f>IF(AND(ISNUMBER(SEARCH(" - ",TRIM('MSR RAW'!C240))),RIGHT(TRIM('MSR RAW'!C240),6)="Total:"),LEFT(TRIM('MSR RAW'!C240),SEARCH(" - ",TRIM('MSR RAW'!C240))-1),"")</f>
        <v/>
      </c>
      <c r="F240">
        <f>IF(E240="","",TRIM(MID(TRIM('MSR RAW'!C240),SEARCH(" - ",TRIM('MSR RAW'!C240))+3,LEN(TRIM('MSR RAW'!C240))-SEARCH(" - ",TRIM('MSR RAW'!C240))-9)))</f>
        <v/>
      </c>
      <c r="G240">
        <f>IF(E240="","",IFERROR(VLOOKUP(E240,'CATEGORY MAP'!$A$2:$B$20,2,FALSE()),"REVIEW"))</f>
        <v/>
      </c>
      <c r="H240">
        <f>IF(E240="","",IFERROR(VALUE(SUBSTITUTE('MSR RAW'!P240,",","")),0))</f>
        <v/>
      </c>
      <c r="I240">
        <f>IF(E240="","",IFERROR(VALUE(SUBSTITUTE('MSR RAW'!S240,",","")),0))</f>
        <v/>
      </c>
    </row>
    <row r="241" ht="68.65000000000001" customHeight="1" s="126">
      <c r="A241" t="n">
        <v>241</v>
      </c>
      <c r="B241" s="30">
        <f>IF('MSR RAW'!$A$3="","",'MSR RAW'!$A$3)</f>
        <v/>
      </c>
      <c r="C241">
        <f>IF(LEFT(TRIM('MSR RAW'!A241),11)="Department:",TRIM('MSR RAW'!A241),C240)</f>
        <v/>
      </c>
      <c r="D241">
        <f>IF(LEFT(TRIM('MSR RAW'!B241),9)="Location:",TRIM(MID('MSR RAW'!B241,10,999)),D240)</f>
        <v/>
      </c>
      <c r="E241">
        <f>IF(AND(ISNUMBER(SEARCH(" - ",TRIM('MSR RAW'!C241))),RIGHT(TRIM('MSR RAW'!C241),6)="Total:"),LEFT(TRIM('MSR RAW'!C241),SEARCH(" - ",TRIM('MSR RAW'!C241))-1),"")</f>
        <v/>
      </c>
      <c r="F241">
        <f>IF(E241="","",TRIM(MID(TRIM('MSR RAW'!C241),SEARCH(" - ",TRIM('MSR RAW'!C241))+3,LEN(TRIM('MSR RAW'!C241))-SEARCH(" - ",TRIM('MSR RAW'!C241))-9)))</f>
        <v/>
      </c>
      <c r="G241">
        <f>IF(E241="","",IFERROR(VLOOKUP(E241,'CATEGORY MAP'!$A$2:$B$20,2,FALSE()),"REVIEW"))</f>
        <v/>
      </c>
      <c r="H241">
        <f>IF(E241="","",IFERROR(VALUE(SUBSTITUTE('MSR RAW'!P241,",","")),0))</f>
        <v/>
      </c>
      <c r="I241">
        <f>IF(E241="","",IFERROR(VALUE(SUBSTITUTE('MSR RAW'!S241,",","")),0))</f>
        <v/>
      </c>
    </row>
    <row r="242" ht="68.65000000000001" customHeight="1" s="126">
      <c r="A242" t="n">
        <v>242</v>
      </c>
      <c r="B242" s="30">
        <f>IF('MSR RAW'!$A$3="","",'MSR RAW'!$A$3)</f>
        <v/>
      </c>
      <c r="C242">
        <f>IF(LEFT(TRIM('MSR RAW'!A242),11)="Department:",TRIM('MSR RAW'!A242),C241)</f>
        <v/>
      </c>
      <c r="D242">
        <f>IF(LEFT(TRIM('MSR RAW'!B242),9)="Location:",TRIM(MID('MSR RAW'!B242,10,999)),D241)</f>
        <v/>
      </c>
      <c r="E242">
        <f>IF(AND(ISNUMBER(SEARCH(" - ",TRIM('MSR RAW'!C242))),RIGHT(TRIM('MSR RAW'!C242),6)="Total:"),LEFT(TRIM('MSR RAW'!C242),SEARCH(" - ",TRIM('MSR RAW'!C242))-1),"")</f>
        <v/>
      </c>
      <c r="F242">
        <f>IF(E242="","",TRIM(MID(TRIM('MSR RAW'!C242),SEARCH(" - ",TRIM('MSR RAW'!C242))+3,LEN(TRIM('MSR RAW'!C242))-SEARCH(" - ",TRIM('MSR RAW'!C242))-9)))</f>
        <v/>
      </c>
      <c r="G242">
        <f>IF(E242="","",IFERROR(VLOOKUP(E242,'CATEGORY MAP'!$A$2:$B$20,2,FALSE()),"REVIEW"))</f>
        <v/>
      </c>
      <c r="H242">
        <f>IF(E242="","",IFERROR(VALUE(SUBSTITUTE('MSR RAW'!P242,",","")),0))</f>
        <v/>
      </c>
      <c r="I242">
        <f>IF(E242="","",IFERROR(VALUE(SUBSTITUTE('MSR RAW'!S242,",","")),0))</f>
        <v/>
      </c>
    </row>
    <row r="243" ht="68.65000000000001" customHeight="1" s="126">
      <c r="A243" t="n">
        <v>243</v>
      </c>
      <c r="B243" s="30">
        <f>IF('MSR RAW'!$A$3="","",'MSR RAW'!$A$3)</f>
        <v/>
      </c>
      <c r="C243">
        <f>IF(LEFT(TRIM('MSR RAW'!A243),11)="Department:",TRIM('MSR RAW'!A243),C242)</f>
        <v/>
      </c>
      <c r="D243">
        <f>IF(LEFT(TRIM('MSR RAW'!B243),9)="Location:",TRIM(MID('MSR RAW'!B243,10,999)),D242)</f>
        <v/>
      </c>
      <c r="E243">
        <f>IF(AND(ISNUMBER(SEARCH(" - ",TRIM('MSR RAW'!C243))),RIGHT(TRIM('MSR RAW'!C243),6)="Total:"),LEFT(TRIM('MSR RAW'!C243),SEARCH(" - ",TRIM('MSR RAW'!C243))-1),"")</f>
        <v/>
      </c>
      <c r="F243">
        <f>IF(E243="","",TRIM(MID(TRIM('MSR RAW'!C243),SEARCH(" - ",TRIM('MSR RAW'!C243))+3,LEN(TRIM('MSR RAW'!C243))-SEARCH(" - ",TRIM('MSR RAW'!C243))-9)))</f>
        <v/>
      </c>
      <c r="G243">
        <f>IF(E243="","",IFERROR(VLOOKUP(E243,'CATEGORY MAP'!$A$2:$B$20,2,FALSE()),"REVIEW"))</f>
        <v/>
      </c>
      <c r="H243">
        <f>IF(E243="","",IFERROR(VALUE(SUBSTITUTE('MSR RAW'!P243,",","")),0))</f>
        <v/>
      </c>
      <c r="I243">
        <f>IF(E243="","",IFERROR(VALUE(SUBSTITUTE('MSR RAW'!S243,",","")),0))</f>
        <v/>
      </c>
    </row>
    <row r="244" ht="68.65000000000001" customHeight="1" s="126">
      <c r="A244" t="n">
        <v>244</v>
      </c>
      <c r="B244" s="30">
        <f>IF('MSR RAW'!$A$3="","",'MSR RAW'!$A$3)</f>
        <v/>
      </c>
      <c r="C244">
        <f>IF(LEFT(TRIM('MSR RAW'!A244),11)="Department:",TRIM('MSR RAW'!A244),C243)</f>
        <v/>
      </c>
      <c r="D244">
        <f>IF(LEFT(TRIM('MSR RAW'!B244),9)="Location:",TRIM(MID('MSR RAW'!B244,10,999)),D243)</f>
        <v/>
      </c>
      <c r="E244">
        <f>IF(AND(ISNUMBER(SEARCH(" - ",TRIM('MSR RAW'!C244))),RIGHT(TRIM('MSR RAW'!C244),6)="Total:"),LEFT(TRIM('MSR RAW'!C244),SEARCH(" - ",TRIM('MSR RAW'!C244))-1),"")</f>
        <v/>
      </c>
      <c r="F244">
        <f>IF(E244="","",TRIM(MID(TRIM('MSR RAW'!C244),SEARCH(" - ",TRIM('MSR RAW'!C244))+3,LEN(TRIM('MSR RAW'!C244))-SEARCH(" - ",TRIM('MSR RAW'!C244))-9)))</f>
        <v/>
      </c>
      <c r="G244">
        <f>IF(E244="","",IFERROR(VLOOKUP(E244,'CATEGORY MAP'!$A$2:$B$20,2,FALSE()),"REVIEW"))</f>
        <v/>
      </c>
      <c r="H244">
        <f>IF(E244="","",IFERROR(VALUE(SUBSTITUTE('MSR RAW'!P244,",","")),0))</f>
        <v/>
      </c>
      <c r="I244">
        <f>IF(E244="","",IFERROR(VALUE(SUBSTITUTE('MSR RAW'!S244,",","")),0))</f>
        <v/>
      </c>
    </row>
    <row r="245" ht="68.65000000000001" customHeight="1" s="126">
      <c r="A245" t="n">
        <v>245</v>
      </c>
      <c r="B245" s="30">
        <f>IF('MSR RAW'!$A$3="","",'MSR RAW'!$A$3)</f>
        <v/>
      </c>
      <c r="C245">
        <f>IF(LEFT(TRIM('MSR RAW'!A245),11)="Department:",TRIM('MSR RAW'!A245),C244)</f>
        <v/>
      </c>
      <c r="D245">
        <f>IF(LEFT(TRIM('MSR RAW'!B245),9)="Location:",TRIM(MID('MSR RAW'!B245,10,999)),D244)</f>
        <v/>
      </c>
      <c r="E245">
        <f>IF(AND(ISNUMBER(SEARCH(" - ",TRIM('MSR RAW'!C245))),RIGHT(TRIM('MSR RAW'!C245),6)="Total:"),LEFT(TRIM('MSR RAW'!C245),SEARCH(" - ",TRIM('MSR RAW'!C245))-1),"")</f>
        <v/>
      </c>
      <c r="F245">
        <f>IF(E245="","",TRIM(MID(TRIM('MSR RAW'!C245),SEARCH(" - ",TRIM('MSR RAW'!C245))+3,LEN(TRIM('MSR RAW'!C245))-SEARCH(" - ",TRIM('MSR RAW'!C245))-9)))</f>
        <v/>
      </c>
      <c r="G245">
        <f>IF(E245="","",IFERROR(VLOOKUP(E245,'CATEGORY MAP'!$A$2:$B$20,2,FALSE()),"REVIEW"))</f>
        <v/>
      </c>
      <c r="H245">
        <f>IF(E245="","",IFERROR(VALUE(SUBSTITUTE('MSR RAW'!P245,",","")),0))</f>
        <v/>
      </c>
      <c r="I245">
        <f>IF(E245="","",IFERROR(VALUE(SUBSTITUTE('MSR RAW'!S245,",","")),0))</f>
        <v/>
      </c>
    </row>
    <row r="246" ht="68.65000000000001" customHeight="1" s="126">
      <c r="A246" t="n">
        <v>246</v>
      </c>
      <c r="B246" s="30">
        <f>IF('MSR RAW'!$A$3="","",'MSR RAW'!$A$3)</f>
        <v/>
      </c>
      <c r="C246">
        <f>IF(LEFT(TRIM('MSR RAW'!A246),11)="Department:",TRIM('MSR RAW'!A246),C245)</f>
        <v/>
      </c>
      <c r="D246">
        <f>IF(LEFT(TRIM('MSR RAW'!B246),9)="Location:",TRIM(MID('MSR RAW'!B246,10,999)),D245)</f>
        <v/>
      </c>
      <c r="E246">
        <f>IF(AND(ISNUMBER(SEARCH(" - ",TRIM('MSR RAW'!C246))),RIGHT(TRIM('MSR RAW'!C246),6)="Total:"),LEFT(TRIM('MSR RAW'!C246),SEARCH(" - ",TRIM('MSR RAW'!C246))-1),"")</f>
        <v/>
      </c>
      <c r="F246">
        <f>IF(E246="","",TRIM(MID(TRIM('MSR RAW'!C246),SEARCH(" - ",TRIM('MSR RAW'!C246))+3,LEN(TRIM('MSR RAW'!C246))-SEARCH(" - ",TRIM('MSR RAW'!C246))-9)))</f>
        <v/>
      </c>
      <c r="G246">
        <f>IF(E246="","",IFERROR(VLOOKUP(E246,'CATEGORY MAP'!$A$2:$B$20,2,FALSE()),"REVIEW"))</f>
        <v/>
      </c>
      <c r="H246">
        <f>IF(E246="","",IFERROR(VALUE(SUBSTITUTE('MSR RAW'!P246,",","")),0))</f>
        <v/>
      </c>
      <c r="I246">
        <f>IF(E246="","",IFERROR(VALUE(SUBSTITUTE('MSR RAW'!S246,",","")),0))</f>
        <v/>
      </c>
    </row>
    <row r="247" ht="68.65000000000001" customHeight="1" s="126">
      <c r="A247" t="n">
        <v>247</v>
      </c>
      <c r="B247" s="30">
        <f>IF('MSR RAW'!$A$3="","",'MSR RAW'!$A$3)</f>
        <v/>
      </c>
      <c r="C247">
        <f>IF(LEFT(TRIM('MSR RAW'!A247),11)="Department:",TRIM('MSR RAW'!A247),C246)</f>
        <v/>
      </c>
      <c r="D247">
        <f>IF(LEFT(TRIM('MSR RAW'!B247),9)="Location:",TRIM(MID('MSR RAW'!B247,10,999)),D246)</f>
        <v/>
      </c>
      <c r="E247">
        <f>IF(AND(ISNUMBER(SEARCH(" - ",TRIM('MSR RAW'!C247))),RIGHT(TRIM('MSR RAW'!C247),6)="Total:"),LEFT(TRIM('MSR RAW'!C247),SEARCH(" - ",TRIM('MSR RAW'!C247))-1),"")</f>
        <v/>
      </c>
      <c r="F247">
        <f>IF(E247="","",TRIM(MID(TRIM('MSR RAW'!C247),SEARCH(" - ",TRIM('MSR RAW'!C247))+3,LEN(TRIM('MSR RAW'!C247))-SEARCH(" - ",TRIM('MSR RAW'!C247))-9)))</f>
        <v/>
      </c>
      <c r="G247">
        <f>IF(E247="","",IFERROR(VLOOKUP(E247,'CATEGORY MAP'!$A$2:$B$20,2,FALSE()),"REVIEW"))</f>
        <v/>
      </c>
      <c r="H247">
        <f>IF(E247="","",IFERROR(VALUE(SUBSTITUTE('MSR RAW'!P247,",","")),0))</f>
        <v/>
      </c>
      <c r="I247">
        <f>IF(E247="","",IFERROR(VALUE(SUBSTITUTE('MSR RAW'!S247,",","")),0))</f>
        <v/>
      </c>
    </row>
    <row r="248" ht="68.65000000000001" customHeight="1" s="126">
      <c r="A248" t="n">
        <v>248</v>
      </c>
      <c r="B248" s="30">
        <f>IF('MSR RAW'!$A$3="","",'MSR RAW'!$A$3)</f>
        <v/>
      </c>
      <c r="C248">
        <f>IF(LEFT(TRIM('MSR RAW'!A248),11)="Department:",TRIM('MSR RAW'!A248),C247)</f>
        <v/>
      </c>
      <c r="D248">
        <f>IF(LEFT(TRIM('MSR RAW'!B248),9)="Location:",TRIM(MID('MSR RAW'!B248,10,999)),D247)</f>
        <v/>
      </c>
      <c r="E248">
        <f>IF(AND(ISNUMBER(SEARCH(" - ",TRIM('MSR RAW'!C248))),RIGHT(TRIM('MSR RAW'!C248),6)="Total:"),LEFT(TRIM('MSR RAW'!C248),SEARCH(" - ",TRIM('MSR RAW'!C248))-1),"")</f>
        <v/>
      </c>
      <c r="F248">
        <f>IF(E248="","",TRIM(MID(TRIM('MSR RAW'!C248),SEARCH(" - ",TRIM('MSR RAW'!C248))+3,LEN(TRIM('MSR RAW'!C248))-SEARCH(" - ",TRIM('MSR RAW'!C248))-9)))</f>
        <v/>
      </c>
      <c r="G248">
        <f>IF(E248="","",IFERROR(VLOOKUP(E248,'CATEGORY MAP'!$A$2:$B$20,2,FALSE()),"REVIEW"))</f>
        <v/>
      </c>
      <c r="H248">
        <f>IF(E248="","",IFERROR(VALUE(SUBSTITUTE('MSR RAW'!P248,",","")),0))</f>
        <v/>
      </c>
      <c r="I248">
        <f>IF(E248="","",IFERROR(VALUE(SUBSTITUTE('MSR RAW'!S248,",","")),0))</f>
        <v/>
      </c>
    </row>
    <row r="249" ht="68.65000000000001" customHeight="1" s="126">
      <c r="A249" t="n">
        <v>249</v>
      </c>
      <c r="B249" s="30">
        <f>IF('MSR RAW'!$A$3="","",'MSR RAW'!$A$3)</f>
        <v/>
      </c>
      <c r="C249">
        <f>IF(LEFT(TRIM('MSR RAW'!A249),11)="Department:",TRIM('MSR RAW'!A249),C248)</f>
        <v/>
      </c>
      <c r="D249">
        <f>IF(LEFT(TRIM('MSR RAW'!B249),9)="Location:",TRIM(MID('MSR RAW'!B249,10,999)),D248)</f>
        <v/>
      </c>
      <c r="E249">
        <f>IF(AND(ISNUMBER(SEARCH(" - ",TRIM('MSR RAW'!C249))),RIGHT(TRIM('MSR RAW'!C249),6)="Total:"),LEFT(TRIM('MSR RAW'!C249),SEARCH(" - ",TRIM('MSR RAW'!C249))-1),"")</f>
        <v/>
      </c>
      <c r="F249">
        <f>IF(E249="","",TRIM(MID(TRIM('MSR RAW'!C249),SEARCH(" - ",TRIM('MSR RAW'!C249))+3,LEN(TRIM('MSR RAW'!C249))-SEARCH(" - ",TRIM('MSR RAW'!C249))-9)))</f>
        <v/>
      </c>
      <c r="G249">
        <f>IF(E249="","",IFERROR(VLOOKUP(E249,'CATEGORY MAP'!$A$2:$B$20,2,FALSE()),"REVIEW"))</f>
        <v/>
      </c>
      <c r="H249">
        <f>IF(E249="","",IFERROR(VALUE(SUBSTITUTE('MSR RAW'!P249,",","")),0))</f>
        <v/>
      </c>
      <c r="I249">
        <f>IF(E249="","",IFERROR(VALUE(SUBSTITUTE('MSR RAW'!S249,",","")),0))</f>
        <v/>
      </c>
    </row>
    <row r="250" ht="68.65000000000001" customHeight="1" s="126">
      <c r="A250" t="n">
        <v>250</v>
      </c>
      <c r="B250" s="30">
        <f>IF('MSR RAW'!$A$3="","",'MSR RAW'!$A$3)</f>
        <v/>
      </c>
      <c r="C250">
        <f>IF(LEFT(TRIM('MSR RAW'!A250),11)="Department:",TRIM('MSR RAW'!A250),C249)</f>
        <v/>
      </c>
      <c r="D250">
        <f>IF(LEFT(TRIM('MSR RAW'!B250),9)="Location:",TRIM(MID('MSR RAW'!B250,10,999)),D249)</f>
        <v/>
      </c>
      <c r="E250">
        <f>IF(AND(ISNUMBER(SEARCH(" - ",TRIM('MSR RAW'!C250))),RIGHT(TRIM('MSR RAW'!C250),6)="Total:"),LEFT(TRIM('MSR RAW'!C250),SEARCH(" - ",TRIM('MSR RAW'!C250))-1),"")</f>
        <v/>
      </c>
      <c r="F250">
        <f>IF(E250="","",TRIM(MID(TRIM('MSR RAW'!C250),SEARCH(" - ",TRIM('MSR RAW'!C250))+3,LEN(TRIM('MSR RAW'!C250))-SEARCH(" - ",TRIM('MSR RAW'!C250))-9)))</f>
        <v/>
      </c>
      <c r="G250">
        <f>IF(E250="","",IFERROR(VLOOKUP(E250,'CATEGORY MAP'!$A$2:$B$20,2,FALSE()),"REVIEW"))</f>
        <v/>
      </c>
      <c r="H250">
        <f>IF(E250="","",IFERROR(VALUE(SUBSTITUTE('MSR RAW'!P250,",","")),0))</f>
        <v/>
      </c>
      <c r="I250">
        <f>IF(E250="","",IFERROR(VALUE(SUBSTITUTE('MSR RAW'!S250,",","")),0))</f>
        <v/>
      </c>
    </row>
    <row r="251" ht="68.65000000000001" customHeight="1" s="126">
      <c r="A251" t="n">
        <v>251</v>
      </c>
      <c r="B251" s="30">
        <f>IF('MSR RAW'!$A$3="","",'MSR RAW'!$A$3)</f>
        <v/>
      </c>
      <c r="C251">
        <f>IF(LEFT(TRIM('MSR RAW'!A251),11)="Department:",TRIM('MSR RAW'!A251),C250)</f>
        <v/>
      </c>
      <c r="D251">
        <f>IF(LEFT(TRIM('MSR RAW'!B251),9)="Location:",TRIM(MID('MSR RAW'!B251,10,999)),D250)</f>
        <v/>
      </c>
      <c r="E251">
        <f>IF(AND(ISNUMBER(SEARCH(" - ",TRIM('MSR RAW'!C251))),RIGHT(TRIM('MSR RAW'!C251),6)="Total:"),LEFT(TRIM('MSR RAW'!C251),SEARCH(" - ",TRIM('MSR RAW'!C251))-1),"")</f>
        <v/>
      </c>
      <c r="F251">
        <f>IF(E251="","",TRIM(MID(TRIM('MSR RAW'!C251),SEARCH(" - ",TRIM('MSR RAW'!C251))+3,LEN(TRIM('MSR RAW'!C251))-SEARCH(" - ",TRIM('MSR RAW'!C251))-9)))</f>
        <v/>
      </c>
      <c r="G251">
        <f>IF(E251="","",IFERROR(VLOOKUP(E251,'CATEGORY MAP'!$A$2:$B$20,2,FALSE()),"REVIEW"))</f>
        <v/>
      </c>
      <c r="H251">
        <f>IF(E251="","",IFERROR(VALUE(SUBSTITUTE('MSR RAW'!P251,",","")),0))</f>
        <v/>
      </c>
      <c r="I251">
        <f>IF(E251="","",IFERROR(VALUE(SUBSTITUTE('MSR RAW'!S251,",","")),0))</f>
        <v/>
      </c>
    </row>
    <row r="252" ht="68.65000000000001" customHeight="1" s="126">
      <c r="A252" t="n">
        <v>252</v>
      </c>
      <c r="B252" s="30">
        <f>IF('MSR RAW'!$A$3="","",'MSR RAW'!$A$3)</f>
        <v/>
      </c>
      <c r="C252">
        <f>IF(LEFT(TRIM('MSR RAW'!A252),11)="Department:",TRIM('MSR RAW'!A252),C251)</f>
        <v/>
      </c>
      <c r="D252">
        <f>IF(LEFT(TRIM('MSR RAW'!B252),9)="Location:",TRIM(MID('MSR RAW'!B252,10,999)),D251)</f>
        <v/>
      </c>
      <c r="E252">
        <f>IF(AND(ISNUMBER(SEARCH(" - ",TRIM('MSR RAW'!C252))),RIGHT(TRIM('MSR RAW'!C252),6)="Total:"),LEFT(TRIM('MSR RAW'!C252),SEARCH(" - ",TRIM('MSR RAW'!C252))-1),"")</f>
        <v/>
      </c>
      <c r="F252">
        <f>IF(E252="","",TRIM(MID(TRIM('MSR RAW'!C252),SEARCH(" - ",TRIM('MSR RAW'!C252))+3,LEN(TRIM('MSR RAW'!C252))-SEARCH(" - ",TRIM('MSR RAW'!C252))-9)))</f>
        <v/>
      </c>
      <c r="G252">
        <f>IF(E252="","",IFERROR(VLOOKUP(E252,'CATEGORY MAP'!$A$2:$B$20,2,FALSE()),"REVIEW"))</f>
        <v/>
      </c>
      <c r="H252">
        <f>IF(E252="","",IFERROR(VALUE(SUBSTITUTE('MSR RAW'!P252,",","")),0))</f>
        <v/>
      </c>
      <c r="I252">
        <f>IF(E252="","",IFERROR(VALUE(SUBSTITUTE('MSR RAW'!S252,",","")),0))</f>
        <v/>
      </c>
    </row>
    <row r="253" ht="68.65000000000001" customHeight="1" s="126">
      <c r="A253" t="n">
        <v>253</v>
      </c>
      <c r="B253" s="30">
        <f>IF('MSR RAW'!$A$3="","",'MSR RAW'!$A$3)</f>
        <v/>
      </c>
      <c r="C253">
        <f>IF(LEFT(TRIM('MSR RAW'!A253),11)="Department:",TRIM('MSR RAW'!A253),C252)</f>
        <v/>
      </c>
      <c r="D253">
        <f>IF(LEFT(TRIM('MSR RAW'!B253),9)="Location:",TRIM(MID('MSR RAW'!B253,10,999)),D252)</f>
        <v/>
      </c>
      <c r="E253">
        <f>IF(AND(ISNUMBER(SEARCH(" - ",TRIM('MSR RAW'!C253))),RIGHT(TRIM('MSR RAW'!C253),6)="Total:"),LEFT(TRIM('MSR RAW'!C253),SEARCH(" - ",TRIM('MSR RAW'!C253))-1),"")</f>
        <v/>
      </c>
      <c r="F253">
        <f>IF(E253="","",TRIM(MID(TRIM('MSR RAW'!C253),SEARCH(" - ",TRIM('MSR RAW'!C253))+3,LEN(TRIM('MSR RAW'!C253))-SEARCH(" - ",TRIM('MSR RAW'!C253))-9)))</f>
        <v/>
      </c>
      <c r="G253">
        <f>IF(E253="","",IFERROR(VLOOKUP(E253,'CATEGORY MAP'!$A$2:$B$20,2,FALSE()),"REVIEW"))</f>
        <v/>
      </c>
      <c r="H253">
        <f>IF(E253="","",IFERROR(VALUE(SUBSTITUTE('MSR RAW'!P253,",","")),0))</f>
        <v/>
      </c>
      <c r="I253">
        <f>IF(E253="","",IFERROR(VALUE(SUBSTITUTE('MSR RAW'!S253,",","")),0))</f>
        <v/>
      </c>
    </row>
    <row r="254" ht="68.65000000000001" customHeight="1" s="126">
      <c r="A254" t="n">
        <v>254</v>
      </c>
      <c r="B254" s="30">
        <f>IF('MSR RAW'!$A$3="","",'MSR RAW'!$A$3)</f>
        <v/>
      </c>
      <c r="C254">
        <f>IF(LEFT(TRIM('MSR RAW'!A254),11)="Department:",TRIM('MSR RAW'!A254),C253)</f>
        <v/>
      </c>
      <c r="D254">
        <f>IF(LEFT(TRIM('MSR RAW'!B254),9)="Location:",TRIM(MID('MSR RAW'!B254,10,999)),D253)</f>
        <v/>
      </c>
      <c r="E254">
        <f>IF(AND(ISNUMBER(SEARCH(" - ",TRIM('MSR RAW'!C254))),RIGHT(TRIM('MSR RAW'!C254),6)="Total:"),LEFT(TRIM('MSR RAW'!C254),SEARCH(" - ",TRIM('MSR RAW'!C254))-1),"")</f>
        <v/>
      </c>
      <c r="F254">
        <f>IF(E254="","",TRIM(MID(TRIM('MSR RAW'!C254),SEARCH(" - ",TRIM('MSR RAW'!C254))+3,LEN(TRIM('MSR RAW'!C254))-SEARCH(" - ",TRIM('MSR RAW'!C254))-9)))</f>
        <v/>
      </c>
      <c r="G254">
        <f>IF(E254="","",IFERROR(VLOOKUP(E254,'CATEGORY MAP'!$A$2:$B$20,2,FALSE()),"REVIEW"))</f>
        <v/>
      </c>
      <c r="H254">
        <f>IF(E254="","",IFERROR(VALUE(SUBSTITUTE('MSR RAW'!P254,",","")),0))</f>
        <v/>
      </c>
      <c r="I254">
        <f>IF(E254="","",IFERROR(VALUE(SUBSTITUTE('MSR RAW'!S254,",","")),0))</f>
        <v/>
      </c>
    </row>
    <row r="255" ht="68.65000000000001" customHeight="1" s="126">
      <c r="A255" t="n">
        <v>255</v>
      </c>
      <c r="B255" s="30">
        <f>IF('MSR RAW'!$A$3="","",'MSR RAW'!$A$3)</f>
        <v/>
      </c>
      <c r="C255">
        <f>IF(LEFT(TRIM('MSR RAW'!A255),11)="Department:",TRIM('MSR RAW'!A255),C254)</f>
        <v/>
      </c>
      <c r="D255">
        <f>IF(LEFT(TRIM('MSR RAW'!B255),9)="Location:",TRIM(MID('MSR RAW'!B255,10,999)),D254)</f>
        <v/>
      </c>
      <c r="E255">
        <f>IF(AND(ISNUMBER(SEARCH(" - ",TRIM('MSR RAW'!C255))),RIGHT(TRIM('MSR RAW'!C255),6)="Total:"),LEFT(TRIM('MSR RAW'!C255),SEARCH(" - ",TRIM('MSR RAW'!C255))-1),"")</f>
        <v/>
      </c>
      <c r="F255">
        <f>IF(E255="","",TRIM(MID(TRIM('MSR RAW'!C255),SEARCH(" - ",TRIM('MSR RAW'!C255))+3,LEN(TRIM('MSR RAW'!C255))-SEARCH(" - ",TRIM('MSR RAW'!C255))-9)))</f>
        <v/>
      </c>
      <c r="G255">
        <f>IF(E255="","",IFERROR(VLOOKUP(E255,'CATEGORY MAP'!$A$2:$B$20,2,FALSE()),"REVIEW"))</f>
        <v/>
      </c>
      <c r="H255">
        <f>IF(E255="","",IFERROR(VALUE(SUBSTITUTE('MSR RAW'!P255,",","")),0))</f>
        <v/>
      </c>
      <c r="I255">
        <f>IF(E255="","",IFERROR(VALUE(SUBSTITUTE('MSR RAW'!S255,",","")),0))</f>
        <v/>
      </c>
    </row>
    <row r="256" ht="68.65000000000001" customHeight="1" s="126">
      <c r="A256" t="n">
        <v>256</v>
      </c>
      <c r="B256" s="30">
        <f>IF('MSR RAW'!$A$3="","",'MSR RAW'!$A$3)</f>
        <v/>
      </c>
      <c r="C256">
        <f>IF(LEFT(TRIM('MSR RAW'!A256),11)="Department:",TRIM('MSR RAW'!A256),C255)</f>
        <v/>
      </c>
      <c r="D256">
        <f>IF(LEFT(TRIM('MSR RAW'!B256),9)="Location:",TRIM(MID('MSR RAW'!B256,10,999)),D255)</f>
        <v/>
      </c>
      <c r="E256">
        <f>IF(AND(ISNUMBER(SEARCH(" - ",TRIM('MSR RAW'!C256))),RIGHT(TRIM('MSR RAW'!C256),6)="Total:"),LEFT(TRIM('MSR RAW'!C256),SEARCH(" - ",TRIM('MSR RAW'!C256))-1),"")</f>
        <v/>
      </c>
      <c r="F256">
        <f>IF(E256="","",TRIM(MID(TRIM('MSR RAW'!C256),SEARCH(" - ",TRIM('MSR RAW'!C256))+3,LEN(TRIM('MSR RAW'!C256))-SEARCH(" - ",TRIM('MSR RAW'!C256))-9)))</f>
        <v/>
      </c>
      <c r="G256">
        <f>IF(E256="","",IFERROR(VLOOKUP(E256,'CATEGORY MAP'!$A$2:$B$20,2,FALSE()),"REVIEW"))</f>
        <v/>
      </c>
      <c r="H256">
        <f>IF(E256="","",IFERROR(VALUE(SUBSTITUTE('MSR RAW'!P256,",","")),0))</f>
        <v/>
      </c>
      <c r="I256">
        <f>IF(E256="","",IFERROR(VALUE(SUBSTITUTE('MSR RAW'!S256,",","")),0))</f>
        <v/>
      </c>
    </row>
    <row r="257" ht="68.65000000000001" customHeight="1" s="126">
      <c r="A257" t="n">
        <v>257</v>
      </c>
      <c r="B257" s="30">
        <f>IF('MSR RAW'!$A$3="","",'MSR RAW'!$A$3)</f>
        <v/>
      </c>
      <c r="C257">
        <f>IF(LEFT(TRIM('MSR RAW'!A257),11)="Department:",TRIM('MSR RAW'!A257),C256)</f>
        <v/>
      </c>
      <c r="D257">
        <f>IF(LEFT(TRIM('MSR RAW'!B257),9)="Location:",TRIM(MID('MSR RAW'!B257,10,999)),D256)</f>
        <v/>
      </c>
      <c r="E257">
        <f>IF(AND(ISNUMBER(SEARCH(" - ",TRIM('MSR RAW'!C257))),RIGHT(TRIM('MSR RAW'!C257),6)="Total:"),LEFT(TRIM('MSR RAW'!C257),SEARCH(" - ",TRIM('MSR RAW'!C257))-1),"")</f>
        <v/>
      </c>
      <c r="F257">
        <f>IF(E257="","",TRIM(MID(TRIM('MSR RAW'!C257),SEARCH(" - ",TRIM('MSR RAW'!C257))+3,LEN(TRIM('MSR RAW'!C257))-SEARCH(" - ",TRIM('MSR RAW'!C257))-9)))</f>
        <v/>
      </c>
      <c r="G257">
        <f>IF(E257="","",IFERROR(VLOOKUP(E257,'CATEGORY MAP'!$A$2:$B$20,2,FALSE()),"REVIEW"))</f>
        <v/>
      </c>
      <c r="H257">
        <f>IF(E257="","",IFERROR(VALUE(SUBSTITUTE('MSR RAW'!P257,",","")),0))</f>
        <v/>
      </c>
      <c r="I257">
        <f>IF(E257="","",IFERROR(VALUE(SUBSTITUTE('MSR RAW'!S257,",","")),0))</f>
        <v/>
      </c>
    </row>
    <row r="258" ht="68.65000000000001" customHeight="1" s="126">
      <c r="A258" t="n">
        <v>258</v>
      </c>
      <c r="B258" s="30">
        <f>IF('MSR RAW'!$A$3="","",'MSR RAW'!$A$3)</f>
        <v/>
      </c>
      <c r="C258">
        <f>IF(LEFT(TRIM('MSR RAW'!A258),11)="Department:",TRIM('MSR RAW'!A258),C257)</f>
        <v/>
      </c>
      <c r="D258">
        <f>IF(LEFT(TRIM('MSR RAW'!B258),9)="Location:",TRIM(MID('MSR RAW'!B258,10,999)),D257)</f>
        <v/>
      </c>
      <c r="E258">
        <f>IF(AND(ISNUMBER(SEARCH(" - ",TRIM('MSR RAW'!C258))),RIGHT(TRIM('MSR RAW'!C258),6)="Total:"),LEFT(TRIM('MSR RAW'!C258),SEARCH(" - ",TRIM('MSR RAW'!C258))-1),"")</f>
        <v/>
      </c>
      <c r="F258">
        <f>IF(E258="","",TRIM(MID(TRIM('MSR RAW'!C258),SEARCH(" - ",TRIM('MSR RAW'!C258))+3,LEN(TRIM('MSR RAW'!C258))-SEARCH(" - ",TRIM('MSR RAW'!C258))-9)))</f>
        <v/>
      </c>
      <c r="G258">
        <f>IF(E258="","",IFERROR(VLOOKUP(E258,'CATEGORY MAP'!$A$2:$B$20,2,FALSE()),"REVIEW"))</f>
        <v/>
      </c>
      <c r="H258">
        <f>IF(E258="","",IFERROR(VALUE(SUBSTITUTE('MSR RAW'!P258,",","")),0))</f>
        <v/>
      </c>
      <c r="I258">
        <f>IF(E258="","",IFERROR(VALUE(SUBSTITUTE('MSR RAW'!S258,",","")),0))</f>
        <v/>
      </c>
    </row>
    <row r="259" ht="68.65000000000001" customHeight="1" s="126">
      <c r="A259" t="n">
        <v>259</v>
      </c>
      <c r="B259" s="30">
        <f>IF('MSR RAW'!$A$3="","",'MSR RAW'!$A$3)</f>
        <v/>
      </c>
      <c r="C259">
        <f>IF(LEFT(TRIM('MSR RAW'!A259),11)="Department:",TRIM('MSR RAW'!A259),C258)</f>
        <v/>
      </c>
      <c r="D259">
        <f>IF(LEFT(TRIM('MSR RAW'!B259),9)="Location:",TRIM(MID('MSR RAW'!B259,10,999)),D258)</f>
        <v/>
      </c>
      <c r="E259">
        <f>IF(AND(ISNUMBER(SEARCH(" - ",TRIM('MSR RAW'!C259))),RIGHT(TRIM('MSR RAW'!C259),6)="Total:"),LEFT(TRIM('MSR RAW'!C259),SEARCH(" - ",TRIM('MSR RAW'!C259))-1),"")</f>
        <v/>
      </c>
      <c r="F259">
        <f>IF(E259="","",TRIM(MID(TRIM('MSR RAW'!C259),SEARCH(" - ",TRIM('MSR RAW'!C259))+3,LEN(TRIM('MSR RAW'!C259))-SEARCH(" - ",TRIM('MSR RAW'!C259))-9)))</f>
        <v/>
      </c>
      <c r="G259">
        <f>IF(E259="","",IFERROR(VLOOKUP(E259,'CATEGORY MAP'!$A$2:$B$20,2,FALSE()),"REVIEW"))</f>
        <v/>
      </c>
      <c r="H259">
        <f>IF(E259="","",IFERROR(VALUE(SUBSTITUTE('MSR RAW'!P259,",","")),0))</f>
        <v/>
      </c>
      <c r="I259">
        <f>IF(E259="","",IFERROR(VALUE(SUBSTITUTE('MSR RAW'!S259,",","")),0))</f>
        <v/>
      </c>
    </row>
    <row r="260" ht="68.65000000000001" customHeight="1" s="126">
      <c r="A260" t="n">
        <v>260</v>
      </c>
      <c r="B260" s="30">
        <f>IF('MSR RAW'!$A$3="","",'MSR RAW'!$A$3)</f>
        <v/>
      </c>
      <c r="C260">
        <f>IF(LEFT(TRIM('MSR RAW'!A260),11)="Department:",TRIM('MSR RAW'!A260),C259)</f>
        <v/>
      </c>
      <c r="D260">
        <f>IF(LEFT(TRIM('MSR RAW'!B260),9)="Location:",TRIM(MID('MSR RAW'!B260,10,999)),D259)</f>
        <v/>
      </c>
      <c r="E260">
        <f>IF(AND(ISNUMBER(SEARCH(" - ",TRIM('MSR RAW'!C260))),RIGHT(TRIM('MSR RAW'!C260),6)="Total:"),LEFT(TRIM('MSR RAW'!C260),SEARCH(" - ",TRIM('MSR RAW'!C260))-1),"")</f>
        <v/>
      </c>
      <c r="F260">
        <f>IF(E260="","",TRIM(MID(TRIM('MSR RAW'!C260),SEARCH(" - ",TRIM('MSR RAW'!C260))+3,LEN(TRIM('MSR RAW'!C260))-SEARCH(" - ",TRIM('MSR RAW'!C260))-9)))</f>
        <v/>
      </c>
      <c r="G260">
        <f>IF(E260="","",IFERROR(VLOOKUP(E260,'CATEGORY MAP'!$A$2:$B$20,2,FALSE()),"REVIEW"))</f>
        <v/>
      </c>
      <c r="H260">
        <f>IF(E260="","",IFERROR(VALUE(SUBSTITUTE('MSR RAW'!P260,",","")),0))</f>
        <v/>
      </c>
      <c r="I260">
        <f>IF(E260="","",IFERROR(VALUE(SUBSTITUTE('MSR RAW'!S260,",","")),0))</f>
        <v/>
      </c>
    </row>
    <row r="261" ht="68.65000000000001" customHeight="1" s="126">
      <c r="A261" t="n">
        <v>261</v>
      </c>
      <c r="B261" s="30">
        <f>IF('MSR RAW'!$A$3="","",'MSR RAW'!$A$3)</f>
        <v/>
      </c>
      <c r="C261">
        <f>IF(LEFT(TRIM('MSR RAW'!A261),11)="Department:",TRIM('MSR RAW'!A261),C260)</f>
        <v/>
      </c>
      <c r="D261">
        <f>IF(LEFT(TRIM('MSR RAW'!B261),9)="Location:",TRIM(MID('MSR RAW'!B261,10,999)),D260)</f>
        <v/>
      </c>
      <c r="E261">
        <f>IF(AND(ISNUMBER(SEARCH(" - ",TRIM('MSR RAW'!C261))),RIGHT(TRIM('MSR RAW'!C261),6)="Total:"),LEFT(TRIM('MSR RAW'!C261),SEARCH(" - ",TRIM('MSR RAW'!C261))-1),"")</f>
        <v/>
      </c>
      <c r="F261">
        <f>IF(E261="","",TRIM(MID(TRIM('MSR RAW'!C261),SEARCH(" - ",TRIM('MSR RAW'!C261))+3,LEN(TRIM('MSR RAW'!C261))-SEARCH(" - ",TRIM('MSR RAW'!C261))-9)))</f>
        <v/>
      </c>
      <c r="G261">
        <f>IF(E261="","",IFERROR(VLOOKUP(E261,'CATEGORY MAP'!$A$2:$B$20,2,FALSE()),"REVIEW"))</f>
        <v/>
      </c>
      <c r="H261">
        <f>IF(E261="","",IFERROR(VALUE(SUBSTITUTE('MSR RAW'!P261,",","")),0))</f>
        <v/>
      </c>
      <c r="I261">
        <f>IF(E261="","",IFERROR(VALUE(SUBSTITUTE('MSR RAW'!S261,",","")),0))</f>
        <v/>
      </c>
    </row>
    <row r="262" ht="68.65000000000001" customHeight="1" s="126">
      <c r="A262" t="n">
        <v>262</v>
      </c>
      <c r="B262" s="30">
        <f>IF('MSR RAW'!$A$3="","",'MSR RAW'!$A$3)</f>
        <v/>
      </c>
      <c r="C262">
        <f>IF(LEFT(TRIM('MSR RAW'!A262),11)="Department:",TRIM('MSR RAW'!A262),C261)</f>
        <v/>
      </c>
      <c r="D262">
        <f>IF(LEFT(TRIM('MSR RAW'!B262),9)="Location:",TRIM(MID('MSR RAW'!B262,10,999)),D261)</f>
        <v/>
      </c>
      <c r="E262">
        <f>IF(AND(ISNUMBER(SEARCH(" - ",TRIM('MSR RAW'!C262))),RIGHT(TRIM('MSR RAW'!C262),6)="Total:"),LEFT(TRIM('MSR RAW'!C262),SEARCH(" - ",TRIM('MSR RAW'!C262))-1),"")</f>
        <v/>
      </c>
      <c r="F262">
        <f>IF(E262="","",TRIM(MID(TRIM('MSR RAW'!C262),SEARCH(" - ",TRIM('MSR RAW'!C262))+3,LEN(TRIM('MSR RAW'!C262))-SEARCH(" - ",TRIM('MSR RAW'!C262))-9)))</f>
        <v/>
      </c>
      <c r="G262">
        <f>IF(E262="","",IFERROR(VLOOKUP(E262,'CATEGORY MAP'!$A$2:$B$20,2,FALSE()),"REVIEW"))</f>
        <v/>
      </c>
      <c r="H262">
        <f>IF(E262="","",IFERROR(VALUE(SUBSTITUTE('MSR RAW'!P262,",","")),0))</f>
        <v/>
      </c>
      <c r="I262">
        <f>IF(E262="","",IFERROR(VALUE(SUBSTITUTE('MSR RAW'!S262,",","")),0))</f>
        <v/>
      </c>
    </row>
    <row r="263" ht="68.65000000000001" customHeight="1" s="126">
      <c r="A263" t="n">
        <v>263</v>
      </c>
      <c r="B263" s="30">
        <f>IF('MSR RAW'!$A$3="","",'MSR RAW'!$A$3)</f>
        <v/>
      </c>
      <c r="C263">
        <f>IF(LEFT(TRIM('MSR RAW'!A263),11)="Department:",TRIM('MSR RAW'!A263),C262)</f>
        <v/>
      </c>
      <c r="D263">
        <f>IF(LEFT(TRIM('MSR RAW'!B263),9)="Location:",TRIM(MID('MSR RAW'!B263,10,999)),D262)</f>
        <v/>
      </c>
      <c r="E263">
        <f>IF(AND(ISNUMBER(SEARCH(" - ",TRIM('MSR RAW'!C263))),RIGHT(TRIM('MSR RAW'!C263),6)="Total:"),LEFT(TRIM('MSR RAW'!C263),SEARCH(" - ",TRIM('MSR RAW'!C263))-1),"")</f>
        <v/>
      </c>
      <c r="F263">
        <f>IF(E263="","",TRIM(MID(TRIM('MSR RAW'!C263),SEARCH(" - ",TRIM('MSR RAW'!C263))+3,LEN(TRIM('MSR RAW'!C263))-SEARCH(" - ",TRIM('MSR RAW'!C263))-9)))</f>
        <v/>
      </c>
      <c r="G263">
        <f>IF(E263="","",IFERROR(VLOOKUP(E263,'CATEGORY MAP'!$A$2:$B$20,2,FALSE()),"REVIEW"))</f>
        <v/>
      </c>
      <c r="H263">
        <f>IF(E263="","",IFERROR(VALUE(SUBSTITUTE('MSR RAW'!P263,",","")),0))</f>
        <v/>
      </c>
      <c r="I263">
        <f>IF(E263="","",IFERROR(VALUE(SUBSTITUTE('MSR RAW'!S263,",","")),0))</f>
        <v/>
      </c>
    </row>
    <row r="264" ht="68.65000000000001" customHeight="1" s="126">
      <c r="A264" t="n">
        <v>264</v>
      </c>
      <c r="B264" s="30">
        <f>IF('MSR RAW'!$A$3="","",'MSR RAW'!$A$3)</f>
        <v/>
      </c>
      <c r="C264">
        <f>IF(LEFT(TRIM('MSR RAW'!A264),11)="Department:",TRIM('MSR RAW'!A264),C263)</f>
        <v/>
      </c>
      <c r="D264">
        <f>IF(LEFT(TRIM('MSR RAW'!B264),9)="Location:",TRIM(MID('MSR RAW'!B264,10,999)),D263)</f>
        <v/>
      </c>
      <c r="E264">
        <f>IF(AND(ISNUMBER(SEARCH(" - ",TRIM('MSR RAW'!C264))),RIGHT(TRIM('MSR RAW'!C264),6)="Total:"),LEFT(TRIM('MSR RAW'!C264),SEARCH(" - ",TRIM('MSR RAW'!C264))-1),"")</f>
        <v/>
      </c>
      <c r="F264">
        <f>IF(E264="","",TRIM(MID(TRIM('MSR RAW'!C264),SEARCH(" - ",TRIM('MSR RAW'!C264))+3,LEN(TRIM('MSR RAW'!C264))-SEARCH(" - ",TRIM('MSR RAW'!C264))-9)))</f>
        <v/>
      </c>
      <c r="G264">
        <f>IF(E264="","",IFERROR(VLOOKUP(E264,'CATEGORY MAP'!$A$2:$B$20,2,FALSE()),"REVIEW"))</f>
        <v/>
      </c>
      <c r="H264">
        <f>IF(E264="","",IFERROR(VALUE(SUBSTITUTE('MSR RAW'!P264,",","")),0))</f>
        <v/>
      </c>
      <c r="I264">
        <f>IF(E264="","",IFERROR(VALUE(SUBSTITUTE('MSR RAW'!S264,",","")),0))</f>
        <v/>
      </c>
    </row>
    <row r="265" ht="68.65000000000001" customHeight="1" s="126">
      <c r="A265" t="n">
        <v>265</v>
      </c>
      <c r="B265" s="30">
        <f>IF('MSR RAW'!$A$3="","",'MSR RAW'!$A$3)</f>
        <v/>
      </c>
      <c r="C265">
        <f>IF(LEFT(TRIM('MSR RAW'!A265),11)="Department:",TRIM('MSR RAW'!A265),C264)</f>
        <v/>
      </c>
      <c r="D265">
        <f>IF(LEFT(TRIM('MSR RAW'!B265),9)="Location:",TRIM(MID('MSR RAW'!B265,10,999)),D264)</f>
        <v/>
      </c>
      <c r="E265">
        <f>IF(AND(ISNUMBER(SEARCH(" - ",TRIM('MSR RAW'!C265))),RIGHT(TRIM('MSR RAW'!C265),6)="Total:"),LEFT(TRIM('MSR RAW'!C265),SEARCH(" - ",TRIM('MSR RAW'!C265))-1),"")</f>
        <v/>
      </c>
      <c r="F265">
        <f>IF(E265="","",TRIM(MID(TRIM('MSR RAW'!C265),SEARCH(" - ",TRIM('MSR RAW'!C265))+3,LEN(TRIM('MSR RAW'!C265))-SEARCH(" - ",TRIM('MSR RAW'!C265))-9)))</f>
        <v/>
      </c>
      <c r="G265">
        <f>IF(E265="","",IFERROR(VLOOKUP(E265,'CATEGORY MAP'!$A$2:$B$20,2,FALSE()),"REVIEW"))</f>
        <v/>
      </c>
      <c r="H265">
        <f>IF(E265="","",IFERROR(VALUE(SUBSTITUTE('MSR RAW'!P265,",","")),0))</f>
        <v/>
      </c>
      <c r="I265">
        <f>IF(E265="","",IFERROR(VALUE(SUBSTITUTE('MSR RAW'!S265,",","")),0))</f>
        <v/>
      </c>
    </row>
    <row r="266" ht="68.65000000000001" customHeight="1" s="126">
      <c r="A266" t="n">
        <v>266</v>
      </c>
      <c r="B266" s="30">
        <f>IF('MSR RAW'!$A$3="","",'MSR RAW'!$A$3)</f>
        <v/>
      </c>
      <c r="C266">
        <f>IF(LEFT(TRIM('MSR RAW'!A266),11)="Department:",TRIM('MSR RAW'!A266),C265)</f>
        <v/>
      </c>
      <c r="D266">
        <f>IF(LEFT(TRIM('MSR RAW'!B266),9)="Location:",TRIM(MID('MSR RAW'!B266,10,999)),D265)</f>
        <v/>
      </c>
      <c r="E266">
        <f>IF(AND(ISNUMBER(SEARCH(" - ",TRIM('MSR RAW'!C266))),RIGHT(TRIM('MSR RAW'!C266),6)="Total:"),LEFT(TRIM('MSR RAW'!C266),SEARCH(" - ",TRIM('MSR RAW'!C266))-1),"")</f>
        <v/>
      </c>
      <c r="F266">
        <f>IF(E266="","",TRIM(MID(TRIM('MSR RAW'!C266),SEARCH(" - ",TRIM('MSR RAW'!C266))+3,LEN(TRIM('MSR RAW'!C266))-SEARCH(" - ",TRIM('MSR RAW'!C266))-9)))</f>
        <v/>
      </c>
      <c r="G266">
        <f>IF(E266="","",IFERROR(VLOOKUP(E266,'CATEGORY MAP'!$A$2:$B$20,2,FALSE()),"REVIEW"))</f>
        <v/>
      </c>
      <c r="H266">
        <f>IF(E266="","",IFERROR(VALUE(SUBSTITUTE('MSR RAW'!P266,",","")),0))</f>
        <v/>
      </c>
      <c r="I266">
        <f>IF(E266="","",IFERROR(VALUE(SUBSTITUTE('MSR RAW'!S266,",","")),0))</f>
        <v/>
      </c>
    </row>
    <row r="267" ht="68.65000000000001" customHeight="1" s="126">
      <c r="A267" t="n">
        <v>267</v>
      </c>
      <c r="B267" s="30">
        <f>IF('MSR RAW'!$A$3="","",'MSR RAW'!$A$3)</f>
        <v/>
      </c>
      <c r="C267">
        <f>IF(LEFT(TRIM('MSR RAW'!A267),11)="Department:",TRIM('MSR RAW'!A267),C266)</f>
        <v/>
      </c>
      <c r="D267">
        <f>IF(LEFT(TRIM('MSR RAW'!B267),9)="Location:",TRIM(MID('MSR RAW'!B267,10,999)),D266)</f>
        <v/>
      </c>
      <c r="E267">
        <f>IF(AND(ISNUMBER(SEARCH(" - ",TRIM('MSR RAW'!C267))),RIGHT(TRIM('MSR RAW'!C267),6)="Total:"),LEFT(TRIM('MSR RAW'!C267),SEARCH(" - ",TRIM('MSR RAW'!C267))-1),"")</f>
        <v/>
      </c>
      <c r="F267">
        <f>IF(E267="","",TRIM(MID(TRIM('MSR RAW'!C267),SEARCH(" - ",TRIM('MSR RAW'!C267))+3,LEN(TRIM('MSR RAW'!C267))-SEARCH(" - ",TRIM('MSR RAW'!C267))-9)))</f>
        <v/>
      </c>
      <c r="G267">
        <f>IF(E267="","",IFERROR(VLOOKUP(E267,'CATEGORY MAP'!$A$2:$B$20,2,FALSE()),"REVIEW"))</f>
        <v/>
      </c>
      <c r="H267">
        <f>IF(E267="","",IFERROR(VALUE(SUBSTITUTE('MSR RAW'!P267,",","")),0))</f>
        <v/>
      </c>
      <c r="I267">
        <f>IF(E267="","",IFERROR(VALUE(SUBSTITUTE('MSR RAW'!S267,",","")),0))</f>
        <v/>
      </c>
    </row>
    <row r="268" ht="68.65000000000001" customHeight="1" s="126">
      <c r="A268" t="n">
        <v>268</v>
      </c>
      <c r="B268" s="30">
        <f>IF('MSR RAW'!$A$3="","",'MSR RAW'!$A$3)</f>
        <v/>
      </c>
      <c r="C268">
        <f>IF(LEFT(TRIM('MSR RAW'!A268),11)="Department:",TRIM('MSR RAW'!A268),C267)</f>
        <v/>
      </c>
      <c r="D268">
        <f>IF(LEFT(TRIM('MSR RAW'!B268),9)="Location:",TRIM(MID('MSR RAW'!B268,10,999)),D267)</f>
        <v/>
      </c>
      <c r="E268">
        <f>IF(AND(ISNUMBER(SEARCH(" - ",TRIM('MSR RAW'!C268))),RIGHT(TRIM('MSR RAW'!C268),6)="Total:"),LEFT(TRIM('MSR RAW'!C268),SEARCH(" - ",TRIM('MSR RAW'!C268))-1),"")</f>
        <v/>
      </c>
      <c r="F268">
        <f>IF(E268="","",TRIM(MID(TRIM('MSR RAW'!C268),SEARCH(" - ",TRIM('MSR RAW'!C268))+3,LEN(TRIM('MSR RAW'!C268))-SEARCH(" - ",TRIM('MSR RAW'!C268))-9)))</f>
        <v/>
      </c>
      <c r="G268">
        <f>IF(E268="","",IFERROR(VLOOKUP(E268,'CATEGORY MAP'!$A$2:$B$20,2,FALSE()),"REVIEW"))</f>
        <v/>
      </c>
      <c r="H268">
        <f>IF(E268="","",IFERROR(VALUE(SUBSTITUTE('MSR RAW'!P268,",","")),0))</f>
        <v/>
      </c>
      <c r="I268">
        <f>IF(E268="","",IFERROR(VALUE(SUBSTITUTE('MSR RAW'!S268,",","")),0))</f>
        <v/>
      </c>
    </row>
    <row r="269" ht="68.65000000000001" customHeight="1" s="126">
      <c r="A269" t="n">
        <v>269</v>
      </c>
      <c r="B269" s="30">
        <f>IF('MSR RAW'!$A$3="","",'MSR RAW'!$A$3)</f>
        <v/>
      </c>
      <c r="C269">
        <f>IF(LEFT(TRIM('MSR RAW'!A269),11)="Department:",TRIM('MSR RAW'!A269),C268)</f>
        <v/>
      </c>
      <c r="D269">
        <f>IF(LEFT(TRIM('MSR RAW'!B269),9)="Location:",TRIM(MID('MSR RAW'!B269,10,999)),D268)</f>
        <v/>
      </c>
      <c r="E269">
        <f>IF(AND(ISNUMBER(SEARCH(" - ",TRIM('MSR RAW'!C269))),RIGHT(TRIM('MSR RAW'!C269),6)="Total:"),LEFT(TRIM('MSR RAW'!C269),SEARCH(" - ",TRIM('MSR RAW'!C269))-1),"")</f>
        <v/>
      </c>
      <c r="F269">
        <f>IF(E269="","",TRIM(MID(TRIM('MSR RAW'!C269),SEARCH(" - ",TRIM('MSR RAW'!C269))+3,LEN(TRIM('MSR RAW'!C269))-SEARCH(" - ",TRIM('MSR RAW'!C269))-9)))</f>
        <v/>
      </c>
      <c r="G269">
        <f>IF(E269="","",IFERROR(VLOOKUP(E269,'CATEGORY MAP'!$A$2:$B$20,2,FALSE()),"REVIEW"))</f>
        <v/>
      </c>
      <c r="H269">
        <f>IF(E269="","",IFERROR(VALUE(SUBSTITUTE('MSR RAW'!P269,",","")),0))</f>
        <v/>
      </c>
      <c r="I269">
        <f>IF(E269="","",IFERROR(VALUE(SUBSTITUTE('MSR RAW'!S269,",","")),0))</f>
        <v/>
      </c>
    </row>
    <row r="270" ht="68.65000000000001" customHeight="1" s="126">
      <c r="A270" t="n">
        <v>270</v>
      </c>
      <c r="B270" s="30">
        <f>IF('MSR RAW'!$A$3="","",'MSR RAW'!$A$3)</f>
        <v/>
      </c>
      <c r="C270">
        <f>IF(LEFT(TRIM('MSR RAW'!A270),11)="Department:",TRIM('MSR RAW'!A270),C269)</f>
        <v/>
      </c>
      <c r="D270">
        <f>IF(LEFT(TRIM('MSR RAW'!B270),9)="Location:",TRIM(MID('MSR RAW'!B270,10,999)),D269)</f>
        <v/>
      </c>
      <c r="E270">
        <f>IF(AND(ISNUMBER(SEARCH(" - ",TRIM('MSR RAW'!C270))),RIGHT(TRIM('MSR RAW'!C270),6)="Total:"),LEFT(TRIM('MSR RAW'!C270),SEARCH(" - ",TRIM('MSR RAW'!C270))-1),"")</f>
        <v/>
      </c>
      <c r="F270">
        <f>IF(E270="","",TRIM(MID(TRIM('MSR RAW'!C270),SEARCH(" - ",TRIM('MSR RAW'!C270))+3,LEN(TRIM('MSR RAW'!C270))-SEARCH(" - ",TRIM('MSR RAW'!C270))-9)))</f>
        <v/>
      </c>
      <c r="G270">
        <f>IF(E270="","",IFERROR(VLOOKUP(E270,'CATEGORY MAP'!$A$2:$B$20,2,FALSE()),"REVIEW"))</f>
        <v/>
      </c>
      <c r="H270">
        <f>IF(E270="","",IFERROR(VALUE(SUBSTITUTE('MSR RAW'!P270,",","")),0))</f>
        <v/>
      </c>
      <c r="I270">
        <f>IF(E270="","",IFERROR(VALUE(SUBSTITUTE('MSR RAW'!S270,",","")),0))</f>
        <v/>
      </c>
    </row>
    <row r="271" ht="68.65000000000001" customHeight="1" s="126">
      <c r="A271" t="n">
        <v>271</v>
      </c>
      <c r="B271" s="30">
        <f>IF('MSR RAW'!$A$3="","",'MSR RAW'!$A$3)</f>
        <v/>
      </c>
      <c r="C271">
        <f>IF(LEFT(TRIM('MSR RAW'!A271),11)="Department:",TRIM('MSR RAW'!A271),C270)</f>
        <v/>
      </c>
      <c r="D271">
        <f>IF(LEFT(TRIM('MSR RAW'!B271),9)="Location:",TRIM(MID('MSR RAW'!B271,10,999)),D270)</f>
        <v/>
      </c>
      <c r="E271">
        <f>IF(AND(ISNUMBER(SEARCH(" - ",TRIM('MSR RAW'!C271))),RIGHT(TRIM('MSR RAW'!C271),6)="Total:"),LEFT(TRIM('MSR RAW'!C271),SEARCH(" - ",TRIM('MSR RAW'!C271))-1),"")</f>
        <v/>
      </c>
      <c r="F271">
        <f>IF(E271="","",TRIM(MID(TRIM('MSR RAW'!C271),SEARCH(" - ",TRIM('MSR RAW'!C271))+3,LEN(TRIM('MSR RAW'!C271))-SEARCH(" - ",TRIM('MSR RAW'!C271))-9)))</f>
        <v/>
      </c>
      <c r="G271">
        <f>IF(E271="","",IFERROR(VLOOKUP(E271,'CATEGORY MAP'!$A$2:$B$20,2,FALSE()),"REVIEW"))</f>
        <v/>
      </c>
      <c r="H271">
        <f>IF(E271="","",IFERROR(VALUE(SUBSTITUTE('MSR RAW'!P271,",","")),0))</f>
        <v/>
      </c>
      <c r="I271">
        <f>IF(E271="","",IFERROR(VALUE(SUBSTITUTE('MSR RAW'!S271,",","")),0))</f>
        <v/>
      </c>
    </row>
    <row r="272" ht="68.65000000000001" customHeight="1" s="126">
      <c r="A272" t="n">
        <v>272</v>
      </c>
      <c r="B272" s="30">
        <f>IF('MSR RAW'!$A$3="","",'MSR RAW'!$A$3)</f>
        <v/>
      </c>
      <c r="C272">
        <f>IF(LEFT(TRIM('MSR RAW'!A272),11)="Department:",TRIM('MSR RAW'!A272),C271)</f>
        <v/>
      </c>
      <c r="D272">
        <f>IF(LEFT(TRIM('MSR RAW'!B272),9)="Location:",TRIM(MID('MSR RAW'!B272,10,999)),D271)</f>
        <v/>
      </c>
      <c r="E272">
        <f>IF(AND(ISNUMBER(SEARCH(" - ",TRIM('MSR RAW'!C272))),RIGHT(TRIM('MSR RAW'!C272),6)="Total:"),LEFT(TRIM('MSR RAW'!C272),SEARCH(" - ",TRIM('MSR RAW'!C272))-1),"")</f>
        <v/>
      </c>
      <c r="F272">
        <f>IF(E272="","",TRIM(MID(TRIM('MSR RAW'!C272),SEARCH(" - ",TRIM('MSR RAW'!C272))+3,LEN(TRIM('MSR RAW'!C272))-SEARCH(" - ",TRIM('MSR RAW'!C272))-9)))</f>
        <v/>
      </c>
      <c r="G272">
        <f>IF(E272="","",IFERROR(VLOOKUP(E272,'CATEGORY MAP'!$A$2:$B$20,2,FALSE()),"REVIEW"))</f>
        <v/>
      </c>
      <c r="H272">
        <f>IF(E272="","",IFERROR(VALUE(SUBSTITUTE('MSR RAW'!P272,",","")),0))</f>
        <v/>
      </c>
      <c r="I272">
        <f>IF(E272="","",IFERROR(VALUE(SUBSTITUTE('MSR RAW'!S272,",","")),0))</f>
        <v/>
      </c>
    </row>
    <row r="273" ht="68.65000000000001" customHeight="1" s="126">
      <c r="A273" t="n">
        <v>273</v>
      </c>
      <c r="B273" s="30">
        <f>IF('MSR RAW'!$A$3="","",'MSR RAW'!$A$3)</f>
        <v/>
      </c>
      <c r="C273">
        <f>IF(LEFT(TRIM('MSR RAW'!A273),11)="Department:",TRIM('MSR RAW'!A273),C272)</f>
        <v/>
      </c>
      <c r="D273">
        <f>IF(LEFT(TRIM('MSR RAW'!B273),9)="Location:",TRIM(MID('MSR RAW'!B273,10,999)),D272)</f>
        <v/>
      </c>
      <c r="E273">
        <f>IF(AND(ISNUMBER(SEARCH(" - ",TRIM('MSR RAW'!C273))),RIGHT(TRIM('MSR RAW'!C273),6)="Total:"),LEFT(TRIM('MSR RAW'!C273),SEARCH(" - ",TRIM('MSR RAW'!C273))-1),"")</f>
        <v/>
      </c>
      <c r="F273">
        <f>IF(E273="","",TRIM(MID(TRIM('MSR RAW'!C273),SEARCH(" - ",TRIM('MSR RAW'!C273))+3,LEN(TRIM('MSR RAW'!C273))-SEARCH(" - ",TRIM('MSR RAW'!C273))-9)))</f>
        <v/>
      </c>
      <c r="G273">
        <f>IF(E273="","",IFERROR(VLOOKUP(E273,'CATEGORY MAP'!$A$2:$B$20,2,FALSE()),"REVIEW"))</f>
        <v/>
      </c>
      <c r="H273">
        <f>IF(E273="","",IFERROR(VALUE(SUBSTITUTE('MSR RAW'!P273,",","")),0))</f>
        <v/>
      </c>
      <c r="I273">
        <f>IF(E273="","",IFERROR(VALUE(SUBSTITUTE('MSR RAW'!S273,",","")),0))</f>
        <v/>
      </c>
    </row>
    <row r="274" ht="68.65000000000001" customHeight="1" s="126">
      <c r="A274" t="n">
        <v>274</v>
      </c>
      <c r="B274" s="30">
        <f>IF('MSR RAW'!$A$3="","",'MSR RAW'!$A$3)</f>
        <v/>
      </c>
      <c r="C274">
        <f>IF(LEFT(TRIM('MSR RAW'!A274),11)="Department:",TRIM('MSR RAW'!A274),C273)</f>
        <v/>
      </c>
      <c r="D274">
        <f>IF(LEFT(TRIM('MSR RAW'!B274),9)="Location:",TRIM(MID('MSR RAW'!B274,10,999)),D273)</f>
        <v/>
      </c>
      <c r="E274">
        <f>IF(AND(ISNUMBER(SEARCH(" - ",TRIM('MSR RAW'!C274))),RIGHT(TRIM('MSR RAW'!C274),6)="Total:"),LEFT(TRIM('MSR RAW'!C274),SEARCH(" - ",TRIM('MSR RAW'!C274))-1),"")</f>
        <v/>
      </c>
      <c r="F274">
        <f>IF(E274="","",TRIM(MID(TRIM('MSR RAW'!C274),SEARCH(" - ",TRIM('MSR RAW'!C274))+3,LEN(TRIM('MSR RAW'!C274))-SEARCH(" - ",TRIM('MSR RAW'!C274))-9)))</f>
        <v/>
      </c>
      <c r="G274">
        <f>IF(E274="","",IFERROR(VLOOKUP(E274,'CATEGORY MAP'!$A$2:$B$20,2,FALSE()),"REVIEW"))</f>
        <v/>
      </c>
      <c r="H274">
        <f>IF(E274="","",IFERROR(VALUE(SUBSTITUTE('MSR RAW'!P274,",","")),0))</f>
        <v/>
      </c>
      <c r="I274">
        <f>IF(E274="","",IFERROR(VALUE(SUBSTITUTE('MSR RAW'!S274,",","")),0))</f>
        <v/>
      </c>
    </row>
    <row r="275" ht="68.65000000000001" customHeight="1" s="126">
      <c r="A275" t="n">
        <v>275</v>
      </c>
      <c r="B275" s="30">
        <f>IF('MSR RAW'!$A$3="","",'MSR RAW'!$A$3)</f>
        <v/>
      </c>
      <c r="C275">
        <f>IF(LEFT(TRIM('MSR RAW'!A275),11)="Department:",TRIM('MSR RAW'!A275),C274)</f>
        <v/>
      </c>
      <c r="D275">
        <f>IF(LEFT(TRIM('MSR RAW'!B275),9)="Location:",TRIM(MID('MSR RAW'!B275,10,999)),D274)</f>
        <v/>
      </c>
      <c r="E275">
        <f>IF(AND(ISNUMBER(SEARCH(" - ",TRIM('MSR RAW'!C275))),RIGHT(TRIM('MSR RAW'!C275),6)="Total:"),LEFT(TRIM('MSR RAW'!C275),SEARCH(" - ",TRIM('MSR RAW'!C275))-1),"")</f>
        <v/>
      </c>
      <c r="F275">
        <f>IF(E275="","",TRIM(MID(TRIM('MSR RAW'!C275),SEARCH(" - ",TRIM('MSR RAW'!C275))+3,LEN(TRIM('MSR RAW'!C275))-SEARCH(" - ",TRIM('MSR RAW'!C275))-9)))</f>
        <v/>
      </c>
      <c r="G275">
        <f>IF(E275="","",IFERROR(VLOOKUP(E275,'CATEGORY MAP'!$A$2:$B$20,2,FALSE()),"REVIEW"))</f>
        <v/>
      </c>
      <c r="H275">
        <f>IF(E275="","",IFERROR(VALUE(SUBSTITUTE('MSR RAW'!P275,",","")),0))</f>
        <v/>
      </c>
      <c r="I275">
        <f>IF(E275="","",IFERROR(VALUE(SUBSTITUTE('MSR RAW'!S275,",","")),0))</f>
        <v/>
      </c>
    </row>
    <row r="276" ht="68.65000000000001" customHeight="1" s="126">
      <c r="A276" t="n">
        <v>276</v>
      </c>
      <c r="B276" s="30">
        <f>IF('MSR RAW'!$A$3="","",'MSR RAW'!$A$3)</f>
        <v/>
      </c>
      <c r="C276">
        <f>IF(LEFT(TRIM('MSR RAW'!A276),11)="Department:",TRIM('MSR RAW'!A276),C275)</f>
        <v/>
      </c>
      <c r="D276">
        <f>IF(LEFT(TRIM('MSR RAW'!B276),9)="Location:",TRIM(MID('MSR RAW'!B276,10,999)),D275)</f>
        <v/>
      </c>
      <c r="E276">
        <f>IF(AND(ISNUMBER(SEARCH(" - ",TRIM('MSR RAW'!C276))),RIGHT(TRIM('MSR RAW'!C276),6)="Total:"),LEFT(TRIM('MSR RAW'!C276),SEARCH(" - ",TRIM('MSR RAW'!C276))-1),"")</f>
        <v/>
      </c>
      <c r="F276">
        <f>IF(E276="","",TRIM(MID(TRIM('MSR RAW'!C276),SEARCH(" - ",TRIM('MSR RAW'!C276))+3,LEN(TRIM('MSR RAW'!C276))-SEARCH(" - ",TRIM('MSR RAW'!C276))-9)))</f>
        <v/>
      </c>
      <c r="G276">
        <f>IF(E276="","",IFERROR(VLOOKUP(E276,'CATEGORY MAP'!$A$2:$B$20,2,FALSE()),"REVIEW"))</f>
        <v/>
      </c>
      <c r="H276">
        <f>IF(E276="","",IFERROR(VALUE(SUBSTITUTE('MSR RAW'!P276,",","")),0))</f>
        <v/>
      </c>
      <c r="I276">
        <f>IF(E276="","",IFERROR(VALUE(SUBSTITUTE('MSR RAW'!S276,",","")),0))</f>
        <v/>
      </c>
    </row>
    <row r="277" ht="68.65000000000001" customHeight="1" s="126">
      <c r="A277" t="n">
        <v>277</v>
      </c>
      <c r="B277" s="30">
        <f>IF('MSR RAW'!$A$3="","",'MSR RAW'!$A$3)</f>
        <v/>
      </c>
      <c r="C277">
        <f>IF(LEFT(TRIM('MSR RAW'!A277),11)="Department:",TRIM('MSR RAW'!A277),C276)</f>
        <v/>
      </c>
      <c r="D277">
        <f>IF(LEFT(TRIM('MSR RAW'!B277),9)="Location:",TRIM(MID('MSR RAW'!B277,10,999)),D276)</f>
        <v/>
      </c>
      <c r="E277">
        <f>IF(AND(ISNUMBER(SEARCH(" - ",TRIM('MSR RAW'!C277))),RIGHT(TRIM('MSR RAW'!C277),6)="Total:"),LEFT(TRIM('MSR RAW'!C277),SEARCH(" - ",TRIM('MSR RAW'!C277))-1),"")</f>
        <v/>
      </c>
      <c r="F277">
        <f>IF(E277="","",TRIM(MID(TRIM('MSR RAW'!C277),SEARCH(" - ",TRIM('MSR RAW'!C277))+3,LEN(TRIM('MSR RAW'!C277))-SEARCH(" - ",TRIM('MSR RAW'!C277))-9)))</f>
        <v/>
      </c>
      <c r="G277">
        <f>IF(E277="","",IFERROR(VLOOKUP(E277,'CATEGORY MAP'!$A$2:$B$20,2,FALSE()),"REVIEW"))</f>
        <v/>
      </c>
      <c r="H277">
        <f>IF(E277="","",IFERROR(VALUE(SUBSTITUTE('MSR RAW'!P277,",","")),0))</f>
        <v/>
      </c>
      <c r="I277">
        <f>IF(E277="","",IFERROR(VALUE(SUBSTITUTE('MSR RAW'!S277,",","")),0))</f>
        <v/>
      </c>
    </row>
    <row r="278" ht="68.65000000000001" customHeight="1" s="126">
      <c r="A278" t="n">
        <v>278</v>
      </c>
      <c r="B278" s="30">
        <f>IF('MSR RAW'!$A$3="","",'MSR RAW'!$A$3)</f>
        <v/>
      </c>
      <c r="C278">
        <f>IF(LEFT(TRIM('MSR RAW'!A278),11)="Department:",TRIM('MSR RAW'!A278),C277)</f>
        <v/>
      </c>
      <c r="D278">
        <f>IF(LEFT(TRIM('MSR RAW'!B278),9)="Location:",TRIM(MID('MSR RAW'!B278,10,999)),D277)</f>
        <v/>
      </c>
      <c r="E278">
        <f>IF(AND(ISNUMBER(SEARCH(" - ",TRIM('MSR RAW'!C278))),RIGHT(TRIM('MSR RAW'!C278),6)="Total:"),LEFT(TRIM('MSR RAW'!C278),SEARCH(" - ",TRIM('MSR RAW'!C278))-1),"")</f>
        <v/>
      </c>
      <c r="F278">
        <f>IF(E278="","",TRIM(MID(TRIM('MSR RAW'!C278),SEARCH(" - ",TRIM('MSR RAW'!C278))+3,LEN(TRIM('MSR RAW'!C278))-SEARCH(" - ",TRIM('MSR RAW'!C278))-9)))</f>
        <v/>
      </c>
      <c r="G278">
        <f>IF(E278="","",IFERROR(VLOOKUP(E278,'CATEGORY MAP'!$A$2:$B$20,2,FALSE()),"REVIEW"))</f>
        <v/>
      </c>
      <c r="H278">
        <f>IF(E278="","",IFERROR(VALUE(SUBSTITUTE('MSR RAW'!P278,",","")),0))</f>
        <v/>
      </c>
      <c r="I278">
        <f>IF(E278="","",IFERROR(VALUE(SUBSTITUTE('MSR RAW'!S278,",","")),0))</f>
        <v/>
      </c>
    </row>
    <row r="279" ht="68.65000000000001" customHeight="1" s="126">
      <c r="A279" t="n">
        <v>279</v>
      </c>
      <c r="B279" s="30">
        <f>IF('MSR RAW'!$A$3="","",'MSR RAW'!$A$3)</f>
        <v/>
      </c>
      <c r="C279">
        <f>IF(LEFT(TRIM('MSR RAW'!A279),11)="Department:",TRIM('MSR RAW'!A279),C278)</f>
        <v/>
      </c>
      <c r="D279">
        <f>IF(LEFT(TRIM('MSR RAW'!B279),9)="Location:",TRIM(MID('MSR RAW'!B279,10,999)),D278)</f>
        <v/>
      </c>
      <c r="E279">
        <f>IF(AND(ISNUMBER(SEARCH(" - ",TRIM('MSR RAW'!C279))),RIGHT(TRIM('MSR RAW'!C279),6)="Total:"),LEFT(TRIM('MSR RAW'!C279),SEARCH(" - ",TRIM('MSR RAW'!C279))-1),"")</f>
        <v/>
      </c>
      <c r="F279">
        <f>IF(E279="","",TRIM(MID(TRIM('MSR RAW'!C279),SEARCH(" - ",TRIM('MSR RAW'!C279))+3,LEN(TRIM('MSR RAW'!C279))-SEARCH(" - ",TRIM('MSR RAW'!C279))-9)))</f>
        <v/>
      </c>
      <c r="G279">
        <f>IF(E279="","",IFERROR(VLOOKUP(E279,'CATEGORY MAP'!$A$2:$B$20,2,FALSE()),"REVIEW"))</f>
        <v/>
      </c>
      <c r="H279">
        <f>IF(E279="","",IFERROR(VALUE(SUBSTITUTE('MSR RAW'!P279,",","")),0))</f>
        <v/>
      </c>
      <c r="I279">
        <f>IF(E279="","",IFERROR(VALUE(SUBSTITUTE('MSR RAW'!S279,",","")),0))</f>
        <v/>
      </c>
    </row>
    <row r="280" ht="68.65000000000001" customHeight="1" s="126">
      <c r="A280" t="n">
        <v>280</v>
      </c>
      <c r="B280" s="30">
        <f>IF('MSR RAW'!$A$3="","",'MSR RAW'!$A$3)</f>
        <v/>
      </c>
      <c r="C280">
        <f>IF(LEFT(TRIM('MSR RAW'!A280),11)="Department:",TRIM('MSR RAW'!A280),C279)</f>
        <v/>
      </c>
      <c r="D280">
        <f>IF(LEFT(TRIM('MSR RAW'!B280),9)="Location:",TRIM(MID('MSR RAW'!B280,10,999)),D279)</f>
        <v/>
      </c>
      <c r="E280">
        <f>IF(AND(ISNUMBER(SEARCH(" - ",TRIM('MSR RAW'!C280))),RIGHT(TRIM('MSR RAW'!C280),6)="Total:"),LEFT(TRIM('MSR RAW'!C280),SEARCH(" - ",TRIM('MSR RAW'!C280))-1),"")</f>
        <v/>
      </c>
      <c r="F280">
        <f>IF(E280="","",TRIM(MID(TRIM('MSR RAW'!C280),SEARCH(" - ",TRIM('MSR RAW'!C280))+3,LEN(TRIM('MSR RAW'!C280))-SEARCH(" - ",TRIM('MSR RAW'!C280))-9)))</f>
        <v/>
      </c>
      <c r="G280">
        <f>IF(E280="","",IFERROR(VLOOKUP(E280,'CATEGORY MAP'!$A$2:$B$20,2,FALSE()),"REVIEW"))</f>
        <v/>
      </c>
      <c r="H280">
        <f>IF(E280="","",IFERROR(VALUE(SUBSTITUTE('MSR RAW'!P280,",","")),0))</f>
        <v/>
      </c>
      <c r="I280">
        <f>IF(E280="","",IFERROR(VALUE(SUBSTITUTE('MSR RAW'!S280,",","")),0))</f>
        <v/>
      </c>
    </row>
    <row r="281" ht="68.65000000000001" customHeight="1" s="126">
      <c r="A281" t="n">
        <v>281</v>
      </c>
      <c r="B281" s="30">
        <f>IF('MSR RAW'!$A$3="","",'MSR RAW'!$A$3)</f>
        <v/>
      </c>
      <c r="C281">
        <f>IF(LEFT(TRIM('MSR RAW'!A281),11)="Department:",TRIM('MSR RAW'!A281),C280)</f>
        <v/>
      </c>
      <c r="D281">
        <f>IF(LEFT(TRIM('MSR RAW'!B281),9)="Location:",TRIM(MID('MSR RAW'!B281,10,999)),D280)</f>
        <v/>
      </c>
      <c r="E281">
        <f>IF(AND(ISNUMBER(SEARCH(" - ",TRIM('MSR RAW'!C281))),RIGHT(TRIM('MSR RAW'!C281),6)="Total:"),LEFT(TRIM('MSR RAW'!C281),SEARCH(" - ",TRIM('MSR RAW'!C281))-1),"")</f>
        <v/>
      </c>
      <c r="F281">
        <f>IF(E281="","",TRIM(MID(TRIM('MSR RAW'!C281),SEARCH(" - ",TRIM('MSR RAW'!C281))+3,LEN(TRIM('MSR RAW'!C281))-SEARCH(" - ",TRIM('MSR RAW'!C281))-9)))</f>
        <v/>
      </c>
      <c r="G281">
        <f>IF(E281="","",IFERROR(VLOOKUP(E281,'CATEGORY MAP'!$A$2:$B$20,2,FALSE()),"REVIEW"))</f>
        <v/>
      </c>
      <c r="H281">
        <f>IF(E281="","",IFERROR(VALUE(SUBSTITUTE('MSR RAW'!P281,",","")),0))</f>
        <v/>
      </c>
      <c r="I281">
        <f>IF(E281="","",IFERROR(VALUE(SUBSTITUTE('MSR RAW'!S281,",","")),0))</f>
        <v/>
      </c>
    </row>
    <row r="282" ht="68.65000000000001" customHeight="1" s="126">
      <c r="A282" t="n">
        <v>282</v>
      </c>
      <c r="B282" s="30">
        <f>IF('MSR RAW'!$A$3="","",'MSR RAW'!$A$3)</f>
        <v/>
      </c>
      <c r="C282">
        <f>IF(LEFT(TRIM('MSR RAW'!A282),11)="Department:",TRIM('MSR RAW'!A282),C281)</f>
        <v/>
      </c>
      <c r="D282">
        <f>IF(LEFT(TRIM('MSR RAW'!B282),9)="Location:",TRIM(MID('MSR RAW'!B282,10,999)),D281)</f>
        <v/>
      </c>
      <c r="E282">
        <f>IF(AND(ISNUMBER(SEARCH(" - ",TRIM('MSR RAW'!C282))),RIGHT(TRIM('MSR RAW'!C282),6)="Total:"),LEFT(TRIM('MSR RAW'!C282),SEARCH(" - ",TRIM('MSR RAW'!C282))-1),"")</f>
        <v/>
      </c>
      <c r="F282">
        <f>IF(E282="","",TRIM(MID(TRIM('MSR RAW'!C282),SEARCH(" - ",TRIM('MSR RAW'!C282))+3,LEN(TRIM('MSR RAW'!C282))-SEARCH(" - ",TRIM('MSR RAW'!C282))-9)))</f>
        <v/>
      </c>
      <c r="G282">
        <f>IF(E282="","",IFERROR(VLOOKUP(E282,'CATEGORY MAP'!$A$2:$B$20,2,FALSE()),"REVIEW"))</f>
        <v/>
      </c>
      <c r="H282">
        <f>IF(E282="","",IFERROR(VALUE(SUBSTITUTE('MSR RAW'!P282,",","")),0))</f>
        <v/>
      </c>
      <c r="I282">
        <f>IF(E282="","",IFERROR(VALUE(SUBSTITUTE('MSR RAW'!S282,",","")),0))</f>
        <v/>
      </c>
    </row>
    <row r="283" ht="68.65000000000001" customHeight="1" s="126">
      <c r="A283" t="n">
        <v>283</v>
      </c>
      <c r="B283" s="30">
        <f>IF('MSR RAW'!$A$3="","",'MSR RAW'!$A$3)</f>
        <v/>
      </c>
      <c r="C283">
        <f>IF(LEFT(TRIM('MSR RAW'!A283),11)="Department:",TRIM('MSR RAW'!A283),C282)</f>
        <v/>
      </c>
      <c r="D283">
        <f>IF(LEFT(TRIM('MSR RAW'!B283),9)="Location:",TRIM(MID('MSR RAW'!B283,10,999)),D282)</f>
        <v/>
      </c>
      <c r="E283">
        <f>IF(AND(ISNUMBER(SEARCH(" - ",TRIM('MSR RAW'!C283))),RIGHT(TRIM('MSR RAW'!C283),6)="Total:"),LEFT(TRIM('MSR RAW'!C283),SEARCH(" - ",TRIM('MSR RAW'!C283))-1),"")</f>
        <v/>
      </c>
      <c r="F283">
        <f>IF(E283="","",TRIM(MID(TRIM('MSR RAW'!C283),SEARCH(" - ",TRIM('MSR RAW'!C283))+3,LEN(TRIM('MSR RAW'!C283))-SEARCH(" - ",TRIM('MSR RAW'!C283))-9)))</f>
        <v/>
      </c>
      <c r="G283">
        <f>IF(E283="","",IFERROR(VLOOKUP(E283,'CATEGORY MAP'!$A$2:$B$20,2,FALSE()),"REVIEW"))</f>
        <v/>
      </c>
      <c r="H283">
        <f>IF(E283="","",IFERROR(VALUE(SUBSTITUTE('MSR RAW'!P283,",","")),0))</f>
        <v/>
      </c>
      <c r="I283">
        <f>IF(E283="","",IFERROR(VALUE(SUBSTITUTE('MSR RAW'!S283,",","")),0))</f>
        <v/>
      </c>
    </row>
    <row r="284" ht="68.65000000000001" customHeight="1" s="126">
      <c r="A284" t="n">
        <v>284</v>
      </c>
      <c r="B284" s="30">
        <f>IF('MSR RAW'!$A$3="","",'MSR RAW'!$A$3)</f>
        <v/>
      </c>
      <c r="C284">
        <f>IF(LEFT(TRIM('MSR RAW'!A284),11)="Department:",TRIM('MSR RAW'!A284),C283)</f>
        <v/>
      </c>
      <c r="D284">
        <f>IF(LEFT(TRIM('MSR RAW'!B284),9)="Location:",TRIM(MID('MSR RAW'!B284,10,999)),D283)</f>
        <v/>
      </c>
      <c r="E284">
        <f>IF(AND(ISNUMBER(SEARCH(" - ",TRIM('MSR RAW'!C284))),RIGHT(TRIM('MSR RAW'!C284),6)="Total:"),LEFT(TRIM('MSR RAW'!C284),SEARCH(" - ",TRIM('MSR RAW'!C284))-1),"")</f>
        <v/>
      </c>
      <c r="F284">
        <f>IF(E284="","",TRIM(MID(TRIM('MSR RAW'!C284),SEARCH(" - ",TRIM('MSR RAW'!C284))+3,LEN(TRIM('MSR RAW'!C284))-SEARCH(" - ",TRIM('MSR RAW'!C284))-9)))</f>
        <v/>
      </c>
      <c r="G284">
        <f>IF(E284="","",IFERROR(VLOOKUP(E284,'CATEGORY MAP'!$A$2:$B$20,2,FALSE()),"REVIEW"))</f>
        <v/>
      </c>
      <c r="H284">
        <f>IF(E284="","",IFERROR(VALUE(SUBSTITUTE('MSR RAW'!P284,",","")),0))</f>
        <v/>
      </c>
      <c r="I284">
        <f>IF(E284="","",IFERROR(VALUE(SUBSTITUTE('MSR RAW'!S284,",","")),0))</f>
        <v/>
      </c>
    </row>
    <row r="285" ht="68.65000000000001" customHeight="1" s="126">
      <c r="A285" t="n">
        <v>285</v>
      </c>
      <c r="B285" s="30">
        <f>IF('MSR RAW'!$A$3="","",'MSR RAW'!$A$3)</f>
        <v/>
      </c>
      <c r="C285">
        <f>IF(LEFT(TRIM('MSR RAW'!A285),11)="Department:",TRIM('MSR RAW'!A285),C284)</f>
        <v/>
      </c>
      <c r="D285">
        <f>IF(LEFT(TRIM('MSR RAW'!B285),9)="Location:",TRIM(MID('MSR RAW'!B285,10,999)),D284)</f>
        <v/>
      </c>
      <c r="E285">
        <f>IF(AND(ISNUMBER(SEARCH(" - ",TRIM('MSR RAW'!C285))),RIGHT(TRIM('MSR RAW'!C285),6)="Total:"),LEFT(TRIM('MSR RAW'!C285),SEARCH(" - ",TRIM('MSR RAW'!C285))-1),"")</f>
        <v/>
      </c>
      <c r="F285">
        <f>IF(E285="","",TRIM(MID(TRIM('MSR RAW'!C285),SEARCH(" - ",TRIM('MSR RAW'!C285))+3,LEN(TRIM('MSR RAW'!C285))-SEARCH(" - ",TRIM('MSR RAW'!C285))-9)))</f>
        <v/>
      </c>
      <c r="G285">
        <f>IF(E285="","",IFERROR(VLOOKUP(E285,'CATEGORY MAP'!$A$2:$B$20,2,FALSE()),"REVIEW"))</f>
        <v/>
      </c>
      <c r="H285">
        <f>IF(E285="","",IFERROR(VALUE(SUBSTITUTE('MSR RAW'!P285,",","")),0))</f>
        <v/>
      </c>
      <c r="I285">
        <f>IF(E285="","",IFERROR(VALUE(SUBSTITUTE('MSR RAW'!S285,",","")),0))</f>
        <v/>
      </c>
    </row>
    <row r="286" ht="68.65000000000001" customHeight="1" s="126">
      <c r="A286" t="n">
        <v>286</v>
      </c>
      <c r="B286" s="30">
        <f>IF('MSR RAW'!$A$3="","",'MSR RAW'!$A$3)</f>
        <v/>
      </c>
      <c r="C286">
        <f>IF(LEFT(TRIM('MSR RAW'!A286),11)="Department:",TRIM('MSR RAW'!A286),C285)</f>
        <v/>
      </c>
      <c r="D286">
        <f>IF(LEFT(TRIM('MSR RAW'!B286),9)="Location:",TRIM(MID('MSR RAW'!B286,10,999)),D285)</f>
        <v/>
      </c>
      <c r="E286">
        <f>IF(AND(ISNUMBER(SEARCH(" - ",TRIM('MSR RAW'!C286))),RIGHT(TRIM('MSR RAW'!C286),6)="Total:"),LEFT(TRIM('MSR RAW'!C286),SEARCH(" - ",TRIM('MSR RAW'!C286))-1),"")</f>
        <v/>
      </c>
      <c r="F286">
        <f>IF(E286="","",TRIM(MID(TRIM('MSR RAW'!C286),SEARCH(" - ",TRIM('MSR RAW'!C286))+3,LEN(TRIM('MSR RAW'!C286))-SEARCH(" - ",TRIM('MSR RAW'!C286))-9)))</f>
        <v/>
      </c>
      <c r="G286">
        <f>IF(E286="","",IFERROR(VLOOKUP(E286,'CATEGORY MAP'!$A$2:$B$20,2,FALSE()),"REVIEW"))</f>
        <v/>
      </c>
      <c r="H286">
        <f>IF(E286="","",IFERROR(VALUE(SUBSTITUTE('MSR RAW'!P286,",","")),0))</f>
        <v/>
      </c>
      <c r="I286">
        <f>IF(E286="","",IFERROR(VALUE(SUBSTITUTE('MSR RAW'!S286,",","")),0))</f>
        <v/>
      </c>
    </row>
    <row r="287" ht="68.65000000000001" customHeight="1" s="126">
      <c r="A287" t="n">
        <v>287</v>
      </c>
      <c r="B287" s="30">
        <f>IF('MSR RAW'!$A$3="","",'MSR RAW'!$A$3)</f>
        <v/>
      </c>
      <c r="C287">
        <f>IF(LEFT(TRIM('MSR RAW'!A287),11)="Department:",TRIM('MSR RAW'!A287),C286)</f>
        <v/>
      </c>
      <c r="D287">
        <f>IF(LEFT(TRIM('MSR RAW'!B287),9)="Location:",TRIM(MID('MSR RAW'!B287,10,999)),D286)</f>
        <v/>
      </c>
      <c r="E287">
        <f>IF(AND(ISNUMBER(SEARCH(" - ",TRIM('MSR RAW'!C287))),RIGHT(TRIM('MSR RAW'!C287),6)="Total:"),LEFT(TRIM('MSR RAW'!C287),SEARCH(" - ",TRIM('MSR RAW'!C287))-1),"")</f>
        <v/>
      </c>
      <c r="F287">
        <f>IF(E287="","",TRIM(MID(TRIM('MSR RAW'!C287),SEARCH(" - ",TRIM('MSR RAW'!C287))+3,LEN(TRIM('MSR RAW'!C287))-SEARCH(" - ",TRIM('MSR RAW'!C287))-9)))</f>
        <v/>
      </c>
      <c r="G287">
        <f>IF(E287="","",IFERROR(VLOOKUP(E287,'CATEGORY MAP'!$A$2:$B$20,2,FALSE()),"REVIEW"))</f>
        <v/>
      </c>
      <c r="H287">
        <f>IF(E287="","",IFERROR(VALUE(SUBSTITUTE('MSR RAW'!P287,",","")),0))</f>
        <v/>
      </c>
      <c r="I287">
        <f>IF(E287="","",IFERROR(VALUE(SUBSTITUTE('MSR RAW'!S287,",","")),0))</f>
        <v/>
      </c>
    </row>
    <row r="288" ht="68.65000000000001" customHeight="1" s="126">
      <c r="A288" t="n">
        <v>288</v>
      </c>
      <c r="B288" s="30">
        <f>IF('MSR RAW'!$A$3="","",'MSR RAW'!$A$3)</f>
        <v/>
      </c>
      <c r="C288">
        <f>IF(LEFT(TRIM('MSR RAW'!A288),11)="Department:",TRIM('MSR RAW'!A288),C287)</f>
        <v/>
      </c>
      <c r="D288">
        <f>IF(LEFT(TRIM('MSR RAW'!B288),9)="Location:",TRIM(MID('MSR RAW'!B288,10,999)),D287)</f>
        <v/>
      </c>
      <c r="E288">
        <f>IF(AND(ISNUMBER(SEARCH(" - ",TRIM('MSR RAW'!C288))),RIGHT(TRIM('MSR RAW'!C288),6)="Total:"),LEFT(TRIM('MSR RAW'!C288),SEARCH(" - ",TRIM('MSR RAW'!C288))-1),"")</f>
        <v/>
      </c>
      <c r="F288">
        <f>IF(E288="","",TRIM(MID(TRIM('MSR RAW'!C288),SEARCH(" - ",TRIM('MSR RAW'!C288))+3,LEN(TRIM('MSR RAW'!C288))-SEARCH(" - ",TRIM('MSR RAW'!C288))-9)))</f>
        <v/>
      </c>
      <c r="G288">
        <f>IF(E288="","",IFERROR(VLOOKUP(E288,'CATEGORY MAP'!$A$2:$B$20,2,FALSE()),"REVIEW"))</f>
        <v/>
      </c>
      <c r="H288">
        <f>IF(E288="","",IFERROR(VALUE(SUBSTITUTE('MSR RAW'!P288,",","")),0))</f>
        <v/>
      </c>
      <c r="I288">
        <f>IF(E288="","",IFERROR(VALUE(SUBSTITUTE('MSR RAW'!S288,",","")),0))</f>
        <v/>
      </c>
    </row>
    <row r="289" ht="68.65000000000001" customHeight="1" s="126">
      <c r="A289" t="n">
        <v>289</v>
      </c>
      <c r="B289" s="30">
        <f>IF('MSR RAW'!$A$3="","",'MSR RAW'!$A$3)</f>
        <v/>
      </c>
      <c r="C289">
        <f>IF(LEFT(TRIM('MSR RAW'!A289),11)="Department:",TRIM('MSR RAW'!A289),C288)</f>
        <v/>
      </c>
      <c r="D289">
        <f>IF(LEFT(TRIM('MSR RAW'!B289),9)="Location:",TRIM(MID('MSR RAW'!B289,10,999)),D288)</f>
        <v/>
      </c>
      <c r="E289">
        <f>IF(AND(ISNUMBER(SEARCH(" - ",TRIM('MSR RAW'!C289))),RIGHT(TRIM('MSR RAW'!C289),6)="Total:"),LEFT(TRIM('MSR RAW'!C289),SEARCH(" - ",TRIM('MSR RAW'!C289))-1),"")</f>
        <v/>
      </c>
      <c r="F289">
        <f>IF(E289="","",TRIM(MID(TRIM('MSR RAW'!C289),SEARCH(" - ",TRIM('MSR RAW'!C289))+3,LEN(TRIM('MSR RAW'!C289))-SEARCH(" - ",TRIM('MSR RAW'!C289))-9)))</f>
        <v/>
      </c>
      <c r="G289">
        <f>IF(E289="","",IFERROR(VLOOKUP(E289,'CATEGORY MAP'!$A$2:$B$20,2,FALSE()),"REVIEW"))</f>
        <v/>
      </c>
      <c r="H289">
        <f>IF(E289="","",IFERROR(VALUE(SUBSTITUTE('MSR RAW'!P289,",","")),0))</f>
        <v/>
      </c>
      <c r="I289">
        <f>IF(E289="","",IFERROR(VALUE(SUBSTITUTE('MSR RAW'!S289,",","")),0))</f>
        <v/>
      </c>
    </row>
    <row r="290" ht="68.65000000000001" customHeight="1" s="126">
      <c r="A290" t="n">
        <v>290</v>
      </c>
      <c r="B290" s="30">
        <f>IF('MSR RAW'!$A$3="","",'MSR RAW'!$A$3)</f>
        <v/>
      </c>
      <c r="C290">
        <f>IF(LEFT(TRIM('MSR RAW'!A290),11)="Department:",TRIM('MSR RAW'!A290),C289)</f>
        <v/>
      </c>
      <c r="D290">
        <f>IF(LEFT(TRIM('MSR RAW'!B290),9)="Location:",TRIM(MID('MSR RAW'!B290,10,999)),D289)</f>
        <v/>
      </c>
      <c r="E290">
        <f>IF(AND(ISNUMBER(SEARCH(" - ",TRIM('MSR RAW'!C290))),RIGHT(TRIM('MSR RAW'!C290),6)="Total:"),LEFT(TRIM('MSR RAW'!C290),SEARCH(" - ",TRIM('MSR RAW'!C290))-1),"")</f>
        <v/>
      </c>
      <c r="F290">
        <f>IF(E290="","",TRIM(MID(TRIM('MSR RAW'!C290),SEARCH(" - ",TRIM('MSR RAW'!C290))+3,LEN(TRIM('MSR RAW'!C290))-SEARCH(" - ",TRIM('MSR RAW'!C290))-9)))</f>
        <v/>
      </c>
      <c r="G290">
        <f>IF(E290="","",IFERROR(VLOOKUP(E290,'CATEGORY MAP'!$A$2:$B$20,2,FALSE()),"REVIEW"))</f>
        <v/>
      </c>
      <c r="H290">
        <f>IF(E290="","",IFERROR(VALUE(SUBSTITUTE('MSR RAW'!P290,",","")),0))</f>
        <v/>
      </c>
      <c r="I290">
        <f>IF(E290="","",IFERROR(VALUE(SUBSTITUTE('MSR RAW'!S290,",","")),0))</f>
        <v/>
      </c>
    </row>
    <row r="291" ht="68.65000000000001" customHeight="1" s="126">
      <c r="A291" t="n">
        <v>291</v>
      </c>
      <c r="B291" s="30">
        <f>IF('MSR RAW'!$A$3="","",'MSR RAW'!$A$3)</f>
        <v/>
      </c>
      <c r="C291">
        <f>IF(LEFT(TRIM('MSR RAW'!A291),11)="Department:",TRIM('MSR RAW'!A291),C290)</f>
        <v/>
      </c>
      <c r="D291">
        <f>IF(LEFT(TRIM('MSR RAW'!B291),9)="Location:",TRIM(MID('MSR RAW'!B291,10,999)),D290)</f>
        <v/>
      </c>
      <c r="E291">
        <f>IF(AND(ISNUMBER(SEARCH(" - ",TRIM('MSR RAW'!C291))),RIGHT(TRIM('MSR RAW'!C291),6)="Total:"),LEFT(TRIM('MSR RAW'!C291),SEARCH(" - ",TRIM('MSR RAW'!C291))-1),"")</f>
        <v/>
      </c>
      <c r="F291">
        <f>IF(E291="","",TRIM(MID(TRIM('MSR RAW'!C291),SEARCH(" - ",TRIM('MSR RAW'!C291))+3,LEN(TRIM('MSR RAW'!C291))-SEARCH(" - ",TRIM('MSR RAW'!C291))-9)))</f>
        <v/>
      </c>
      <c r="G291">
        <f>IF(E291="","",IFERROR(VLOOKUP(E291,'CATEGORY MAP'!$A$2:$B$20,2,FALSE()),"REVIEW"))</f>
        <v/>
      </c>
      <c r="H291">
        <f>IF(E291="","",IFERROR(VALUE(SUBSTITUTE('MSR RAW'!P291,",","")),0))</f>
        <v/>
      </c>
      <c r="I291">
        <f>IF(E291="","",IFERROR(VALUE(SUBSTITUTE('MSR RAW'!S291,",","")),0))</f>
        <v/>
      </c>
    </row>
    <row r="292" ht="68.65000000000001" customHeight="1" s="126">
      <c r="A292" t="n">
        <v>292</v>
      </c>
      <c r="B292" s="30">
        <f>IF('MSR RAW'!$A$3="","",'MSR RAW'!$A$3)</f>
        <v/>
      </c>
      <c r="C292">
        <f>IF(LEFT(TRIM('MSR RAW'!A292),11)="Department:",TRIM('MSR RAW'!A292),C291)</f>
        <v/>
      </c>
      <c r="D292">
        <f>IF(LEFT(TRIM('MSR RAW'!B292),9)="Location:",TRIM(MID('MSR RAW'!B292,10,999)),D291)</f>
        <v/>
      </c>
      <c r="E292">
        <f>IF(AND(ISNUMBER(SEARCH(" - ",TRIM('MSR RAW'!C292))),RIGHT(TRIM('MSR RAW'!C292),6)="Total:"),LEFT(TRIM('MSR RAW'!C292),SEARCH(" - ",TRIM('MSR RAW'!C292))-1),"")</f>
        <v/>
      </c>
      <c r="F292">
        <f>IF(E292="","",TRIM(MID(TRIM('MSR RAW'!C292),SEARCH(" - ",TRIM('MSR RAW'!C292))+3,LEN(TRIM('MSR RAW'!C292))-SEARCH(" - ",TRIM('MSR RAW'!C292))-9)))</f>
        <v/>
      </c>
      <c r="G292">
        <f>IF(E292="","",IFERROR(VLOOKUP(E292,'CATEGORY MAP'!$A$2:$B$20,2,FALSE()),"REVIEW"))</f>
        <v/>
      </c>
      <c r="H292">
        <f>IF(E292="","",IFERROR(VALUE(SUBSTITUTE('MSR RAW'!P292,",","")),0))</f>
        <v/>
      </c>
      <c r="I292">
        <f>IF(E292="","",IFERROR(VALUE(SUBSTITUTE('MSR RAW'!S292,",","")),0))</f>
        <v/>
      </c>
    </row>
    <row r="293" ht="68.65000000000001" customHeight="1" s="126">
      <c r="A293" t="n">
        <v>293</v>
      </c>
      <c r="B293" s="30">
        <f>IF('MSR RAW'!$A$3="","",'MSR RAW'!$A$3)</f>
        <v/>
      </c>
      <c r="C293">
        <f>IF(LEFT(TRIM('MSR RAW'!A293),11)="Department:",TRIM('MSR RAW'!A293),C292)</f>
        <v/>
      </c>
      <c r="D293">
        <f>IF(LEFT(TRIM('MSR RAW'!B293),9)="Location:",TRIM(MID('MSR RAW'!B293,10,999)),D292)</f>
        <v/>
      </c>
      <c r="E293">
        <f>IF(AND(ISNUMBER(SEARCH(" - ",TRIM('MSR RAW'!C293))),RIGHT(TRIM('MSR RAW'!C293),6)="Total:"),LEFT(TRIM('MSR RAW'!C293),SEARCH(" - ",TRIM('MSR RAW'!C293))-1),"")</f>
        <v/>
      </c>
      <c r="F293">
        <f>IF(E293="","",TRIM(MID(TRIM('MSR RAW'!C293),SEARCH(" - ",TRIM('MSR RAW'!C293))+3,LEN(TRIM('MSR RAW'!C293))-SEARCH(" - ",TRIM('MSR RAW'!C293))-9)))</f>
        <v/>
      </c>
      <c r="G293">
        <f>IF(E293="","",IFERROR(VLOOKUP(E293,'CATEGORY MAP'!$A$2:$B$20,2,FALSE()),"REVIEW"))</f>
        <v/>
      </c>
      <c r="H293">
        <f>IF(E293="","",IFERROR(VALUE(SUBSTITUTE('MSR RAW'!P293,",","")),0))</f>
        <v/>
      </c>
      <c r="I293">
        <f>IF(E293="","",IFERROR(VALUE(SUBSTITUTE('MSR RAW'!S293,",","")),0))</f>
        <v/>
      </c>
    </row>
    <row r="294" ht="68.65000000000001" customHeight="1" s="126">
      <c r="A294" t="n">
        <v>294</v>
      </c>
      <c r="B294" s="30">
        <f>IF('MSR RAW'!$A$3="","",'MSR RAW'!$A$3)</f>
        <v/>
      </c>
      <c r="C294">
        <f>IF(LEFT(TRIM('MSR RAW'!A294),11)="Department:",TRIM('MSR RAW'!A294),C293)</f>
        <v/>
      </c>
      <c r="D294">
        <f>IF(LEFT(TRIM('MSR RAW'!B294),9)="Location:",TRIM(MID('MSR RAW'!B294,10,999)),D293)</f>
        <v/>
      </c>
      <c r="E294">
        <f>IF(AND(ISNUMBER(SEARCH(" - ",TRIM('MSR RAW'!C294))),RIGHT(TRIM('MSR RAW'!C294),6)="Total:"),LEFT(TRIM('MSR RAW'!C294),SEARCH(" - ",TRIM('MSR RAW'!C294))-1),"")</f>
        <v/>
      </c>
      <c r="F294">
        <f>IF(E294="","",TRIM(MID(TRIM('MSR RAW'!C294),SEARCH(" - ",TRIM('MSR RAW'!C294))+3,LEN(TRIM('MSR RAW'!C294))-SEARCH(" - ",TRIM('MSR RAW'!C294))-9)))</f>
        <v/>
      </c>
      <c r="G294">
        <f>IF(E294="","",IFERROR(VLOOKUP(E294,'CATEGORY MAP'!$A$2:$B$20,2,FALSE()),"REVIEW"))</f>
        <v/>
      </c>
      <c r="H294">
        <f>IF(E294="","",IFERROR(VALUE(SUBSTITUTE('MSR RAW'!P294,",","")),0))</f>
        <v/>
      </c>
      <c r="I294">
        <f>IF(E294="","",IFERROR(VALUE(SUBSTITUTE('MSR RAW'!S294,",","")),0))</f>
        <v/>
      </c>
    </row>
    <row r="295" ht="68.65000000000001" customHeight="1" s="126">
      <c r="A295" t="n">
        <v>295</v>
      </c>
      <c r="B295" s="30">
        <f>IF('MSR RAW'!$A$3="","",'MSR RAW'!$A$3)</f>
        <v/>
      </c>
      <c r="C295">
        <f>IF(LEFT(TRIM('MSR RAW'!A295),11)="Department:",TRIM('MSR RAW'!A295),C294)</f>
        <v/>
      </c>
      <c r="D295">
        <f>IF(LEFT(TRIM('MSR RAW'!B295),9)="Location:",TRIM(MID('MSR RAW'!B295,10,999)),D294)</f>
        <v/>
      </c>
      <c r="E295">
        <f>IF(AND(ISNUMBER(SEARCH(" - ",TRIM('MSR RAW'!C295))),RIGHT(TRIM('MSR RAW'!C295),6)="Total:"),LEFT(TRIM('MSR RAW'!C295),SEARCH(" - ",TRIM('MSR RAW'!C295))-1),"")</f>
        <v/>
      </c>
      <c r="F295">
        <f>IF(E295="","",TRIM(MID(TRIM('MSR RAW'!C295),SEARCH(" - ",TRIM('MSR RAW'!C295))+3,LEN(TRIM('MSR RAW'!C295))-SEARCH(" - ",TRIM('MSR RAW'!C295))-9)))</f>
        <v/>
      </c>
      <c r="G295">
        <f>IF(E295="","",IFERROR(VLOOKUP(E295,'CATEGORY MAP'!$A$2:$B$20,2,FALSE()),"REVIEW"))</f>
        <v/>
      </c>
      <c r="H295">
        <f>IF(E295="","",IFERROR(VALUE(SUBSTITUTE('MSR RAW'!P295,",","")),0))</f>
        <v/>
      </c>
      <c r="I295">
        <f>IF(E295="","",IFERROR(VALUE(SUBSTITUTE('MSR RAW'!S295,",","")),0))</f>
        <v/>
      </c>
    </row>
    <row r="296" ht="68.65000000000001" customHeight="1" s="126">
      <c r="A296" t="n">
        <v>296</v>
      </c>
      <c r="B296" s="30">
        <f>IF('MSR RAW'!$A$3="","",'MSR RAW'!$A$3)</f>
        <v/>
      </c>
      <c r="C296">
        <f>IF(LEFT(TRIM('MSR RAW'!A296),11)="Department:",TRIM('MSR RAW'!A296),C295)</f>
        <v/>
      </c>
      <c r="D296">
        <f>IF(LEFT(TRIM('MSR RAW'!B296),9)="Location:",TRIM(MID('MSR RAW'!B296,10,999)),D295)</f>
        <v/>
      </c>
      <c r="E296">
        <f>IF(AND(ISNUMBER(SEARCH(" - ",TRIM('MSR RAW'!C296))),RIGHT(TRIM('MSR RAW'!C296),6)="Total:"),LEFT(TRIM('MSR RAW'!C296),SEARCH(" - ",TRIM('MSR RAW'!C296))-1),"")</f>
        <v/>
      </c>
      <c r="F296">
        <f>IF(E296="","",TRIM(MID(TRIM('MSR RAW'!C296),SEARCH(" - ",TRIM('MSR RAW'!C296))+3,LEN(TRIM('MSR RAW'!C296))-SEARCH(" - ",TRIM('MSR RAW'!C296))-9)))</f>
        <v/>
      </c>
      <c r="G296">
        <f>IF(E296="","",IFERROR(VLOOKUP(E296,'CATEGORY MAP'!$A$2:$B$20,2,FALSE()),"REVIEW"))</f>
        <v/>
      </c>
      <c r="H296">
        <f>IF(E296="","",IFERROR(VALUE(SUBSTITUTE('MSR RAW'!P296,",","")),0))</f>
        <v/>
      </c>
      <c r="I296">
        <f>IF(E296="","",IFERROR(VALUE(SUBSTITUTE('MSR RAW'!S296,",","")),0))</f>
        <v/>
      </c>
    </row>
    <row r="297" ht="68.65000000000001" customHeight="1" s="126">
      <c r="A297" t="n">
        <v>297</v>
      </c>
      <c r="B297" s="30">
        <f>IF('MSR RAW'!$A$3="","",'MSR RAW'!$A$3)</f>
        <v/>
      </c>
      <c r="C297">
        <f>IF(LEFT(TRIM('MSR RAW'!A297),11)="Department:",TRIM('MSR RAW'!A297),C296)</f>
        <v/>
      </c>
      <c r="D297">
        <f>IF(LEFT(TRIM('MSR RAW'!B297),9)="Location:",TRIM(MID('MSR RAW'!B297,10,999)),D296)</f>
        <v/>
      </c>
      <c r="E297">
        <f>IF(AND(ISNUMBER(SEARCH(" - ",TRIM('MSR RAW'!C297))),RIGHT(TRIM('MSR RAW'!C297),6)="Total:"),LEFT(TRIM('MSR RAW'!C297),SEARCH(" - ",TRIM('MSR RAW'!C297))-1),"")</f>
        <v/>
      </c>
      <c r="F297">
        <f>IF(E297="","",TRIM(MID(TRIM('MSR RAW'!C297),SEARCH(" - ",TRIM('MSR RAW'!C297))+3,LEN(TRIM('MSR RAW'!C297))-SEARCH(" - ",TRIM('MSR RAW'!C297))-9)))</f>
        <v/>
      </c>
      <c r="G297">
        <f>IF(E297="","",IFERROR(VLOOKUP(E297,'CATEGORY MAP'!$A$2:$B$20,2,FALSE()),"REVIEW"))</f>
        <v/>
      </c>
      <c r="H297">
        <f>IF(E297="","",IFERROR(VALUE(SUBSTITUTE('MSR RAW'!P297,",","")),0))</f>
        <v/>
      </c>
      <c r="I297">
        <f>IF(E297="","",IFERROR(VALUE(SUBSTITUTE('MSR RAW'!S297,",","")),0))</f>
        <v/>
      </c>
    </row>
    <row r="298" ht="68.65000000000001" customHeight="1" s="126">
      <c r="A298" t="n">
        <v>298</v>
      </c>
      <c r="B298" s="30">
        <f>IF('MSR RAW'!$A$3="","",'MSR RAW'!$A$3)</f>
        <v/>
      </c>
      <c r="C298">
        <f>IF(LEFT(TRIM('MSR RAW'!A298),11)="Department:",TRIM('MSR RAW'!A298),C297)</f>
        <v/>
      </c>
      <c r="D298">
        <f>IF(LEFT(TRIM('MSR RAW'!B298),9)="Location:",TRIM(MID('MSR RAW'!B298,10,999)),D297)</f>
        <v/>
      </c>
      <c r="E298">
        <f>IF(AND(ISNUMBER(SEARCH(" - ",TRIM('MSR RAW'!C298))),RIGHT(TRIM('MSR RAW'!C298),6)="Total:"),LEFT(TRIM('MSR RAW'!C298),SEARCH(" - ",TRIM('MSR RAW'!C298))-1),"")</f>
        <v/>
      </c>
      <c r="F298">
        <f>IF(E298="","",TRIM(MID(TRIM('MSR RAW'!C298),SEARCH(" - ",TRIM('MSR RAW'!C298))+3,LEN(TRIM('MSR RAW'!C298))-SEARCH(" - ",TRIM('MSR RAW'!C298))-9)))</f>
        <v/>
      </c>
      <c r="G298">
        <f>IF(E298="","",IFERROR(VLOOKUP(E298,'CATEGORY MAP'!$A$2:$B$20,2,FALSE()),"REVIEW"))</f>
        <v/>
      </c>
      <c r="H298">
        <f>IF(E298="","",IFERROR(VALUE(SUBSTITUTE('MSR RAW'!P298,",","")),0))</f>
        <v/>
      </c>
      <c r="I298">
        <f>IF(E298="","",IFERROR(VALUE(SUBSTITUTE('MSR RAW'!S298,",","")),0))</f>
        <v/>
      </c>
    </row>
    <row r="299" ht="68.65000000000001" customHeight="1" s="126">
      <c r="A299" t="n">
        <v>299</v>
      </c>
      <c r="B299" s="30">
        <f>IF('MSR RAW'!$A$3="","",'MSR RAW'!$A$3)</f>
        <v/>
      </c>
      <c r="C299">
        <f>IF(LEFT(TRIM('MSR RAW'!A299),11)="Department:",TRIM('MSR RAW'!A299),C298)</f>
        <v/>
      </c>
      <c r="D299">
        <f>IF(LEFT(TRIM('MSR RAW'!B299),9)="Location:",TRIM(MID('MSR RAW'!B299,10,999)),D298)</f>
        <v/>
      </c>
      <c r="E299">
        <f>IF(AND(ISNUMBER(SEARCH(" - ",TRIM('MSR RAW'!C299))),RIGHT(TRIM('MSR RAW'!C299),6)="Total:"),LEFT(TRIM('MSR RAW'!C299),SEARCH(" - ",TRIM('MSR RAW'!C299))-1),"")</f>
        <v/>
      </c>
      <c r="F299">
        <f>IF(E299="","",TRIM(MID(TRIM('MSR RAW'!C299),SEARCH(" - ",TRIM('MSR RAW'!C299))+3,LEN(TRIM('MSR RAW'!C299))-SEARCH(" - ",TRIM('MSR RAW'!C299))-9)))</f>
        <v/>
      </c>
      <c r="G299">
        <f>IF(E299="","",IFERROR(VLOOKUP(E299,'CATEGORY MAP'!$A$2:$B$20,2,FALSE()),"REVIEW"))</f>
        <v/>
      </c>
      <c r="H299">
        <f>IF(E299="","",IFERROR(VALUE(SUBSTITUTE('MSR RAW'!P299,",","")),0))</f>
        <v/>
      </c>
      <c r="I299">
        <f>IF(E299="","",IFERROR(VALUE(SUBSTITUTE('MSR RAW'!S299,",","")),0))</f>
        <v/>
      </c>
    </row>
    <row r="300" ht="68.65000000000001" customHeight="1" s="126">
      <c r="A300" t="n">
        <v>300</v>
      </c>
      <c r="B300" s="30">
        <f>IF('MSR RAW'!$A$3="","",'MSR RAW'!$A$3)</f>
        <v/>
      </c>
      <c r="C300">
        <f>IF(LEFT(TRIM('MSR RAW'!A300),11)="Department:",TRIM('MSR RAW'!A300),C299)</f>
        <v/>
      </c>
      <c r="D300">
        <f>IF(LEFT(TRIM('MSR RAW'!B300),9)="Location:",TRIM(MID('MSR RAW'!B300,10,999)),D299)</f>
        <v/>
      </c>
      <c r="E300">
        <f>IF(AND(ISNUMBER(SEARCH(" - ",TRIM('MSR RAW'!C300))),RIGHT(TRIM('MSR RAW'!C300),6)="Total:"),LEFT(TRIM('MSR RAW'!C300),SEARCH(" - ",TRIM('MSR RAW'!C300))-1),"")</f>
        <v/>
      </c>
      <c r="F300">
        <f>IF(E300="","",TRIM(MID(TRIM('MSR RAW'!C300),SEARCH(" - ",TRIM('MSR RAW'!C300))+3,LEN(TRIM('MSR RAW'!C300))-SEARCH(" - ",TRIM('MSR RAW'!C300))-9)))</f>
        <v/>
      </c>
      <c r="G300">
        <f>IF(E300="","",IFERROR(VLOOKUP(E300,'CATEGORY MAP'!$A$2:$B$20,2,FALSE()),"REVIEW"))</f>
        <v/>
      </c>
      <c r="H300">
        <f>IF(E300="","",IFERROR(VALUE(SUBSTITUTE('MSR RAW'!P300,",","")),0))</f>
        <v/>
      </c>
      <c r="I300">
        <f>IF(E300="","",IFERROR(VALUE(SUBSTITUTE('MSR RAW'!S300,",","")),0))</f>
        <v/>
      </c>
    </row>
    <row r="301" ht="68.65000000000001" customHeight="1" s="126">
      <c r="A301" t="n">
        <v>301</v>
      </c>
      <c r="B301" s="30">
        <f>IF('MSR RAW'!$A$3="","",'MSR RAW'!$A$3)</f>
        <v/>
      </c>
      <c r="C301">
        <f>IF(LEFT(TRIM('MSR RAW'!A301),11)="Department:",TRIM('MSR RAW'!A301),C300)</f>
        <v/>
      </c>
      <c r="D301">
        <f>IF(LEFT(TRIM('MSR RAW'!B301),9)="Location:",TRIM(MID('MSR RAW'!B301,10,999)),D300)</f>
        <v/>
      </c>
      <c r="E301">
        <f>IF(AND(ISNUMBER(SEARCH(" - ",TRIM('MSR RAW'!C301))),RIGHT(TRIM('MSR RAW'!C301),6)="Total:"),LEFT(TRIM('MSR RAW'!C301),SEARCH(" - ",TRIM('MSR RAW'!C301))-1),"")</f>
        <v/>
      </c>
      <c r="F301">
        <f>IF(E301="","",TRIM(MID(TRIM('MSR RAW'!C301),SEARCH(" - ",TRIM('MSR RAW'!C301))+3,LEN(TRIM('MSR RAW'!C301))-SEARCH(" - ",TRIM('MSR RAW'!C301))-9)))</f>
        <v/>
      </c>
      <c r="G301">
        <f>IF(E301="","",IFERROR(VLOOKUP(E301,'CATEGORY MAP'!$A$2:$B$20,2,FALSE()),"REVIEW"))</f>
        <v/>
      </c>
      <c r="H301">
        <f>IF(E301="","",IFERROR(VALUE(SUBSTITUTE('MSR RAW'!P301,",","")),0))</f>
        <v/>
      </c>
      <c r="I301">
        <f>IF(E301="","",IFERROR(VALUE(SUBSTITUTE('MSR RAW'!S301,",","")),0))</f>
        <v/>
      </c>
    </row>
    <row r="302" ht="68.65000000000001" customHeight="1" s="126">
      <c r="A302" t="n">
        <v>302</v>
      </c>
      <c r="B302" s="30">
        <f>IF('MSR RAW'!$A$3="","",'MSR RAW'!$A$3)</f>
        <v/>
      </c>
      <c r="C302">
        <f>IF(LEFT(TRIM('MSR RAW'!A302),11)="Department:",TRIM('MSR RAW'!A302),C301)</f>
        <v/>
      </c>
      <c r="D302">
        <f>IF(LEFT(TRIM('MSR RAW'!B302),9)="Location:",TRIM(MID('MSR RAW'!B302,10,999)),D301)</f>
        <v/>
      </c>
      <c r="E302">
        <f>IF(AND(ISNUMBER(SEARCH(" - ",TRIM('MSR RAW'!C302))),RIGHT(TRIM('MSR RAW'!C302),6)="Total:"),LEFT(TRIM('MSR RAW'!C302),SEARCH(" - ",TRIM('MSR RAW'!C302))-1),"")</f>
        <v/>
      </c>
      <c r="F302">
        <f>IF(E302="","",TRIM(MID(TRIM('MSR RAW'!C302),SEARCH(" - ",TRIM('MSR RAW'!C302))+3,LEN(TRIM('MSR RAW'!C302))-SEARCH(" - ",TRIM('MSR RAW'!C302))-9)))</f>
        <v/>
      </c>
      <c r="G302">
        <f>IF(E302="","",IFERROR(VLOOKUP(E302,'CATEGORY MAP'!$A$2:$B$20,2,FALSE()),"REVIEW"))</f>
        <v/>
      </c>
      <c r="H302">
        <f>IF(E302="","",IFERROR(VALUE(SUBSTITUTE('MSR RAW'!P302,",","")),0))</f>
        <v/>
      </c>
      <c r="I302">
        <f>IF(E302="","",IFERROR(VALUE(SUBSTITUTE('MSR RAW'!S302,",","")),0))</f>
        <v/>
      </c>
    </row>
    <row r="303" ht="68.65000000000001" customHeight="1" s="126">
      <c r="A303" t="n">
        <v>303</v>
      </c>
      <c r="B303" s="30">
        <f>IF('MSR RAW'!$A$3="","",'MSR RAW'!$A$3)</f>
        <v/>
      </c>
      <c r="C303">
        <f>IF(LEFT(TRIM('MSR RAW'!A303),11)="Department:",TRIM('MSR RAW'!A303),C302)</f>
        <v/>
      </c>
      <c r="D303">
        <f>IF(LEFT(TRIM('MSR RAW'!B303),9)="Location:",TRIM(MID('MSR RAW'!B303,10,999)),D302)</f>
        <v/>
      </c>
      <c r="E303">
        <f>IF(AND(ISNUMBER(SEARCH(" - ",TRIM('MSR RAW'!C303))),RIGHT(TRIM('MSR RAW'!C303),6)="Total:"),LEFT(TRIM('MSR RAW'!C303),SEARCH(" - ",TRIM('MSR RAW'!C303))-1),"")</f>
        <v/>
      </c>
      <c r="F303">
        <f>IF(E303="","",TRIM(MID(TRIM('MSR RAW'!C303),SEARCH(" - ",TRIM('MSR RAW'!C303))+3,LEN(TRIM('MSR RAW'!C303))-SEARCH(" - ",TRIM('MSR RAW'!C303))-9)))</f>
        <v/>
      </c>
      <c r="G303">
        <f>IF(E303="","",IFERROR(VLOOKUP(E303,'CATEGORY MAP'!$A$2:$B$20,2,FALSE()),"REVIEW"))</f>
        <v/>
      </c>
      <c r="H303">
        <f>IF(E303="","",IFERROR(VALUE(SUBSTITUTE('MSR RAW'!P303,",","")),0))</f>
        <v/>
      </c>
      <c r="I303">
        <f>IF(E303="","",IFERROR(VALUE(SUBSTITUTE('MSR RAW'!S303,",","")),0))</f>
        <v/>
      </c>
    </row>
    <row r="304" ht="68.65000000000001" customHeight="1" s="126">
      <c r="A304" t="n">
        <v>304</v>
      </c>
      <c r="B304" s="30">
        <f>IF('MSR RAW'!$A$3="","",'MSR RAW'!$A$3)</f>
        <v/>
      </c>
      <c r="C304">
        <f>IF(LEFT(TRIM('MSR RAW'!A304),11)="Department:",TRIM('MSR RAW'!A304),C303)</f>
        <v/>
      </c>
      <c r="D304">
        <f>IF(LEFT(TRIM('MSR RAW'!B304),9)="Location:",TRIM(MID('MSR RAW'!B304,10,999)),D303)</f>
        <v/>
      </c>
      <c r="E304">
        <f>IF(AND(ISNUMBER(SEARCH(" - ",TRIM('MSR RAW'!C304))),RIGHT(TRIM('MSR RAW'!C304),6)="Total:"),LEFT(TRIM('MSR RAW'!C304),SEARCH(" - ",TRIM('MSR RAW'!C304))-1),"")</f>
        <v/>
      </c>
      <c r="F304">
        <f>IF(E304="","",TRIM(MID(TRIM('MSR RAW'!C304),SEARCH(" - ",TRIM('MSR RAW'!C304))+3,LEN(TRIM('MSR RAW'!C304))-SEARCH(" - ",TRIM('MSR RAW'!C304))-9)))</f>
        <v/>
      </c>
      <c r="G304">
        <f>IF(E304="","",IFERROR(VLOOKUP(E304,'CATEGORY MAP'!$A$2:$B$20,2,FALSE()),"REVIEW"))</f>
        <v/>
      </c>
      <c r="H304">
        <f>IF(E304="","",IFERROR(VALUE(SUBSTITUTE('MSR RAW'!P304,",","")),0))</f>
        <v/>
      </c>
      <c r="I304">
        <f>IF(E304="","",IFERROR(VALUE(SUBSTITUTE('MSR RAW'!S304,",","")),0))</f>
        <v/>
      </c>
    </row>
    <row r="305" ht="68.65000000000001" customHeight="1" s="126">
      <c r="A305" t="n">
        <v>305</v>
      </c>
      <c r="B305" s="30">
        <f>IF('MSR RAW'!$A$3="","",'MSR RAW'!$A$3)</f>
        <v/>
      </c>
      <c r="C305">
        <f>IF(LEFT(TRIM('MSR RAW'!A305),11)="Department:",TRIM('MSR RAW'!A305),C304)</f>
        <v/>
      </c>
      <c r="D305">
        <f>IF(LEFT(TRIM('MSR RAW'!B305),9)="Location:",TRIM(MID('MSR RAW'!B305,10,999)),D304)</f>
        <v/>
      </c>
      <c r="E305">
        <f>IF(AND(ISNUMBER(SEARCH(" - ",TRIM('MSR RAW'!C305))),RIGHT(TRIM('MSR RAW'!C305),6)="Total:"),LEFT(TRIM('MSR RAW'!C305),SEARCH(" - ",TRIM('MSR RAW'!C305))-1),"")</f>
        <v/>
      </c>
      <c r="F305">
        <f>IF(E305="","",TRIM(MID(TRIM('MSR RAW'!C305),SEARCH(" - ",TRIM('MSR RAW'!C305))+3,LEN(TRIM('MSR RAW'!C305))-SEARCH(" - ",TRIM('MSR RAW'!C305))-9)))</f>
        <v/>
      </c>
      <c r="G305">
        <f>IF(E305="","",IFERROR(VLOOKUP(E305,'CATEGORY MAP'!$A$2:$B$20,2,FALSE()),"REVIEW"))</f>
        <v/>
      </c>
      <c r="H305">
        <f>IF(E305="","",IFERROR(VALUE(SUBSTITUTE('MSR RAW'!P305,",","")),0))</f>
        <v/>
      </c>
      <c r="I305">
        <f>IF(E305="","",IFERROR(VALUE(SUBSTITUTE('MSR RAW'!S305,",","")),0))</f>
        <v/>
      </c>
    </row>
    <row r="306" ht="68.65000000000001" customHeight="1" s="126">
      <c r="A306" t="n">
        <v>306</v>
      </c>
      <c r="B306" s="30">
        <f>IF('MSR RAW'!$A$3="","",'MSR RAW'!$A$3)</f>
        <v/>
      </c>
      <c r="C306">
        <f>IF(LEFT(TRIM('MSR RAW'!A306),11)="Department:",TRIM('MSR RAW'!A306),C305)</f>
        <v/>
      </c>
      <c r="D306">
        <f>IF(LEFT(TRIM('MSR RAW'!B306),9)="Location:",TRIM(MID('MSR RAW'!B306,10,999)),D305)</f>
        <v/>
      </c>
      <c r="E306">
        <f>IF(AND(ISNUMBER(SEARCH(" - ",TRIM('MSR RAW'!C306))),RIGHT(TRIM('MSR RAW'!C306),6)="Total:"),LEFT(TRIM('MSR RAW'!C306),SEARCH(" - ",TRIM('MSR RAW'!C306))-1),"")</f>
        <v/>
      </c>
      <c r="F306">
        <f>IF(E306="","",TRIM(MID(TRIM('MSR RAW'!C306),SEARCH(" - ",TRIM('MSR RAW'!C306))+3,LEN(TRIM('MSR RAW'!C306))-SEARCH(" - ",TRIM('MSR RAW'!C306))-9)))</f>
        <v/>
      </c>
      <c r="G306">
        <f>IF(E306="","",IFERROR(VLOOKUP(E306,'CATEGORY MAP'!$A$2:$B$20,2,FALSE()),"REVIEW"))</f>
        <v/>
      </c>
      <c r="H306">
        <f>IF(E306="","",IFERROR(VALUE(SUBSTITUTE('MSR RAW'!P306,",","")),0))</f>
        <v/>
      </c>
      <c r="I306">
        <f>IF(E306="","",IFERROR(VALUE(SUBSTITUTE('MSR RAW'!S306,",","")),0))</f>
        <v/>
      </c>
    </row>
    <row r="307" ht="68.65000000000001" customHeight="1" s="126">
      <c r="A307" t="n">
        <v>307</v>
      </c>
      <c r="B307" s="30">
        <f>IF('MSR RAW'!$A$3="","",'MSR RAW'!$A$3)</f>
        <v/>
      </c>
      <c r="C307">
        <f>IF(LEFT(TRIM('MSR RAW'!A307),11)="Department:",TRIM('MSR RAW'!A307),C306)</f>
        <v/>
      </c>
      <c r="D307">
        <f>IF(LEFT(TRIM('MSR RAW'!B307),9)="Location:",TRIM(MID('MSR RAW'!B307,10,999)),D306)</f>
        <v/>
      </c>
      <c r="E307">
        <f>IF(AND(ISNUMBER(SEARCH(" - ",TRIM('MSR RAW'!C307))),RIGHT(TRIM('MSR RAW'!C307),6)="Total:"),LEFT(TRIM('MSR RAW'!C307),SEARCH(" - ",TRIM('MSR RAW'!C307))-1),"")</f>
        <v/>
      </c>
      <c r="F307">
        <f>IF(E307="","",TRIM(MID(TRIM('MSR RAW'!C307),SEARCH(" - ",TRIM('MSR RAW'!C307))+3,LEN(TRIM('MSR RAW'!C307))-SEARCH(" - ",TRIM('MSR RAW'!C307))-9)))</f>
        <v/>
      </c>
      <c r="G307">
        <f>IF(E307="","",IFERROR(VLOOKUP(E307,'CATEGORY MAP'!$A$2:$B$20,2,FALSE()),"REVIEW"))</f>
        <v/>
      </c>
      <c r="H307">
        <f>IF(E307="","",IFERROR(VALUE(SUBSTITUTE('MSR RAW'!P307,",","")),0))</f>
        <v/>
      </c>
      <c r="I307">
        <f>IF(E307="","",IFERROR(VALUE(SUBSTITUTE('MSR RAW'!S307,",","")),0))</f>
        <v/>
      </c>
    </row>
    <row r="308" ht="68.65000000000001" customHeight="1" s="126">
      <c r="A308" t="n">
        <v>308</v>
      </c>
      <c r="B308" s="30">
        <f>IF('MSR RAW'!$A$3="","",'MSR RAW'!$A$3)</f>
        <v/>
      </c>
      <c r="C308">
        <f>IF(LEFT(TRIM('MSR RAW'!A308),11)="Department:",TRIM('MSR RAW'!A308),C307)</f>
        <v/>
      </c>
      <c r="D308">
        <f>IF(LEFT(TRIM('MSR RAW'!B308),9)="Location:",TRIM(MID('MSR RAW'!B308,10,999)),D307)</f>
        <v/>
      </c>
      <c r="E308">
        <f>IF(AND(ISNUMBER(SEARCH(" - ",TRIM('MSR RAW'!C308))),RIGHT(TRIM('MSR RAW'!C308),6)="Total:"),LEFT(TRIM('MSR RAW'!C308),SEARCH(" - ",TRIM('MSR RAW'!C308))-1),"")</f>
        <v/>
      </c>
      <c r="F308">
        <f>IF(E308="","",TRIM(MID(TRIM('MSR RAW'!C308),SEARCH(" - ",TRIM('MSR RAW'!C308))+3,LEN(TRIM('MSR RAW'!C308))-SEARCH(" - ",TRIM('MSR RAW'!C308))-9)))</f>
        <v/>
      </c>
      <c r="G308">
        <f>IF(E308="","",IFERROR(VLOOKUP(E308,'CATEGORY MAP'!$A$2:$B$20,2,FALSE()),"REVIEW"))</f>
        <v/>
      </c>
      <c r="H308">
        <f>IF(E308="","",IFERROR(VALUE(SUBSTITUTE('MSR RAW'!P308,",","")),0))</f>
        <v/>
      </c>
      <c r="I308">
        <f>IF(E308="","",IFERROR(VALUE(SUBSTITUTE('MSR RAW'!S308,",","")),0))</f>
        <v/>
      </c>
    </row>
    <row r="309" ht="68.65000000000001" customHeight="1" s="126">
      <c r="A309" t="n">
        <v>309</v>
      </c>
      <c r="B309" s="30">
        <f>IF('MSR RAW'!$A$3="","",'MSR RAW'!$A$3)</f>
        <v/>
      </c>
      <c r="C309">
        <f>IF(LEFT(TRIM('MSR RAW'!A309),11)="Department:",TRIM('MSR RAW'!A309),C308)</f>
        <v/>
      </c>
      <c r="D309">
        <f>IF(LEFT(TRIM('MSR RAW'!B309),9)="Location:",TRIM(MID('MSR RAW'!B309,10,999)),D308)</f>
        <v/>
      </c>
      <c r="E309">
        <f>IF(AND(ISNUMBER(SEARCH(" - ",TRIM('MSR RAW'!C309))),RIGHT(TRIM('MSR RAW'!C309),6)="Total:"),LEFT(TRIM('MSR RAW'!C309),SEARCH(" - ",TRIM('MSR RAW'!C309))-1),"")</f>
        <v/>
      </c>
      <c r="F309">
        <f>IF(E309="","",TRIM(MID(TRIM('MSR RAW'!C309),SEARCH(" - ",TRIM('MSR RAW'!C309))+3,LEN(TRIM('MSR RAW'!C309))-SEARCH(" - ",TRIM('MSR RAW'!C309))-9)))</f>
        <v/>
      </c>
      <c r="G309">
        <f>IF(E309="","",IFERROR(VLOOKUP(E309,'CATEGORY MAP'!$A$2:$B$20,2,FALSE()),"REVIEW"))</f>
        <v/>
      </c>
      <c r="H309">
        <f>IF(E309="","",IFERROR(VALUE(SUBSTITUTE('MSR RAW'!P309,",","")),0))</f>
        <v/>
      </c>
      <c r="I309">
        <f>IF(E309="","",IFERROR(VALUE(SUBSTITUTE('MSR RAW'!S309,",","")),0))</f>
        <v/>
      </c>
    </row>
    <row r="310" ht="68.65000000000001" customHeight="1" s="126">
      <c r="A310" t="n">
        <v>310</v>
      </c>
      <c r="B310" s="30">
        <f>IF('MSR RAW'!$A$3="","",'MSR RAW'!$A$3)</f>
        <v/>
      </c>
      <c r="C310">
        <f>IF(LEFT(TRIM('MSR RAW'!A310),11)="Department:",TRIM('MSR RAW'!A310),C309)</f>
        <v/>
      </c>
      <c r="D310">
        <f>IF(LEFT(TRIM('MSR RAW'!B310),9)="Location:",TRIM(MID('MSR RAW'!B310,10,999)),D309)</f>
        <v/>
      </c>
      <c r="E310">
        <f>IF(AND(ISNUMBER(SEARCH(" - ",TRIM('MSR RAW'!C310))),RIGHT(TRIM('MSR RAW'!C310),6)="Total:"),LEFT(TRIM('MSR RAW'!C310),SEARCH(" - ",TRIM('MSR RAW'!C310))-1),"")</f>
        <v/>
      </c>
      <c r="F310">
        <f>IF(E310="","",TRIM(MID(TRIM('MSR RAW'!C310),SEARCH(" - ",TRIM('MSR RAW'!C310))+3,LEN(TRIM('MSR RAW'!C310))-SEARCH(" - ",TRIM('MSR RAW'!C310))-9)))</f>
        <v/>
      </c>
      <c r="G310">
        <f>IF(E310="","",IFERROR(VLOOKUP(E310,'CATEGORY MAP'!$A$2:$B$20,2,FALSE()),"REVIEW"))</f>
        <v/>
      </c>
      <c r="H310">
        <f>IF(E310="","",IFERROR(VALUE(SUBSTITUTE('MSR RAW'!P310,",","")),0))</f>
        <v/>
      </c>
      <c r="I310">
        <f>IF(E310="","",IFERROR(VALUE(SUBSTITUTE('MSR RAW'!S310,",","")),0))</f>
        <v/>
      </c>
    </row>
    <row r="311" ht="68.65000000000001" customHeight="1" s="126">
      <c r="A311" t="n">
        <v>311</v>
      </c>
      <c r="B311" s="30">
        <f>IF('MSR RAW'!$A$3="","",'MSR RAW'!$A$3)</f>
        <v/>
      </c>
      <c r="C311">
        <f>IF(LEFT(TRIM('MSR RAW'!A311),11)="Department:",TRIM('MSR RAW'!A311),C310)</f>
        <v/>
      </c>
      <c r="D311">
        <f>IF(LEFT(TRIM('MSR RAW'!B311),9)="Location:",TRIM(MID('MSR RAW'!B311,10,999)),D310)</f>
        <v/>
      </c>
      <c r="E311">
        <f>IF(AND(ISNUMBER(SEARCH(" - ",TRIM('MSR RAW'!C311))),RIGHT(TRIM('MSR RAW'!C311),6)="Total:"),LEFT(TRIM('MSR RAW'!C311),SEARCH(" - ",TRIM('MSR RAW'!C311))-1),"")</f>
        <v/>
      </c>
      <c r="F311">
        <f>IF(E311="","",TRIM(MID(TRIM('MSR RAW'!C311),SEARCH(" - ",TRIM('MSR RAW'!C311))+3,LEN(TRIM('MSR RAW'!C311))-SEARCH(" - ",TRIM('MSR RAW'!C311))-9)))</f>
        <v/>
      </c>
      <c r="G311">
        <f>IF(E311="","",IFERROR(VLOOKUP(E311,'CATEGORY MAP'!$A$2:$B$20,2,FALSE()),"REVIEW"))</f>
        <v/>
      </c>
      <c r="H311">
        <f>IF(E311="","",IFERROR(VALUE(SUBSTITUTE('MSR RAW'!P311,",","")),0))</f>
        <v/>
      </c>
      <c r="I311">
        <f>IF(E311="","",IFERROR(VALUE(SUBSTITUTE('MSR RAW'!S311,",","")),0))</f>
        <v/>
      </c>
    </row>
    <row r="312" ht="68.65000000000001" customHeight="1" s="126">
      <c r="A312" t="n">
        <v>312</v>
      </c>
      <c r="B312" s="30">
        <f>IF('MSR RAW'!$A$3="","",'MSR RAW'!$A$3)</f>
        <v/>
      </c>
      <c r="C312">
        <f>IF(LEFT(TRIM('MSR RAW'!A312),11)="Department:",TRIM('MSR RAW'!A312),C311)</f>
        <v/>
      </c>
      <c r="D312">
        <f>IF(LEFT(TRIM('MSR RAW'!B312),9)="Location:",TRIM(MID('MSR RAW'!B312,10,999)),D311)</f>
        <v/>
      </c>
      <c r="E312">
        <f>IF(AND(ISNUMBER(SEARCH(" - ",TRIM('MSR RAW'!C312))),RIGHT(TRIM('MSR RAW'!C312),6)="Total:"),LEFT(TRIM('MSR RAW'!C312),SEARCH(" - ",TRIM('MSR RAW'!C312))-1),"")</f>
        <v/>
      </c>
      <c r="F312">
        <f>IF(E312="","",TRIM(MID(TRIM('MSR RAW'!C312),SEARCH(" - ",TRIM('MSR RAW'!C312))+3,LEN(TRIM('MSR RAW'!C312))-SEARCH(" - ",TRIM('MSR RAW'!C312))-9)))</f>
        <v/>
      </c>
      <c r="G312">
        <f>IF(E312="","",IFERROR(VLOOKUP(E312,'CATEGORY MAP'!$A$2:$B$20,2,FALSE()),"REVIEW"))</f>
        <v/>
      </c>
      <c r="H312">
        <f>IF(E312="","",IFERROR(VALUE(SUBSTITUTE('MSR RAW'!P312,",","")),0))</f>
        <v/>
      </c>
      <c r="I312">
        <f>IF(E312="","",IFERROR(VALUE(SUBSTITUTE('MSR RAW'!S312,",","")),0))</f>
        <v/>
      </c>
    </row>
    <row r="313" ht="68.65000000000001" customHeight="1" s="126">
      <c r="A313" t="n">
        <v>313</v>
      </c>
      <c r="B313" s="30">
        <f>IF('MSR RAW'!$A$3="","",'MSR RAW'!$A$3)</f>
        <v/>
      </c>
      <c r="C313">
        <f>IF(LEFT(TRIM('MSR RAW'!A313),11)="Department:",TRIM('MSR RAW'!A313),C312)</f>
        <v/>
      </c>
      <c r="D313">
        <f>IF(LEFT(TRIM('MSR RAW'!B313),9)="Location:",TRIM(MID('MSR RAW'!B313,10,999)),D312)</f>
        <v/>
      </c>
      <c r="E313">
        <f>IF(AND(ISNUMBER(SEARCH(" - ",TRIM('MSR RAW'!C313))),RIGHT(TRIM('MSR RAW'!C313),6)="Total:"),LEFT(TRIM('MSR RAW'!C313),SEARCH(" - ",TRIM('MSR RAW'!C313))-1),"")</f>
        <v/>
      </c>
      <c r="F313">
        <f>IF(E313="","",TRIM(MID(TRIM('MSR RAW'!C313),SEARCH(" - ",TRIM('MSR RAW'!C313))+3,LEN(TRIM('MSR RAW'!C313))-SEARCH(" - ",TRIM('MSR RAW'!C313))-9)))</f>
        <v/>
      </c>
      <c r="G313">
        <f>IF(E313="","",IFERROR(VLOOKUP(E313,'CATEGORY MAP'!$A$2:$B$20,2,FALSE()),"REVIEW"))</f>
        <v/>
      </c>
      <c r="H313">
        <f>IF(E313="","",IFERROR(VALUE(SUBSTITUTE('MSR RAW'!P313,",","")),0))</f>
        <v/>
      </c>
      <c r="I313">
        <f>IF(E313="","",IFERROR(VALUE(SUBSTITUTE('MSR RAW'!S313,",","")),0))</f>
        <v/>
      </c>
    </row>
    <row r="314" ht="68.65000000000001" customHeight="1" s="126">
      <c r="A314" t="n">
        <v>314</v>
      </c>
      <c r="B314" s="30">
        <f>IF('MSR RAW'!$A$3="","",'MSR RAW'!$A$3)</f>
        <v/>
      </c>
      <c r="C314">
        <f>IF(LEFT(TRIM('MSR RAW'!A314),11)="Department:",TRIM('MSR RAW'!A314),C313)</f>
        <v/>
      </c>
      <c r="D314">
        <f>IF(LEFT(TRIM('MSR RAW'!B314),9)="Location:",TRIM(MID('MSR RAW'!B314,10,999)),D313)</f>
        <v/>
      </c>
      <c r="E314">
        <f>IF(AND(ISNUMBER(SEARCH(" - ",TRIM('MSR RAW'!C314))),RIGHT(TRIM('MSR RAW'!C314),6)="Total:"),LEFT(TRIM('MSR RAW'!C314),SEARCH(" - ",TRIM('MSR RAW'!C314))-1),"")</f>
        <v/>
      </c>
      <c r="F314">
        <f>IF(E314="","",TRIM(MID(TRIM('MSR RAW'!C314),SEARCH(" - ",TRIM('MSR RAW'!C314))+3,LEN(TRIM('MSR RAW'!C314))-SEARCH(" - ",TRIM('MSR RAW'!C314))-9)))</f>
        <v/>
      </c>
      <c r="G314">
        <f>IF(E314="","",IFERROR(VLOOKUP(E314,'CATEGORY MAP'!$A$2:$B$20,2,FALSE()),"REVIEW"))</f>
        <v/>
      </c>
      <c r="H314">
        <f>IF(E314="","",IFERROR(VALUE(SUBSTITUTE('MSR RAW'!P314,",","")),0))</f>
        <v/>
      </c>
      <c r="I314">
        <f>IF(E314="","",IFERROR(VALUE(SUBSTITUTE('MSR RAW'!S314,",","")),0))</f>
        <v/>
      </c>
    </row>
    <row r="315" ht="68.65000000000001" customHeight="1" s="126">
      <c r="A315" t="n">
        <v>315</v>
      </c>
      <c r="B315" s="30">
        <f>IF('MSR RAW'!$A$3="","",'MSR RAW'!$A$3)</f>
        <v/>
      </c>
      <c r="C315">
        <f>IF(LEFT(TRIM('MSR RAW'!A315),11)="Department:",TRIM('MSR RAW'!A315),C314)</f>
        <v/>
      </c>
      <c r="D315">
        <f>IF(LEFT(TRIM('MSR RAW'!B315),9)="Location:",TRIM(MID('MSR RAW'!B315,10,999)),D314)</f>
        <v/>
      </c>
      <c r="E315">
        <f>IF(AND(ISNUMBER(SEARCH(" - ",TRIM('MSR RAW'!C315))),RIGHT(TRIM('MSR RAW'!C315),6)="Total:"),LEFT(TRIM('MSR RAW'!C315),SEARCH(" - ",TRIM('MSR RAW'!C315))-1),"")</f>
        <v/>
      </c>
      <c r="F315">
        <f>IF(E315="","",TRIM(MID(TRIM('MSR RAW'!C315),SEARCH(" - ",TRIM('MSR RAW'!C315))+3,LEN(TRIM('MSR RAW'!C315))-SEARCH(" - ",TRIM('MSR RAW'!C315))-9)))</f>
        <v/>
      </c>
      <c r="G315">
        <f>IF(E315="","",IFERROR(VLOOKUP(E315,'CATEGORY MAP'!$A$2:$B$20,2,FALSE()),"REVIEW"))</f>
        <v/>
      </c>
      <c r="H315">
        <f>IF(E315="","",IFERROR(VALUE(SUBSTITUTE('MSR RAW'!P315,",","")),0))</f>
        <v/>
      </c>
      <c r="I315">
        <f>IF(E315="","",IFERROR(VALUE(SUBSTITUTE('MSR RAW'!S315,",","")),0))</f>
        <v/>
      </c>
    </row>
    <row r="316" ht="68.65000000000001" customHeight="1" s="126">
      <c r="A316" t="n">
        <v>316</v>
      </c>
      <c r="B316" s="30">
        <f>IF('MSR RAW'!$A$3="","",'MSR RAW'!$A$3)</f>
        <v/>
      </c>
      <c r="C316">
        <f>IF(LEFT(TRIM('MSR RAW'!A316),11)="Department:",TRIM('MSR RAW'!A316),C315)</f>
        <v/>
      </c>
      <c r="D316">
        <f>IF(LEFT(TRIM('MSR RAW'!B316),9)="Location:",TRIM(MID('MSR RAW'!B316,10,999)),D315)</f>
        <v/>
      </c>
      <c r="E316">
        <f>IF(AND(ISNUMBER(SEARCH(" - ",TRIM('MSR RAW'!C316))),RIGHT(TRIM('MSR RAW'!C316),6)="Total:"),LEFT(TRIM('MSR RAW'!C316),SEARCH(" - ",TRIM('MSR RAW'!C316))-1),"")</f>
        <v/>
      </c>
      <c r="F316">
        <f>IF(E316="","",TRIM(MID(TRIM('MSR RAW'!C316),SEARCH(" - ",TRIM('MSR RAW'!C316))+3,LEN(TRIM('MSR RAW'!C316))-SEARCH(" - ",TRIM('MSR RAW'!C316))-9)))</f>
        <v/>
      </c>
      <c r="G316">
        <f>IF(E316="","",IFERROR(VLOOKUP(E316,'CATEGORY MAP'!$A$2:$B$20,2,FALSE()),"REVIEW"))</f>
        <v/>
      </c>
      <c r="H316">
        <f>IF(E316="","",IFERROR(VALUE(SUBSTITUTE('MSR RAW'!P316,",","")),0))</f>
        <v/>
      </c>
      <c r="I316">
        <f>IF(E316="","",IFERROR(VALUE(SUBSTITUTE('MSR RAW'!S316,",","")),0))</f>
        <v/>
      </c>
    </row>
    <row r="317" ht="68.65000000000001" customHeight="1" s="126">
      <c r="A317" t="n">
        <v>317</v>
      </c>
      <c r="B317" s="30">
        <f>IF('MSR RAW'!$A$3="","",'MSR RAW'!$A$3)</f>
        <v/>
      </c>
      <c r="C317">
        <f>IF(LEFT(TRIM('MSR RAW'!A317),11)="Department:",TRIM('MSR RAW'!A317),C316)</f>
        <v/>
      </c>
      <c r="D317">
        <f>IF(LEFT(TRIM('MSR RAW'!B317),9)="Location:",TRIM(MID('MSR RAW'!B317,10,999)),D316)</f>
        <v/>
      </c>
      <c r="E317">
        <f>IF(AND(ISNUMBER(SEARCH(" - ",TRIM('MSR RAW'!C317))),RIGHT(TRIM('MSR RAW'!C317),6)="Total:"),LEFT(TRIM('MSR RAW'!C317),SEARCH(" - ",TRIM('MSR RAW'!C317))-1),"")</f>
        <v/>
      </c>
      <c r="F317">
        <f>IF(E317="","",TRIM(MID(TRIM('MSR RAW'!C317),SEARCH(" - ",TRIM('MSR RAW'!C317))+3,LEN(TRIM('MSR RAW'!C317))-SEARCH(" - ",TRIM('MSR RAW'!C317))-9)))</f>
        <v/>
      </c>
      <c r="G317">
        <f>IF(E317="","",IFERROR(VLOOKUP(E317,'CATEGORY MAP'!$A$2:$B$20,2,FALSE()),"REVIEW"))</f>
        <v/>
      </c>
      <c r="H317">
        <f>IF(E317="","",IFERROR(VALUE(SUBSTITUTE('MSR RAW'!P317,",","")),0))</f>
        <v/>
      </c>
      <c r="I317">
        <f>IF(E317="","",IFERROR(VALUE(SUBSTITUTE('MSR RAW'!S317,",","")),0))</f>
        <v/>
      </c>
    </row>
    <row r="318" ht="68.65000000000001" customHeight="1" s="126">
      <c r="A318" t="n">
        <v>318</v>
      </c>
      <c r="B318" s="30">
        <f>IF('MSR RAW'!$A$3="","",'MSR RAW'!$A$3)</f>
        <v/>
      </c>
      <c r="C318">
        <f>IF(LEFT(TRIM('MSR RAW'!A318),11)="Department:",TRIM('MSR RAW'!A318),C317)</f>
        <v/>
      </c>
      <c r="D318">
        <f>IF(LEFT(TRIM('MSR RAW'!B318),9)="Location:",TRIM(MID('MSR RAW'!B318,10,999)),D317)</f>
        <v/>
      </c>
      <c r="E318">
        <f>IF(AND(ISNUMBER(SEARCH(" - ",TRIM('MSR RAW'!C318))),RIGHT(TRIM('MSR RAW'!C318),6)="Total:"),LEFT(TRIM('MSR RAW'!C318),SEARCH(" - ",TRIM('MSR RAW'!C318))-1),"")</f>
        <v/>
      </c>
      <c r="F318">
        <f>IF(E318="","",TRIM(MID(TRIM('MSR RAW'!C318),SEARCH(" - ",TRIM('MSR RAW'!C318))+3,LEN(TRIM('MSR RAW'!C318))-SEARCH(" - ",TRIM('MSR RAW'!C318))-9)))</f>
        <v/>
      </c>
      <c r="G318">
        <f>IF(E318="","",IFERROR(VLOOKUP(E318,'CATEGORY MAP'!$A$2:$B$20,2,FALSE()),"REVIEW"))</f>
        <v/>
      </c>
      <c r="H318">
        <f>IF(E318="","",IFERROR(VALUE(SUBSTITUTE('MSR RAW'!P318,",","")),0))</f>
        <v/>
      </c>
      <c r="I318">
        <f>IF(E318="","",IFERROR(VALUE(SUBSTITUTE('MSR RAW'!S318,",","")),0))</f>
        <v/>
      </c>
    </row>
    <row r="319" ht="68.65000000000001" customHeight="1" s="126">
      <c r="A319" t="n">
        <v>319</v>
      </c>
      <c r="B319" s="30">
        <f>IF('MSR RAW'!$A$3="","",'MSR RAW'!$A$3)</f>
        <v/>
      </c>
      <c r="C319">
        <f>IF(LEFT(TRIM('MSR RAW'!A319),11)="Department:",TRIM('MSR RAW'!A319),C318)</f>
        <v/>
      </c>
      <c r="D319">
        <f>IF(LEFT(TRIM('MSR RAW'!B319),9)="Location:",TRIM(MID('MSR RAW'!B319,10,999)),D318)</f>
        <v/>
      </c>
      <c r="E319">
        <f>IF(AND(ISNUMBER(SEARCH(" - ",TRIM('MSR RAW'!C319))),RIGHT(TRIM('MSR RAW'!C319),6)="Total:"),LEFT(TRIM('MSR RAW'!C319),SEARCH(" - ",TRIM('MSR RAW'!C319))-1),"")</f>
        <v/>
      </c>
      <c r="F319">
        <f>IF(E319="","",TRIM(MID(TRIM('MSR RAW'!C319),SEARCH(" - ",TRIM('MSR RAW'!C319))+3,LEN(TRIM('MSR RAW'!C319))-SEARCH(" - ",TRIM('MSR RAW'!C319))-9)))</f>
        <v/>
      </c>
      <c r="G319">
        <f>IF(E319="","",IFERROR(VLOOKUP(E319,'CATEGORY MAP'!$A$2:$B$20,2,FALSE()),"REVIEW"))</f>
        <v/>
      </c>
      <c r="H319">
        <f>IF(E319="","",IFERROR(VALUE(SUBSTITUTE('MSR RAW'!P319,",","")),0))</f>
        <v/>
      </c>
      <c r="I319">
        <f>IF(E319="","",IFERROR(VALUE(SUBSTITUTE('MSR RAW'!S319,",","")),0))</f>
        <v/>
      </c>
    </row>
    <row r="320" ht="68.65000000000001" customHeight="1" s="126">
      <c r="A320" t="n">
        <v>320</v>
      </c>
      <c r="B320" s="30">
        <f>IF('MSR RAW'!$A$3="","",'MSR RAW'!$A$3)</f>
        <v/>
      </c>
      <c r="C320">
        <f>IF(LEFT(TRIM('MSR RAW'!A320),11)="Department:",TRIM('MSR RAW'!A320),C319)</f>
        <v/>
      </c>
      <c r="D320">
        <f>IF(LEFT(TRIM('MSR RAW'!B320),9)="Location:",TRIM(MID('MSR RAW'!B320,10,999)),D319)</f>
        <v/>
      </c>
      <c r="E320">
        <f>IF(AND(ISNUMBER(SEARCH(" - ",TRIM('MSR RAW'!C320))),RIGHT(TRIM('MSR RAW'!C320),6)="Total:"),LEFT(TRIM('MSR RAW'!C320),SEARCH(" - ",TRIM('MSR RAW'!C320))-1),"")</f>
        <v/>
      </c>
      <c r="F320">
        <f>IF(E320="","",TRIM(MID(TRIM('MSR RAW'!C320),SEARCH(" - ",TRIM('MSR RAW'!C320))+3,LEN(TRIM('MSR RAW'!C320))-SEARCH(" - ",TRIM('MSR RAW'!C320))-9)))</f>
        <v/>
      </c>
      <c r="G320">
        <f>IF(E320="","",IFERROR(VLOOKUP(E320,'CATEGORY MAP'!$A$2:$B$20,2,FALSE()),"REVIEW"))</f>
        <v/>
      </c>
      <c r="H320">
        <f>IF(E320="","",IFERROR(VALUE(SUBSTITUTE('MSR RAW'!P320,",","")),0))</f>
        <v/>
      </c>
      <c r="I320">
        <f>IF(E320="","",IFERROR(VALUE(SUBSTITUTE('MSR RAW'!S320,",","")),0))</f>
        <v/>
      </c>
    </row>
    <row r="321" ht="68.65000000000001" customHeight="1" s="126">
      <c r="A321" t="n">
        <v>321</v>
      </c>
      <c r="B321" s="30">
        <f>IF('MSR RAW'!$A$3="","",'MSR RAW'!$A$3)</f>
        <v/>
      </c>
      <c r="C321">
        <f>IF(LEFT(TRIM('MSR RAW'!A321),11)="Department:",TRIM('MSR RAW'!A321),C320)</f>
        <v/>
      </c>
      <c r="D321">
        <f>IF(LEFT(TRIM('MSR RAW'!B321),9)="Location:",TRIM(MID('MSR RAW'!B321,10,999)),D320)</f>
        <v/>
      </c>
      <c r="E321">
        <f>IF(AND(ISNUMBER(SEARCH(" - ",TRIM('MSR RAW'!C321))),RIGHT(TRIM('MSR RAW'!C321),6)="Total:"),LEFT(TRIM('MSR RAW'!C321),SEARCH(" - ",TRIM('MSR RAW'!C321))-1),"")</f>
        <v/>
      </c>
      <c r="F321">
        <f>IF(E321="","",TRIM(MID(TRIM('MSR RAW'!C321),SEARCH(" - ",TRIM('MSR RAW'!C321))+3,LEN(TRIM('MSR RAW'!C321))-SEARCH(" - ",TRIM('MSR RAW'!C321))-9)))</f>
        <v/>
      </c>
      <c r="G321">
        <f>IF(E321="","",IFERROR(VLOOKUP(E321,'CATEGORY MAP'!$A$2:$B$20,2,FALSE()),"REVIEW"))</f>
        <v/>
      </c>
      <c r="H321">
        <f>IF(E321="","",IFERROR(VALUE(SUBSTITUTE('MSR RAW'!P321,",","")),0))</f>
        <v/>
      </c>
      <c r="I321">
        <f>IF(E321="","",IFERROR(VALUE(SUBSTITUTE('MSR RAW'!S321,",","")),0))</f>
        <v/>
      </c>
    </row>
    <row r="322" ht="68.65000000000001" customHeight="1" s="126">
      <c r="A322" t="n">
        <v>322</v>
      </c>
      <c r="B322" s="30">
        <f>IF('MSR RAW'!$A$3="","",'MSR RAW'!$A$3)</f>
        <v/>
      </c>
      <c r="C322">
        <f>IF(LEFT(TRIM('MSR RAW'!A322),11)="Department:",TRIM('MSR RAW'!A322),C321)</f>
        <v/>
      </c>
      <c r="D322">
        <f>IF(LEFT(TRIM('MSR RAW'!B322),9)="Location:",TRIM(MID('MSR RAW'!B322,10,999)),D321)</f>
        <v/>
      </c>
      <c r="E322">
        <f>IF(AND(ISNUMBER(SEARCH(" - ",TRIM('MSR RAW'!C322))),RIGHT(TRIM('MSR RAW'!C322),6)="Total:"),LEFT(TRIM('MSR RAW'!C322),SEARCH(" - ",TRIM('MSR RAW'!C322))-1),"")</f>
        <v/>
      </c>
      <c r="F322">
        <f>IF(E322="","",TRIM(MID(TRIM('MSR RAW'!C322),SEARCH(" - ",TRIM('MSR RAW'!C322))+3,LEN(TRIM('MSR RAW'!C322))-SEARCH(" - ",TRIM('MSR RAW'!C322))-9)))</f>
        <v/>
      </c>
      <c r="G322">
        <f>IF(E322="","",IFERROR(VLOOKUP(E322,'CATEGORY MAP'!$A$2:$B$20,2,FALSE()),"REVIEW"))</f>
        <v/>
      </c>
      <c r="H322">
        <f>IF(E322="","",IFERROR(VALUE(SUBSTITUTE('MSR RAW'!P322,",","")),0))</f>
        <v/>
      </c>
      <c r="I322">
        <f>IF(E322="","",IFERROR(VALUE(SUBSTITUTE('MSR RAW'!S322,",","")),0))</f>
        <v/>
      </c>
    </row>
    <row r="323" ht="68.65000000000001" customHeight="1" s="126">
      <c r="A323" t="n">
        <v>323</v>
      </c>
      <c r="B323" s="30">
        <f>IF('MSR RAW'!$A$3="","",'MSR RAW'!$A$3)</f>
        <v/>
      </c>
      <c r="C323">
        <f>IF(LEFT(TRIM('MSR RAW'!A323),11)="Department:",TRIM('MSR RAW'!A323),C322)</f>
        <v/>
      </c>
      <c r="D323">
        <f>IF(LEFT(TRIM('MSR RAW'!B323),9)="Location:",TRIM(MID('MSR RAW'!B323,10,999)),D322)</f>
        <v/>
      </c>
      <c r="E323">
        <f>IF(AND(ISNUMBER(SEARCH(" - ",TRIM('MSR RAW'!C323))),RIGHT(TRIM('MSR RAW'!C323),6)="Total:"),LEFT(TRIM('MSR RAW'!C323),SEARCH(" - ",TRIM('MSR RAW'!C323))-1),"")</f>
        <v/>
      </c>
      <c r="F323">
        <f>IF(E323="","",TRIM(MID(TRIM('MSR RAW'!C323),SEARCH(" - ",TRIM('MSR RAW'!C323))+3,LEN(TRIM('MSR RAW'!C323))-SEARCH(" - ",TRIM('MSR RAW'!C323))-9)))</f>
        <v/>
      </c>
      <c r="G323">
        <f>IF(E323="","",IFERROR(VLOOKUP(E323,'CATEGORY MAP'!$A$2:$B$20,2,FALSE()),"REVIEW"))</f>
        <v/>
      </c>
      <c r="H323">
        <f>IF(E323="","",IFERROR(VALUE(SUBSTITUTE('MSR RAW'!P323,",","")),0))</f>
        <v/>
      </c>
      <c r="I323">
        <f>IF(E323="","",IFERROR(VALUE(SUBSTITUTE('MSR RAW'!S323,",","")),0))</f>
        <v/>
      </c>
    </row>
    <row r="324" ht="68.65000000000001" customHeight="1" s="126">
      <c r="A324" t="n">
        <v>324</v>
      </c>
      <c r="B324" s="30">
        <f>IF('MSR RAW'!$A$3="","",'MSR RAW'!$A$3)</f>
        <v/>
      </c>
      <c r="C324">
        <f>IF(LEFT(TRIM('MSR RAW'!A324),11)="Department:",TRIM('MSR RAW'!A324),C323)</f>
        <v/>
      </c>
      <c r="D324">
        <f>IF(LEFT(TRIM('MSR RAW'!B324),9)="Location:",TRIM(MID('MSR RAW'!B324,10,999)),D323)</f>
        <v/>
      </c>
      <c r="E324">
        <f>IF(AND(ISNUMBER(SEARCH(" - ",TRIM('MSR RAW'!C324))),RIGHT(TRIM('MSR RAW'!C324),6)="Total:"),LEFT(TRIM('MSR RAW'!C324),SEARCH(" - ",TRIM('MSR RAW'!C324))-1),"")</f>
        <v/>
      </c>
      <c r="F324">
        <f>IF(E324="","",TRIM(MID(TRIM('MSR RAW'!C324),SEARCH(" - ",TRIM('MSR RAW'!C324))+3,LEN(TRIM('MSR RAW'!C324))-SEARCH(" - ",TRIM('MSR RAW'!C324))-9)))</f>
        <v/>
      </c>
      <c r="G324">
        <f>IF(E324="","",IFERROR(VLOOKUP(E324,'CATEGORY MAP'!$A$2:$B$20,2,FALSE()),"REVIEW"))</f>
        <v/>
      </c>
      <c r="H324">
        <f>IF(E324="","",IFERROR(VALUE(SUBSTITUTE('MSR RAW'!P324,",","")),0))</f>
        <v/>
      </c>
      <c r="I324">
        <f>IF(E324="","",IFERROR(VALUE(SUBSTITUTE('MSR RAW'!S324,",","")),0))</f>
        <v/>
      </c>
    </row>
    <row r="325" ht="68.65000000000001" customHeight="1" s="126">
      <c r="A325" t="n">
        <v>325</v>
      </c>
      <c r="B325" s="30">
        <f>IF('MSR RAW'!$A$3="","",'MSR RAW'!$A$3)</f>
        <v/>
      </c>
      <c r="C325">
        <f>IF(LEFT(TRIM('MSR RAW'!A325),11)="Department:",TRIM('MSR RAW'!A325),C324)</f>
        <v/>
      </c>
      <c r="D325">
        <f>IF(LEFT(TRIM('MSR RAW'!B325),9)="Location:",TRIM(MID('MSR RAW'!B325,10,999)),D324)</f>
        <v/>
      </c>
      <c r="E325">
        <f>IF(AND(ISNUMBER(SEARCH(" - ",TRIM('MSR RAW'!C325))),RIGHT(TRIM('MSR RAW'!C325),6)="Total:"),LEFT(TRIM('MSR RAW'!C325),SEARCH(" - ",TRIM('MSR RAW'!C325))-1),"")</f>
        <v/>
      </c>
      <c r="F325">
        <f>IF(E325="","",TRIM(MID(TRIM('MSR RAW'!C325),SEARCH(" - ",TRIM('MSR RAW'!C325))+3,LEN(TRIM('MSR RAW'!C325))-SEARCH(" - ",TRIM('MSR RAW'!C325))-9)))</f>
        <v/>
      </c>
      <c r="G325">
        <f>IF(E325="","",IFERROR(VLOOKUP(E325,'CATEGORY MAP'!$A$2:$B$20,2,FALSE()),"REVIEW"))</f>
        <v/>
      </c>
      <c r="H325">
        <f>IF(E325="","",IFERROR(VALUE(SUBSTITUTE('MSR RAW'!P325,",","")),0))</f>
        <v/>
      </c>
      <c r="I325">
        <f>IF(E325="","",IFERROR(VALUE(SUBSTITUTE('MSR RAW'!S325,",","")),0))</f>
        <v/>
      </c>
    </row>
    <row r="326" ht="68.65000000000001" customHeight="1" s="126">
      <c r="A326" t="n">
        <v>326</v>
      </c>
      <c r="B326" s="30">
        <f>IF('MSR RAW'!$A$3="","",'MSR RAW'!$A$3)</f>
        <v/>
      </c>
      <c r="C326">
        <f>IF(LEFT(TRIM('MSR RAW'!A326),11)="Department:",TRIM('MSR RAW'!A326),C325)</f>
        <v/>
      </c>
      <c r="D326">
        <f>IF(LEFT(TRIM('MSR RAW'!B326),9)="Location:",TRIM(MID('MSR RAW'!B326,10,999)),D325)</f>
        <v/>
      </c>
      <c r="E326">
        <f>IF(AND(ISNUMBER(SEARCH(" - ",TRIM('MSR RAW'!C326))),RIGHT(TRIM('MSR RAW'!C326),6)="Total:"),LEFT(TRIM('MSR RAW'!C326),SEARCH(" - ",TRIM('MSR RAW'!C326))-1),"")</f>
        <v/>
      </c>
      <c r="F326">
        <f>IF(E326="","",TRIM(MID(TRIM('MSR RAW'!C326),SEARCH(" - ",TRIM('MSR RAW'!C326))+3,LEN(TRIM('MSR RAW'!C326))-SEARCH(" - ",TRIM('MSR RAW'!C326))-9)))</f>
        <v/>
      </c>
      <c r="G326">
        <f>IF(E326="","",IFERROR(VLOOKUP(E326,'CATEGORY MAP'!$A$2:$B$20,2,FALSE()),"REVIEW"))</f>
        <v/>
      </c>
      <c r="H326">
        <f>IF(E326="","",IFERROR(VALUE(SUBSTITUTE('MSR RAW'!P326,",","")),0))</f>
        <v/>
      </c>
      <c r="I326">
        <f>IF(E326="","",IFERROR(VALUE(SUBSTITUTE('MSR RAW'!S326,",","")),0))</f>
        <v/>
      </c>
    </row>
    <row r="327" ht="68.65000000000001" customHeight="1" s="126">
      <c r="A327" t="n">
        <v>327</v>
      </c>
      <c r="B327" s="30">
        <f>IF('MSR RAW'!$A$3="","",'MSR RAW'!$A$3)</f>
        <v/>
      </c>
      <c r="C327">
        <f>IF(LEFT(TRIM('MSR RAW'!A327),11)="Department:",TRIM('MSR RAW'!A327),C326)</f>
        <v/>
      </c>
      <c r="D327">
        <f>IF(LEFT(TRIM('MSR RAW'!B327),9)="Location:",TRIM(MID('MSR RAW'!B327,10,999)),D326)</f>
        <v/>
      </c>
      <c r="E327">
        <f>IF(AND(ISNUMBER(SEARCH(" - ",TRIM('MSR RAW'!C327))),RIGHT(TRIM('MSR RAW'!C327),6)="Total:"),LEFT(TRIM('MSR RAW'!C327),SEARCH(" - ",TRIM('MSR RAW'!C327))-1),"")</f>
        <v/>
      </c>
      <c r="F327">
        <f>IF(E327="","",TRIM(MID(TRIM('MSR RAW'!C327),SEARCH(" - ",TRIM('MSR RAW'!C327))+3,LEN(TRIM('MSR RAW'!C327))-SEARCH(" - ",TRIM('MSR RAW'!C327))-9)))</f>
        <v/>
      </c>
      <c r="G327">
        <f>IF(E327="","",IFERROR(VLOOKUP(E327,'CATEGORY MAP'!$A$2:$B$20,2,FALSE()),"REVIEW"))</f>
        <v/>
      </c>
      <c r="H327">
        <f>IF(E327="","",IFERROR(VALUE(SUBSTITUTE('MSR RAW'!P327,",","")),0))</f>
        <v/>
      </c>
      <c r="I327">
        <f>IF(E327="","",IFERROR(VALUE(SUBSTITUTE('MSR RAW'!S327,",","")),0))</f>
        <v/>
      </c>
    </row>
    <row r="328" ht="68.65000000000001" customHeight="1" s="126">
      <c r="A328" t="n">
        <v>328</v>
      </c>
      <c r="B328" s="30">
        <f>IF('MSR RAW'!$A$3="","",'MSR RAW'!$A$3)</f>
        <v/>
      </c>
      <c r="C328">
        <f>IF(LEFT(TRIM('MSR RAW'!A328),11)="Department:",TRIM('MSR RAW'!A328),C327)</f>
        <v/>
      </c>
      <c r="D328">
        <f>IF(LEFT(TRIM('MSR RAW'!B328),9)="Location:",TRIM(MID('MSR RAW'!B328,10,999)),D327)</f>
        <v/>
      </c>
      <c r="E328">
        <f>IF(AND(ISNUMBER(SEARCH(" - ",TRIM('MSR RAW'!C328))),RIGHT(TRIM('MSR RAW'!C328),6)="Total:"),LEFT(TRIM('MSR RAW'!C328),SEARCH(" - ",TRIM('MSR RAW'!C328))-1),"")</f>
        <v/>
      </c>
      <c r="F328">
        <f>IF(E328="","",TRIM(MID(TRIM('MSR RAW'!C328),SEARCH(" - ",TRIM('MSR RAW'!C328))+3,LEN(TRIM('MSR RAW'!C328))-SEARCH(" - ",TRIM('MSR RAW'!C328))-9)))</f>
        <v/>
      </c>
      <c r="G328">
        <f>IF(E328="","",IFERROR(VLOOKUP(E328,'CATEGORY MAP'!$A$2:$B$20,2,FALSE()),"REVIEW"))</f>
        <v/>
      </c>
      <c r="H328">
        <f>IF(E328="","",IFERROR(VALUE(SUBSTITUTE('MSR RAW'!P328,",","")),0))</f>
        <v/>
      </c>
      <c r="I328">
        <f>IF(E328="","",IFERROR(VALUE(SUBSTITUTE('MSR RAW'!S328,",","")),0))</f>
        <v/>
      </c>
    </row>
    <row r="329" ht="68.65000000000001" customHeight="1" s="126">
      <c r="A329" t="n">
        <v>329</v>
      </c>
      <c r="B329" s="30">
        <f>IF('MSR RAW'!$A$3="","",'MSR RAW'!$A$3)</f>
        <v/>
      </c>
      <c r="C329">
        <f>IF(LEFT(TRIM('MSR RAW'!A329),11)="Department:",TRIM('MSR RAW'!A329),C328)</f>
        <v/>
      </c>
      <c r="D329">
        <f>IF(LEFT(TRIM('MSR RAW'!B329),9)="Location:",TRIM(MID('MSR RAW'!B329,10,999)),D328)</f>
        <v/>
      </c>
      <c r="E329">
        <f>IF(AND(ISNUMBER(SEARCH(" - ",TRIM('MSR RAW'!C329))),RIGHT(TRIM('MSR RAW'!C329),6)="Total:"),LEFT(TRIM('MSR RAW'!C329),SEARCH(" - ",TRIM('MSR RAW'!C329))-1),"")</f>
        <v/>
      </c>
      <c r="F329">
        <f>IF(E329="","",TRIM(MID(TRIM('MSR RAW'!C329),SEARCH(" - ",TRIM('MSR RAW'!C329))+3,LEN(TRIM('MSR RAW'!C329))-SEARCH(" - ",TRIM('MSR RAW'!C329))-9)))</f>
        <v/>
      </c>
      <c r="G329">
        <f>IF(E329="","",IFERROR(VLOOKUP(E329,'CATEGORY MAP'!$A$2:$B$20,2,FALSE()),"REVIEW"))</f>
        <v/>
      </c>
      <c r="H329">
        <f>IF(E329="","",IFERROR(VALUE(SUBSTITUTE('MSR RAW'!P329,",","")),0))</f>
        <v/>
      </c>
      <c r="I329">
        <f>IF(E329="","",IFERROR(VALUE(SUBSTITUTE('MSR RAW'!S329,",","")),0))</f>
        <v/>
      </c>
    </row>
    <row r="330" ht="68.65000000000001" customHeight="1" s="126">
      <c r="A330" t="n">
        <v>330</v>
      </c>
      <c r="B330" s="30">
        <f>IF('MSR RAW'!$A$3="","",'MSR RAW'!$A$3)</f>
        <v/>
      </c>
      <c r="C330">
        <f>IF(LEFT(TRIM('MSR RAW'!A330),11)="Department:",TRIM('MSR RAW'!A330),C329)</f>
        <v/>
      </c>
      <c r="D330">
        <f>IF(LEFT(TRIM('MSR RAW'!B330),9)="Location:",TRIM(MID('MSR RAW'!B330,10,999)),D329)</f>
        <v/>
      </c>
      <c r="E330">
        <f>IF(AND(ISNUMBER(SEARCH(" - ",TRIM('MSR RAW'!C330))),RIGHT(TRIM('MSR RAW'!C330),6)="Total:"),LEFT(TRIM('MSR RAW'!C330),SEARCH(" - ",TRIM('MSR RAW'!C330))-1),"")</f>
        <v/>
      </c>
      <c r="F330">
        <f>IF(E330="","",TRIM(MID(TRIM('MSR RAW'!C330),SEARCH(" - ",TRIM('MSR RAW'!C330))+3,LEN(TRIM('MSR RAW'!C330))-SEARCH(" - ",TRIM('MSR RAW'!C330))-9)))</f>
        <v/>
      </c>
      <c r="G330">
        <f>IF(E330="","",IFERROR(VLOOKUP(E330,'CATEGORY MAP'!$A$2:$B$20,2,FALSE()),"REVIEW"))</f>
        <v/>
      </c>
      <c r="H330">
        <f>IF(E330="","",IFERROR(VALUE(SUBSTITUTE('MSR RAW'!P330,",","")),0))</f>
        <v/>
      </c>
      <c r="I330">
        <f>IF(E330="","",IFERROR(VALUE(SUBSTITUTE('MSR RAW'!S330,",","")),0))</f>
        <v/>
      </c>
    </row>
    <row r="331" ht="68.65000000000001" customHeight="1" s="126">
      <c r="A331" t="n">
        <v>331</v>
      </c>
      <c r="B331" s="30">
        <f>IF('MSR RAW'!$A$3="","",'MSR RAW'!$A$3)</f>
        <v/>
      </c>
      <c r="C331">
        <f>IF(LEFT(TRIM('MSR RAW'!A331),11)="Department:",TRIM('MSR RAW'!A331),C330)</f>
        <v/>
      </c>
      <c r="D331">
        <f>IF(LEFT(TRIM('MSR RAW'!B331),9)="Location:",TRIM(MID('MSR RAW'!B331,10,999)),D330)</f>
        <v/>
      </c>
      <c r="E331">
        <f>IF(AND(ISNUMBER(SEARCH(" - ",TRIM('MSR RAW'!C331))),RIGHT(TRIM('MSR RAW'!C331),6)="Total:"),LEFT(TRIM('MSR RAW'!C331),SEARCH(" - ",TRIM('MSR RAW'!C331))-1),"")</f>
        <v/>
      </c>
      <c r="F331">
        <f>IF(E331="","",TRIM(MID(TRIM('MSR RAW'!C331),SEARCH(" - ",TRIM('MSR RAW'!C331))+3,LEN(TRIM('MSR RAW'!C331))-SEARCH(" - ",TRIM('MSR RAW'!C331))-9)))</f>
        <v/>
      </c>
      <c r="G331">
        <f>IF(E331="","",IFERROR(VLOOKUP(E331,'CATEGORY MAP'!$A$2:$B$20,2,FALSE()),"REVIEW"))</f>
        <v/>
      </c>
      <c r="H331">
        <f>IF(E331="","",IFERROR(VALUE(SUBSTITUTE('MSR RAW'!P331,",","")),0))</f>
        <v/>
      </c>
      <c r="I331">
        <f>IF(E331="","",IFERROR(VALUE(SUBSTITUTE('MSR RAW'!S331,",","")),0))</f>
        <v/>
      </c>
    </row>
    <row r="332" ht="68.65000000000001" customHeight="1" s="126">
      <c r="A332" t="n">
        <v>332</v>
      </c>
      <c r="B332" s="30">
        <f>IF('MSR RAW'!$A$3="","",'MSR RAW'!$A$3)</f>
        <v/>
      </c>
      <c r="C332">
        <f>IF(LEFT(TRIM('MSR RAW'!A332),11)="Department:",TRIM('MSR RAW'!A332),C331)</f>
        <v/>
      </c>
      <c r="D332">
        <f>IF(LEFT(TRIM('MSR RAW'!B332),9)="Location:",TRIM(MID('MSR RAW'!B332,10,999)),D331)</f>
        <v/>
      </c>
      <c r="E332">
        <f>IF(AND(ISNUMBER(SEARCH(" - ",TRIM('MSR RAW'!C332))),RIGHT(TRIM('MSR RAW'!C332),6)="Total:"),LEFT(TRIM('MSR RAW'!C332),SEARCH(" - ",TRIM('MSR RAW'!C332))-1),"")</f>
        <v/>
      </c>
      <c r="F332">
        <f>IF(E332="","",TRIM(MID(TRIM('MSR RAW'!C332),SEARCH(" - ",TRIM('MSR RAW'!C332))+3,LEN(TRIM('MSR RAW'!C332))-SEARCH(" - ",TRIM('MSR RAW'!C332))-9)))</f>
        <v/>
      </c>
      <c r="G332">
        <f>IF(E332="","",IFERROR(VLOOKUP(E332,'CATEGORY MAP'!$A$2:$B$20,2,FALSE()),"REVIEW"))</f>
        <v/>
      </c>
      <c r="H332">
        <f>IF(E332="","",IFERROR(VALUE(SUBSTITUTE('MSR RAW'!P332,",","")),0))</f>
        <v/>
      </c>
      <c r="I332">
        <f>IF(E332="","",IFERROR(VALUE(SUBSTITUTE('MSR RAW'!S332,",","")),0))</f>
        <v/>
      </c>
    </row>
    <row r="333" ht="68.65000000000001" customHeight="1" s="126">
      <c r="A333" t="n">
        <v>333</v>
      </c>
      <c r="B333" s="30">
        <f>IF('MSR RAW'!$A$3="","",'MSR RAW'!$A$3)</f>
        <v/>
      </c>
      <c r="C333">
        <f>IF(LEFT(TRIM('MSR RAW'!A333),11)="Department:",TRIM('MSR RAW'!A333),C332)</f>
        <v/>
      </c>
      <c r="D333">
        <f>IF(LEFT(TRIM('MSR RAW'!B333),9)="Location:",TRIM(MID('MSR RAW'!B333,10,999)),D332)</f>
        <v/>
      </c>
      <c r="E333">
        <f>IF(AND(ISNUMBER(SEARCH(" - ",TRIM('MSR RAW'!C333))),RIGHT(TRIM('MSR RAW'!C333),6)="Total:"),LEFT(TRIM('MSR RAW'!C333),SEARCH(" - ",TRIM('MSR RAW'!C333))-1),"")</f>
        <v/>
      </c>
      <c r="F333">
        <f>IF(E333="","",TRIM(MID(TRIM('MSR RAW'!C333),SEARCH(" - ",TRIM('MSR RAW'!C333))+3,LEN(TRIM('MSR RAW'!C333))-SEARCH(" - ",TRIM('MSR RAW'!C333))-9)))</f>
        <v/>
      </c>
      <c r="G333">
        <f>IF(E333="","",IFERROR(VLOOKUP(E333,'CATEGORY MAP'!$A$2:$B$20,2,FALSE()),"REVIEW"))</f>
        <v/>
      </c>
      <c r="H333">
        <f>IF(E333="","",IFERROR(VALUE(SUBSTITUTE('MSR RAW'!P333,",","")),0))</f>
        <v/>
      </c>
      <c r="I333">
        <f>IF(E333="","",IFERROR(VALUE(SUBSTITUTE('MSR RAW'!S333,",","")),0))</f>
        <v/>
      </c>
    </row>
    <row r="334" ht="68.65000000000001" customHeight="1" s="126">
      <c r="A334" t="n">
        <v>334</v>
      </c>
      <c r="B334" s="30">
        <f>IF('MSR RAW'!$A$3="","",'MSR RAW'!$A$3)</f>
        <v/>
      </c>
      <c r="C334">
        <f>IF(LEFT(TRIM('MSR RAW'!A334),11)="Department:",TRIM('MSR RAW'!A334),C333)</f>
        <v/>
      </c>
      <c r="D334">
        <f>IF(LEFT(TRIM('MSR RAW'!B334),9)="Location:",TRIM(MID('MSR RAW'!B334,10,999)),D333)</f>
        <v/>
      </c>
      <c r="E334">
        <f>IF(AND(ISNUMBER(SEARCH(" - ",TRIM('MSR RAW'!C334))),RIGHT(TRIM('MSR RAW'!C334),6)="Total:"),LEFT(TRIM('MSR RAW'!C334),SEARCH(" - ",TRIM('MSR RAW'!C334))-1),"")</f>
        <v/>
      </c>
      <c r="F334">
        <f>IF(E334="","",TRIM(MID(TRIM('MSR RAW'!C334),SEARCH(" - ",TRIM('MSR RAW'!C334))+3,LEN(TRIM('MSR RAW'!C334))-SEARCH(" - ",TRIM('MSR RAW'!C334))-9)))</f>
        <v/>
      </c>
      <c r="G334">
        <f>IF(E334="","",IFERROR(VLOOKUP(E334,'CATEGORY MAP'!$A$2:$B$20,2,FALSE()),"REVIEW"))</f>
        <v/>
      </c>
      <c r="H334">
        <f>IF(E334="","",IFERROR(VALUE(SUBSTITUTE('MSR RAW'!P334,",","")),0))</f>
        <v/>
      </c>
      <c r="I334">
        <f>IF(E334="","",IFERROR(VALUE(SUBSTITUTE('MSR RAW'!S334,",","")),0))</f>
        <v/>
      </c>
    </row>
    <row r="335" ht="68.65000000000001" customHeight="1" s="126">
      <c r="A335" t="n">
        <v>335</v>
      </c>
      <c r="B335" s="30">
        <f>IF('MSR RAW'!$A$3="","",'MSR RAW'!$A$3)</f>
        <v/>
      </c>
      <c r="C335">
        <f>IF(LEFT(TRIM('MSR RAW'!A335),11)="Department:",TRIM('MSR RAW'!A335),C334)</f>
        <v/>
      </c>
      <c r="D335">
        <f>IF(LEFT(TRIM('MSR RAW'!B335),9)="Location:",TRIM(MID('MSR RAW'!B335,10,999)),D334)</f>
        <v/>
      </c>
      <c r="E335">
        <f>IF(AND(ISNUMBER(SEARCH(" - ",TRIM('MSR RAW'!C335))),RIGHT(TRIM('MSR RAW'!C335),6)="Total:"),LEFT(TRIM('MSR RAW'!C335),SEARCH(" - ",TRIM('MSR RAW'!C335))-1),"")</f>
        <v/>
      </c>
      <c r="F335">
        <f>IF(E335="","",TRIM(MID(TRIM('MSR RAW'!C335),SEARCH(" - ",TRIM('MSR RAW'!C335))+3,LEN(TRIM('MSR RAW'!C335))-SEARCH(" - ",TRIM('MSR RAW'!C335))-9)))</f>
        <v/>
      </c>
      <c r="G335">
        <f>IF(E335="","",IFERROR(VLOOKUP(E335,'CATEGORY MAP'!$A$2:$B$20,2,FALSE()),"REVIEW"))</f>
        <v/>
      </c>
      <c r="H335">
        <f>IF(E335="","",IFERROR(VALUE(SUBSTITUTE('MSR RAW'!P335,",","")),0))</f>
        <v/>
      </c>
      <c r="I335">
        <f>IF(E335="","",IFERROR(VALUE(SUBSTITUTE('MSR RAW'!S335,",","")),0))</f>
        <v/>
      </c>
    </row>
    <row r="336" ht="68.65000000000001" customHeight="1" s="126">
      <c r="A336" t="n">
        <v>336</v>
      </c>
      <c r="B336" s="30">
        <f>IF('MSR RAW'!$A$3="","",'MSR RAW'!$A$3)</f>
        <v/>
      </c>
      <c r="C336">
        <f>IF(LEFT(TRIM('MSR RAW'!A336),11)="Department:",TRIM('MSR RAW'!A336),C335)</f>
        <v/>
      </c>
      <c r="D336">
        <f>IF(LEFT(TRIM('MSR RAW'!B336),9)="Location:",TRIM(MID('MSR RAW'!B336,10,999)),D335)</f>
        <v/>
      </c>
      <c r="E336">
        <f>IF(AND(ISNUMBER(SEARCH(" - ",TRIM('MSR RAW'!C336))),RIGHT(TRIM('MSR RAW'!C336),6)="Total:"),LEFT(TRIM('MSR RAW'!C336),SEARCH(" - ",TRIM('MSR RAW'!C336))-1),"")</f>
        <v/>
      </c>
      <c r="F336">
        <f>IF(E336="","",TRIM(MID(TRIM('MSR RAW'!C336),SEARCH(" - ",TRIM('MSR RAW'!C336))+3,LEN(TRIM('MSR RAW'!C336))-SEARCH(" - ",TRIM('MSR RAW'!C336))-9)))</f>
        <v/>
      </c>
      <c r="G336">
        <f>IF(E336="","",IFERROR(VLOOKUP(E336,'CATEGORY MAP'!$A$2:$B$20,2,FALSE()),"REVIEW"))</f>
        <v/>
      </c>
      <c r="H336">
        <f>IF(E336="","",IFERROR(VALUE(SUBSTITUTE('MSR RAW'!P336,",","")),0))</f>
        <v/>
      </c>
      <c r="I336">
        <f>IF(E336="","",IFERROR(VALUE(SUBSTITUTE('MSR RAW'!S336,",","")),0))</f>
        <v/>
      </c>
    </row>
    <row r="337" ht="68.65000000000001" customHeight="1" s="126">
      <c r="A337" t="n">
        <v>337</v>
      </c>
      <c r="B337" s="30">
        <f>IF('MSR RAW'!$A$3="","",'MSR RAW'!$A$3)</f>
        <v/>
      </c>
      <c r="C337">
        <f>IF(LEFT(TRIM('MSR RAW'!A337),11)="Department:",TRIM('MSR RAW'!A337),C336)</f>
        <v/>
      </c>
      <c r="D337">
        <f>IF(LEFT(TRIM('MSR RAW'!B337),9)="Location:",TRIM(MID('MSR RAW'!B337,10,999)),D336)</f>
        <v/>
      </c>
      <c r="E337">
        <f>IF(AND(ISNUMBER(SEARCH(" - ",TRIM('MSR RAW'!C337))),RIGHT(TRIM('MSR RAW'!C337),6)="Total:"),LEFT(TRIM('MSR RAW'!C337),SEARCH(" - ",TRIM('MSR RAW'!C337))-1),"")</f>
        <v/>
      </c>
      <c r="F337">
        <f>IF(E337="","",TRIM(MID(TRIM('MSR RAW'!C337),SEARCH(" - ",TRIM('MSR RAW'!C337))+3,LEN(TRIM('MSR RAW'!C337))-SEARCH(" - ",TRIM('MSR RAW'!C337))-9)))</f>
        <v/>
      </c>
      <c r="G337">
        <f>IF(E337="","",IFERROR(VLOOKUP(E337,'CATEGORY MAP'!$A$2:$B$20,2,FALSE()),"REVIEW"))</f>
        <v/>
      </c>
      <c r="H337">
        <f>IF(E337="","",IFERROR(VALUE(SUBSTITUTE('MSR RAW'!P337,",","")),0))</f>
        <v/>
      </c>
      <c r="I337">
        <f>IF(E337="","",IFERROR(VALUE(SUBSTITUTE('MSR RAW'!S337,",","")),0))</f>
        <v/>
      </c>
    </row>
    <row r="338" ht="68.65000000000001" customHeight="1" s="126">
      <c r="A338" t="n">
        <v>338</v>
      </c>
      <c r="B338" s="30">
        <f>IF('MSR RAW'!$A$3="","",'MSR RAW'!$A$3)</f>
        <v/>
      </c>
      <c r="C338">
        <f>IF(LEFT(TRIM('MSR RAW'!A338),11)="Department:",TRIM('MSR RAW'!A338),C337)</f>
        <v/>
      </c>
      <c r="D338">
        <f>IF(LEFT(TRIM('MSR RAW'!B338),9)="Location:",TRIM(MID('MSR RAW'!B338,10,999)),D337)</f>
        <v/>
      </c>
      <c r="E338">
        <f>IF(AND(ISNUMBER(SEARCH(" - ",TRIM('MSR RAW'!C338))),RIGHT(TRIM('MSR RAW'!C338),6)="Total:"),LEFT(TRIM('MSR RAW'!C338),SEARCH(" - ",TRIM('MSR RAW'!C338))-1),"")</f>
        <v/>
      </c>
      <c r="F338">
        <f>IF(E338="","",TRIM(MID(TRIM('MSR RAW'!C338),SEARCH(" - ",TRIM('MSR RAW'!C338))+3,LEN(TRIM('MSR RAW'!C338))-SEARCH(" - ",TRIM('MSR RAW'!C338))-9)))</f>
        <v/>
      </c>
      <c r="G338">
        <f>IF(E338="","",IFERROR(VLOOKUP(E338,'CATEGORY MAP'!$A$2:$B$20,2,FALSE()),"REVIEW"))</f>
        <v/>
      </c>
      <c r="H338">
        <f>IF(E338="","",IFERROR(VALUE(SUBSTITUTE('MSR RAW'!P338,",","")),0))</f>
        <v/>
      </c>
      <c r="I338">
        <f>IF(E338="","",IFERROR(VALUE(SUBSTITUTE('MSR RAW'!S338,",","")),0))</f>
        <v/>
      </c>
    </row>
    <row r="339" ht="68.65000000000001" customHeight="1" s="126">
      <c r="A339" t="n">
        <v>339</v>
      </c>
      <c r="B339" s="30">
        <f>IF('MSR RAW'!$A$3="","",'MSR RAW'!$A$3)</f>
        <v/>
      </c>
      <c r="C339">
        <f>IF(LEFT(TRIM('MSR RAW'!A339),11)="Department:",TRIM('MSR RAW'!A339),C338)</f>
        <v/>
      </c>
      <c r="D339">
        <f>IF(LEFT(TRIM('MSR RAW'!B339),9)="Location:",TRIM(MID('MSR RAW'!B339,10,999)),D338)</f>
        <v/>
      </c>
      <c r="E339">
        <f>IF(AND(ISNUMBER(SEARCH(" - ",TRIM('MSR RAW'!C339))),RIGHT(TRIM('MSR RAW'!C339),6)="Total:"),LEFT(TRIM('MSR RAW'!C339),SEARCH(" - ",TRIM('MSR RAW'!C339))-1),"")</f>
        <v/>
      </c>
      <c r="F339">
        <f>IF(E339="","",TRIM(MID(TRIM('MSR RAW'!C339),SEARCH(" - ",TRIM('MSR RAW'!C339))+3,LEN(TRIM('MSR RAW'!C339))-SEARCH(" - ",TRIM('MSR RAW'!C339))-9)))</f>
        <v/>
      </c>
      <c r="G339">
        <f>IF(E339="","",IFERROR(VLOOKUP(E339,'CATEGORY MAP'!$A$2:$B$20,2,FALSE()),"REVIEW"))</f>
        <v/>
      </c>
      <c r="H339">
        <f>IF(E339="","",IFERROR(VALUE(SUBSTITUTE('MSR RAW'!P339,",","")),0))</f>
        <v/>
      </c>
      <c r="I339">
        <f>IF(E339="","",IFERROR(VALUE(SUBSTITUTE('MSR RAW'!S339,",","")),0))</f>
        <v/>
      </c>
    </row>
    <row r="340" ht="68.65000000000001" customHeight="1" s="126">
      <c r="A340" t="n">
        <v>340</v>
      </c>
      <c r="B340" s="30">
        <f>IF('MSR RAW'!$A$3="","",'MSR RAW'!$A$3)</f>
        <v/>
      </c>
      <c r="C340">
        <f>IF(LEFT(TRIM('MSR RAW'!A340),11)="Department:",TRIM('MSR RAW'!A340),C339)</f>
        <v/>
      </c>
      <c r="D340">
        <f>IF(LEFT(TRIM('MSR RAW'!B340),9)="Location:",TRIM(MID('MSR RAW'!B340,10,999)),D339)</f>
        <v/>
      </c>
      <c r="E340">
        <f>IF(AND(ISNUMBER(SEARCH(" - ",TRIM('MSR RAW'!C340))),RIGHT(TRIM('MSR RAW'!C340),6)="Total:"),LEFT(TRIM('MSR RAW'!C340),SEARCH(" - ",TRIM('MSR RAW'!C340))-1),"")</f>
        <v/>
      </c>
      <c r="F340">
        <f>IF(E340="","",TRIM(MID(TRIM('MSR RAW'!C340),SEARCH(" - ",TRIM('MSR RAW'!C340))+3,LEN(TRIM('MSR RAW'!C340))-SEARCH(" - ",TRIM('MSR RAW'!C340))-9)))</f>
        <v/>
      </c>
      <c r="G340">
        <f>IF(E340="","",IFERROR(VLOOKUP(E340,'CATEGORY MAP'!$A$2:$B$20,2,FALSE()),"REVIEW"))</f>
        <v/>
      </c>
      <c r="H340">
        <f>IF(E340="","",IFERROR(VALUE(SUBSTITUTE('MSR RAW'!P340,",","")),0))</f>
        <v/>
      </c>
      <c r="I340">
        <f>IF(E340="","",IFERROR(VALUE(SUBSTITUTE('MSR RAW'!S340,",","")),0))</f>
        <v/>
      </c>
    </row>
    <row r="341" ht="68.65000000000001" customHeight="1" s="126">
      <c r="A341" t="n">
        <v>341</v>
      </c>
      <c r="B341" s="30">
        <f>IF('MSR RAW'!$A$3="","",'MSR RAW'!$A$3)</f>
        <v/>
      </c>
      <c r="C341">
        <f>IF(LEFT(TRIM('MSR RAW'!A341),11)="Department:",TRIM('MSR RAW'!A341),C340)</f>
        <v/>
      </c>
      <c r="D341">
        <f>IF(LEFT(TRIM('MSR RAW'!B341),9)="Location:",TRIM(MID('MSR RAW'!B341,10,999)),D340)</f>
        <v/>
      </c>
      <c r="E341">
        <f>IF(AND(ISNUMBER(SEARCH(" - ",TRIM('MSR RAW'!C341))),RIGHT(TRIM('MSR RAW'!C341),6)="Total:"),LEFT(TRIM('MSR RAW'!C341),SEARCH(" - ",TRIM('MSR RAW'!C341))-1),"")</f>
        <v/>
      </c>
      <c r="F341">
        <f>IF(E341="","",TRIM(MID(TRIM('MSR RAW'!C341),SEARCH(" - ",TRIM('MSR RAW'!C341))+3,LEN(TRIM('MSR RAW'!C341))-SEARCH(" - ",TRIM('MSR RAW'!C341))-9)))</f>
        <v/>
      </c>
      <c r="G341">
        <f>IF(E341="","",IFERROR(VLOOKUP(E341,'CATEGORY MAP'!$A$2:$B$20,2,FALSE()),"REVIEW"))</f>
        <v/>
      </c>
      <c r="H341">
        <f>IF(E341="","",IFERROR(VALUE(SUBSTITUTE('MSR RAW'!P341,",","")),0))</f>
        <v/>
      </c>
      <c r="I341">
        <f>IF(E341="","",IFERROR(VALUE(SUBSTITUTE('MSR RAW'!S341,",","")),0))</f>
        <v/>
      </c>
    </row>
    <row r="342" ht="68.65000000000001" customHeight="1" s="126">
      <c r="A342" t="n">
        <v>342</v>
      </c>
      <c r="B342" s="30">
        <f>IF('MSR RAW'!$A$3="","",'MSR RAW'!$A$3)</f>
        <v/>
      </c>
      <c r="C342">
        <f>IF(LEFT(TRIM('MSR RAW'!A342),11)="Department:",TRIM('MSR RAW'!A342),C341)</f>
        <v/>
      </c>
      <c r="D342">
        <f>IF(LEFT(TRIM('MSR RAW'!B342),9)="Location:",TRIM(MID('MSR RAW'!B342,10,999)),D341)</f>
        <v/>
      </c>
      <c r="E342">
        <f>IF(AND(ISNUMBER(SEARCH(" - ",TRIM('MSR RAW'!C342))),RIGHT(TRIM('MSR RAW'!C342),6)="Total:"),LEFT(TRIM('MSR RAW'!C342),SEARCH(" - ",TRIM('MSR RAW'!C342))-1),"")</f>
        <v/>
      </c>
      <c r="F342">
        <f>IF(E342="","",TRIM(MID(TRIM('MSR RAW'!C342),SEARCH(" - ",TRIM('MSR RAW'!C342))+3,LEN(TRIM('MSR RAW'!C342))-SEARCH(" - ",TRIM('MSR RAW'!C342))-9)))</f>
        <v/>
      </c>
      <c r="G342">
        <f>IF(E342="","",IFERROR(VLOOKUP(E342,'CATEGORY MAP'!$A$2:$B$20,2,FALSE()),"REVIEW"))</f>
        <v/>
      </c>
      <c r="H342">
        <f>IF(E342="","",IFERROR(VALUE(SUBSTITUTE('MSR RAW'!P342,",","")),0))</f>
        <v/>
      </c>
      <c r="I342">
        <f>IF(E342="","",IFERROR(VALUE(SUBSTITUTE('MSR RAW'!S342,",","")),0))</f>
        <v/>
      </c>
    </row>
    <row r="343" ht="68.65000000000001" customHeight="1" s="126">
      <c r="A343" t="n">
        <v>343</v>
      </c>
      <c r="B343" s="30">
        <f>IF('MSR RAW'!$A$3="","",'MSR RAW'!$A$3)</f>
        <v/>
      </c>
      <c r="C343">
        <f>IF(LEFT(TRIM('MSR RAW'!A343),11)="Department:",TRIM('MSR RAW'!A343),C342)</f>
        <v/>
      </c>
      <c r="D343">
        <f>IF(LEFT(TRIM('MSR RAW'!B343),9)="Location:",TRIM(MID('MSR RAW'!B343,10,999)),D342)</f>
        <v/>
      </c>
      <c r="E343">
        <f>IF(AND(ISNUMBER(SEARCH(" - ",TRIM('MSR RAW'!C343))),RIGHT(TRIM('MSR RAW'!C343),6)="Total:"),LEFT(TRIM('MSR RAW'!C343),SEARCH(" - ",TRIM('MSR RAW'!C343))-1),"")</f>
        <v/>
      </c>
      <c r="F343">
        <f>IF(E343="","",TRIM(MID(TRIM('MSR RAW'!C343),SEARCH(" - ",TRIM('MSR RAW'!C343))+3,LEN(TRIM('MSR RAW'!C343))-SEARCH(" - ",TRIM('MSR RAW'!C343))-9)))</f>
        <v/>
      </c>
      <c r="G343">
        <f>IF(E343="","",IFERROR(VLOOKUP(E343,'CATEGORY MAP'!$A$2:$B$20,2,FALSE()),"REVIEW"))</f>
        <v/>
      </c>
      <c r="H343">
        <f>IF(E343="","",IFERROR(VALUE(SUBSTITUTE('MSR RAW'!P343,",","")),0))</f>
        <v/>
      </c>
      <c r="I343">
        <f>IF(E343="","",IFERROR(VALUE(SUBSTITUTE('MSR RAW'!S343,",","")),0))</f>
        <v/>
      </c>
    </row>
    <row r="344" ht="68.65000000000001" customHeight="1" s="126">
      <c r="A344" t="n">
        <v>344</v>
      </c>
      <c r="B344" s="30">
        <f>IF('MSR RAW'!$A$3="","",'MSR RAW'!$A$3)</f>
        <v/>
      </c>
      <c r="C344">
        <f>IF(LEFT(TRIM('MSR RAW'!A344),11)="Department:",TRIM('MSR RAW'!A344),C343)</f>
        <v/>
      </c>
      <c r="D344">
        <f>IF(LEFT(TRIM('MSR RAW'!B344),9)="Location:",TRIM(MID('MSR RAW'!B344,10,999)),D343)</f>
        <v/>
      </c>
      <c r="E344">
        <f>IF(AND(ISNUMBER(SEARCH(" - ",TRIM('MSR RAW'!C344))),RIGHT(TRIM('MSR RAW'!C344),6)="Total:"),LEFT(TRIM('MSR RAW'!C344),SEARCH(" - ",TRIM('MSR RAW'!C344))-1),"")</f>
        <v/>
      </c>
      <c r="F344">
        <f>IF(E344="","",TRIM(MID(TRIM('MSR RAW'!C344),SEARCH(" - ",TRIM('MSR RAW'!C344))+3,LEN(TRIM('MSR RAW'!C344))-SEARCH(" - ",TRIM('MSR RAW'!C344))-9)))</f>
        <v/>
      </c>
      <c r="G344">
        <f>IF(E344="","",IFERROR(VLOOKUP(E344,'CATEGORY MAP'!$A$2:$B$20,2,FALSE()),"REVIEW"))</f>
        <v/>
      </c>
      <c r="H344">
        <f>IF(E344="","",IFERROR(VALUE(SUBSTITUTE('MSR RAW'!P344,",","")),0))</f>
        <v/>
      </c>
      <c r="I344">
        <f>IF(E344="","",IFERROR(VALUE(SUBSTITUTE('MSR RAW'!S344,",","")),0))</f>
        <v/>
      </c>
    </row>
    <row r="345" ht="68.65000000000001" customHeight="1" s="126">
      <c r="A345" t="n">
        <v>345</v>
      </c>
      <c r="B345" s="30">
        <f>IF('MSR RAW'!$A$3="","",'MSR RAW'!$A$3)</f>
        <v/>
      </c>
      <c r="C345">
        <f>IF(LEFT(TRIM('MSR RAW'!A345),11)="Department:",TRIM('MSR RAW'!A345),C344)</f>
        <v/>
      </c>
      <c r="D345">
        <f>IF(LEFT(TRIM('MSR RAW'!B345),9)="Location:",TRIM(MID('MSR RAW'!B345,10,999)),D344)</f>
        <v/>
      </c>
      <c r="E345">
        <f>IF(AND(ISNUMBER(SEARCH(" - ",TRIM('MSR RAW'!C345))),RIGHT(TRIM('MSR RAW'!C345),6)="Total:"),LEFT(TRIM('MSR RAW'!C345),SEARCH(" - ",TRIM('MSR RAW'!C345))-1),"")</f>
        <v/>
      </c>
      <c r="F345">
        <f>IF(E345="","",TRIM(MID(TRIM('MSR RAW'!C345),SEARCH(" - ",TRIM('MSR RAW'!C345))+3,LEN(TRIM('MSR RAW'!C345))-SEARCH(" - ",TRIM('MSR RAW'!C345))-9)))</f>
        <v/>
      </c>
      <c r="G345">
        <f>IF(E345="","",IFERROR(VLOOKUP(E345,'CATEGORY MAP'!$A$2:$B$20,2,FALSE()),"REVIEW"))</f>
        <v/>
      </c>
      <c r="H345">
        <f>IF(E345="","",IFERROR(VALUE(SUBSTITUTE('MSR RAW'!P345,",","")),0))</f>
        <v/>
      </c>
      <c r="I345">
        <f>IF(E345="","",IFERROR(VALUE(SUBSTITUTE('MSR RAW'!S345,",","")),0))</f>
        <v/>
      </c>
    </row>
    <row r="346" ht="68.65000000000001" customHeight="1" s="126">
      <c r="A346" t="n">
        <v>346</v>
      </c>
      <c r="B346" s="30">
        <f>IF('MSR RAW'!$A$3="","",'MSR RAW'!$A$3)</f>
        <v/>
      </c>
      <c r="C346">
        <f>IF(LEFT(TRIM('MSR RAW'!A346),11)="Department:",TRIM('MSR RAW'!A346),C345)</f>
        <v/>
      </c>
      <c r="D346">
        <f>IF(LEFT(TRIM('MSR RAW'!B346),9)="Location:",TRIM(MID('MSR RAW'!B346,10,999)),D345)</f>
        <v/>
      </c>
      <c r="E346">
        <f>IF(AND(ISNUMBER(SEARCH(" - ",TRIM('MSR RAW'!C346))),RIGHT(TRIM('MSR RAW'!C346),6)="Total:"),LEFT(TRIM('MSR RAW'!C346),SEARCH(" - ",TRIM('MSR RAW'!C346))-1),"")</f>
        <v/>
      </c>
      <c r="F346">
        <f>IF(E346="","",TRIM(MID(TRIM('MSR RAW'!C346),SEARCH(" - ",TRIM('MSR RAW'!C346))+3,LEN(TRIM('MSR RAW'!C346))-SEARCH(" - ",TRIM('MSR RAW'!C346))-9)))</f>
        <v/>
      </c>
      <c r="G346">
        <f>IF(E346="","",IFERROR(VLOOKUP(E346,'CATEGORY MAP'!$A$2:$B$20,2,FALSE()),"REVIEW"))</f>
        <v/>
      </c>
      <c r="H346">
        <f>IF(E346="","",IFERROR(VALUE(SUBSTITUTE('MSR RAW'!P346,",","")),0))</f>
        <v/>
      </c>
      <c r="I346">
        <f>IF(E346="","",IFERROR(VALUE(SUBSTITUTE('MSR RAW'!S346,",","")),0))</f>
        <v/>
      </c>
    </row>
    <row r="347" ht="68.65000000000001" customHeight="1" s="126">
      <c r="A347" t="n">
        <v>347</v>
      </c>
      <c r="B347" s="30">
        <f>IF('MSR RAW'!$A$3="","",'MSR RAW'!$A$3)</f>
        <v/>
      </c>
      <c r="C347">
        <f>IF(LEFT(TRIM('MSR RAW'!A347),11)="Department:",TRIM('MSR RAW'!A347),C346)</f>
        <v/>
      </c>
      <c r="D347">
        <f>IF(LEFT(TRIM('MSR RAW'!B347),9)="Location:",TRIM(MID('MSR RAW'!B347,10,999)),D346)</f>
        <v/>
      </c>
      <c r="E347">
        <f>IF(AND(ISNUMBER(SEARCH(" - ",TRIM('MSR RAW'!C347))),RIGHT(TRIM('MSR RAW'!C347),6)="Total:"),LEFT(TRIM('MSR RAW'!C347),SEARCH(" - ",TRIM('MSR RAW'!C347))-1),"")</f>
        <v/>
      </c>
      <c r="F347">
        <f>IF(E347="","",TRIM(MID(TRIM('MSR RAW'!C347),SEARCH(" - ",TRIM('MSR RAW'!C347))+3,LEN(TRIM('MSR RAW'!C347))-SEARCH(" - ",TRIM('MSR RAW'!C347))-9)))</f>
        <v/>
      </c>
      <c r="G347">
        <f>IF(E347="","",IFERROR(VLOOKUP(E347,'CATEGORY MAP'!$A$2:$B$20,2,FALSE()),"REVIEW"))</f>
        <v/>
      </c>
      <c r="H347">
        <f>IF(E347="","",IFERROR(VALUE(SUBSTITUTE('MSR RAW'!P347,",","")),0))</f>
        <v/>
      </c>
      <c r="I347">
        <f>IF(E347="","",IFERROR(VALUE(SUBSTITUTE('MSR RAW'!S347,",","")),0))</f>
        <v/>
      </c>
    </row>
    <row r="348" ht="68.65000000000001" customHeight="1" s="126">
      <c r="A348" t="n">
        <v>348</v>
      </c>
      <c r="B348" s="30">
        <f>IF('MSR RAW'!$A$3="","",'MSR RAW'!$A$3)</f>
        <v/>
      </c>
      <c r="C348">
        <f>IF(LEFT(TRIM('MSR RAW'!A348),11)="Department:",TRIM('MSR RAW'!A348),C347)</f>
        <v/>
      </c>
      <c r="D348">
        <f>IF(LEFT(TRIM('MSR RAW'!B348),9)="Location:",TRIM(MID('MSR RAW'!B348,10,999)),D347)</f>
        <v/>
      </c>
      <c r="E348">
        <f>IF(AND(ISNUMBER(SEARCH(" - ",TRIM('MSR RAW'!C348))),RIGHT(TRIM('MSR RAW'!C348),6)="Total:"),LEFT(TRIM('MSR RAW'!C348),SEARCH(" - ",TRIM('MSR RAW'!C348))-1),"")</f>
        <v/>
      </c>
      <c r="F348">
        <f>IF(E348="","",TRIM(MID(TRIM('MSR RAW'!C348),SEARCH(" - ",TRIM('MSR RAW'!C348))+3,LEN(TRIM('MSR RAW'!C348))-SEARCH(" - ",TRIM('MSR RAW'!C348))-9)))</f>
        <v/>
      </c>
      <c r="G348">
        <f>IF(E348="","",IFERROR(VLOOKUP(E348,'CATEGORY MAP'!$A$2:$B$20,2,FALSE()),"REVIEW"))</f>
        <v/>
      </c>
      <c r="H348">
        <f>IF(E348="","",IFERROR(VALUE(SUBSTITUTE('MSR RAW'!P348,",","")),0))</f>
        <v/>
      </c>
      <c r="I348">
        <f>IF(E348="","",IFERROR(VALUE(SUBSTITUTE('MSR RAW'!S348,",","")),0))</f>
        <v/>
      </c>
    </row>
    <row r="349" ht="68.65000000000001" customHeight="1" s="126">
      <c r="A349" t="n">
        <v>349</v>
      </c>
      <c r="B349" s="30">
        <f>IF('MSR RAW'!$A$3="","",'MSR RAW'!$A$3)</f>
        <v/>
      </c>
      <c r="C349">
        <f>IF(LEFT(TRIM('MSR RAW'!A349),11)="Department:",TRIM('MSR RAW'!A349),C348)</f>
        <v/>
      </c>
      <c r="D349">
        <f>IF(LEFT(TRIM('MSR RAW'!B349),9)="Location:",TRIM(MID('MSR RAW'!B349,10,999)),D348)</f>
        <v/>
      </c>
      <c r="E349">
        <f>IF(AND(ISNUMBER(SEARCH(" - ",TRIM('MSR RAW'!C349))),RIGHT(TRIM('MSR RAW'!C349),6)="Total:"),LEFT(TRIM('MSR RAW'!C349),SEARCH(" - ",TRIM('MSR RAW'!C349))-1),"")</f>
        <v/>
      </c>
      <c r="F349">
        <f>IF(E349="","",TRIM(MID(TRIM('MSR RAW'!C349),SEARCH(" - ",TRIM('MSR RAW'!C349))+3,LEN(TRIM('MSR RAW'!C349))-SEARCH(" - ",TRIM('MSR RAW'!C349))-9)))</f>
        <v/>
      </c>
      <c r="G349">
        <f>IF(E349="","",IFERROR(VLOOKUP(E349,'CATEGORY MAP'!$A$2:$B$20,2,FALSE()),"REVIEW"))</f>
        <v/>
      </c>
      <c r="H349">
        <f>IF(E349="","",IFERROR(VALUE(SUBSTITUTE('MSR RAW'!P349,",","")),0))</f>
        <v/>
      </c>
      <c r="I349">
        <f>IF(E349="","",IFERROR(VALUE(SUBSTITUTE('MSR RAW'!S349,",","")),0))</f>
        <v/>
      </c>
    </row>
    <row r="350" ht="68.65000000000001" customHeight="1" s="126">
      <c r="A350" t="n">
        <v>350</v>
      </c>
      <c r="B350" s="30">
        <f>IF('MSR RAW'!$A$3="","",'MSR RAW'!$A$3)</f>
        <v/>
      </c>
      <c r="C350">
        <f>IF(LEFT(TRIM('MSR RAW'!A350),11)="Department:",TRIM('MSR RAW'!A350),C349)</f>
        <v/>
      </c>
      <c r="D350">
        <f>IF(LEFT(TRIM('MSR RAW'!B350),9)="Location:",TRIM(MID('MSR RAW'!B350,10,999)),D349)</f>
        <v/>
      </c>
      <c r="E350">
        <f>IF(AND(ISNUMBER(SEARCH(" - ",TRIM('MSR RAW'!C350))),RIGHT(TRIM('MSR RAW'!C350),6)="Total:"),LEFT(TRIM('MSR RAW'!C350),SEARCH(" - ",TRIM('MSR RAW'!C350))-1),"")</f>
        <v/>
      </c>
      <c r="F350">
        <f>IF(E350="","",TRIM(MID(TRIM('MSR RAW'!C350),SEARCH(" - ",TRIM('MSR RAW'!C350))+3,LEN(TRIM('MSR RAW'!C350))-SEARCH(" - ",TRIM('MSR RAW'!C350))-9)))</f>
        <v/>
      </c>
      <c r="G350">
        <f>IF(E350="","",IFERROR(VLOOKUP(E350,'CATEGORY MAP'!$A$2:$B$20,2,FALSE()),"REVIEW"))</f>
        <v/>
      </c>
      <c r="H350">
        <f>IF(E350="","",IFERROR(VALUE(SUBSTITUTE('MSR RAW'!P350,",","")),0))</f>
        <v/>
      </c>
      <c r="I350">
        <f>IF(E350="","",IFERROR(VALUE(SUBSTITUTE('MSR RAW'!S350,",","")),0))</f>
        <v/>
      </c>
    </row>
    <row r="351" ht="68.65000000000001" customHeight="1" s="126">
      <c r="A351" t="n">
        <v>351</v>
      </c>
      <c r="B351" s="30">
        <f>IF('MSR RAW'!$A$3="","",'MSR RAW'!$A$3)</f>
        <v/>
      </c>
      <c r="C351">
        <f>IF(LEFT(TRIM('MSR RAW'!A351),11)="Department:",TRIM('MSR RAW'!A351),C350)</f>
        <v/>
      </c>
      <c r="D351">
        <f>IF(LEFT(TRIM('MSR RAW'!B351),9)="Location:",TRIM(MID('MSR RAW'!B351,10,999)),D350)</f>
        <v/>
      </c>
      <c r="E351">
        <f>IF(AND(ISNUMBER(SEARCH(" - ",TRIM('MSR RAW'!C351))),RIGHT(TRIM('MSR RAW'!C351),6)="Total:"),LEFT(TRIM('MSR RAW'!C351),SEARCH(" - ",TRIM('MSR RAW'!C351))-1),"")</f>
        <v/>
      </c>
      <c r="F351">
        <f>IF(E351="","",TRIM(MID(TRIM('MSR RAW'!C351),SEARCH(" - ",TRIM('MSR RAW'!C351))+3,LEN(TRIM('MSR RAW'!C351))-SEARCH(" - ",TRIM('MSR RAW'!C351))-9)))</f>
        <v/>
      </c>
      <c r="G351">
        <f>IF(E351="","",IFERROR(VLOOKUP(E351,'CATEGORY MAP'!$A$2:$B$20,2,FALSE()),"REVIEW"))</f>
        <v/>
      </c>
      <c r="H351">
        <f>IF(E351="","",IFERROR(VALUE(SUBSTITUTE('MSR RAW'!P351,",","")),0))</f>
        <v/>
      </c>
      <c r="I351">
        <f>IF(E351="","",IFERROR(VALUE(SUBSTITUTE('MSR RAW'!S351,",","")),0))</f>
        <v/>
      </c>
    </row>
    <row r="352" ht="68.65000000000001" customHeight="1" s="126">
      <c r="A352" t="n">
        <v>352</v>
      </c>
      <c r="B352" s="30">
        <f>IF('MSR RAW'!$A$3="","",'MSR RAW'!$A$3)</f>
        <v/>
      </c>
      <c r="C352">
        <f>IF(LEFT(TRIM('MSR RAW'!A352),11)="Department:",TRIM('MSR RAW'!A352),C351)</f>
        <v/>
      </c>
      <c r="D352">
        <f>IF(LEFT(TRIM('MSR RAW'!B352),9)="Location:",TRIM(MID('MSR RAW'!B352,10,999)),D351)</f>
        <v/>
      </c>
      <c r="E352">
        <f>IF(AND(ISNUMBER(SEARCH(" - ",TRIM('MSR RAW'!C352))),RIGHT(TRIM('MSR RAW'!C352),6)="Total:"),LEFT(TRIM('MSR RAW'!C352),SEARCH(" - ",TRIM('MSR RAW'!C352))-1),"")</f>
        <v/>
      </c>
      <c r="F352">
        <f>IF(E352="","",TRIM(MID(TRIM('MSR RAW'!C352),SEARCH(" - ",TRIM('MSR RAW'!C352))+3,LEN(TRIM('MSR RAW'!C352))-SEARCH(" - ",TRIM('MSR RAW'!C352))-9)))</f>
        <v/>
      </c>
      <c r="G352">
        <f>IF(E352="","",IFERROR(VLOOKUP(E352,'CATEGORY MAP'!$A$2:$B$20,2,FALSE()),"REVIEW"))</f>
        <v/>
      </c>
      <c r="H352">
        <f>IF(E352="","",IFERROR(VALUE(SUBSTITUTE('MSR RAW'!P352,",","")),0))</f>
        <v/>
      </c>
      <c r="I352">
        <f>IF(E352="","",IFERROR(VALUE(SUBSTITUTE('MSR RAW'!S352,",","")),0))</f>
        <v/>
      </c>
    </row>
    <row r="353" ht="68.65000000000001" customHeight="1" s="126">
      <c r="A353" t="n">
        <v>353</v>
      </c>
      <c r="B353" s="30">
        <f>IF('MSR RAW'!$A$3="","",'MSR RAW'!$A$3)</f>
        <v/>
      </c>
      <c r="C353">
        <f>IF(LEFT(TRIM('MSR RAW'!A353),11)="Department:",TRIM('MSR RAW'!A353),C352)</f>
        <v/>
      </c>
      <c r="D353">
        <f>IF(LEFT(TRIM('MSR RAW'!B353),9)="Location:",TRIM(MID('MSR RAW'!B353,10,999)),D352)</f>
        <v/>
      </c>
      <c r="E353">
        <f>IF(AND(ISNUMBER(SEARCH(" - ",TRIM('MSR RAW'!C353))),RIGHT(TRIM('MSR RAW'!C353),6)="Total:"),LEFT(TRIM('MSR RAW'!C353),SEARCH(" - ",TRIM('MSR RAW'!C353))-1),"")</f>
        <v/>
      </c>
      <c r="F353">
        <f>IF(E353="","",TRIM(MID(TRIM('MSR RAW'!C353),SEARCH(" - ",TRIM('MSR RAW'!C353))+3,LEN(TRIM('MSR RAW'!C353))-SEARCH(" - ",TRIM('MSR RAW'!C353))-9)))</f>
        <v/>
      </c>
      <c r="G353">
        <f>IF(E353="","",IFERROR(VLOOKUP(E353,'CATEGORY MAP'!$A$2:$B$20,2,FALSE()),"REVIEW"))</f>
        <v/>
      </c>
      <c r="H353">
        <f>IF(E353="","",IFERROR(VALUE(SUBSTITUTE('MSR RAW'!P353,",","")),0))</f>
        <v/>
      </c>
      <c r="I353">
        <f>IF(E353="","",IFERROR(VALUE(SUBSTITUTE('MSR RAW'!S353,",","")),0))</f>
        <v/>
      </c>
    </row>
    <row r="354" ht="68.65000000000001" customHeight="1" s="126">
      <c r="A354" t="n">
        <v>354</v>
      </c>
      <c r="B354" s="30">
        <f>IF('MSR RAW'!$A$3="","",'MSR RAW'!$A$3)</f>
        <v/>
      </c>
      <c r="C354">
        <f>IF(LEFT(TRIM('MSR RAW'!A354),11)="Department:",TRIM('MSR RAW'!A354),C353)</f>
        <v/>
      </c>
      <c r="D354">
        <f>IF(LEFT(TRIM('MSR RAW'!B354),9)="Location:",TRIM(MID('MSR RAW'!B354,10,999)),D353)</f>
        <v/>
      </c>
      <c r="E354">
        <f>IF(AND(ISNUMBER(SEARCH(" - ",TRIM('MSR RAW'!C354))),RIGHT(TRIM('MSR RAW'!C354),6)="Total:"),LEFT(TRIM('MSR RAW'!C354),SEARCH(" - ",TRIM('MSR RAW'!C354))-1),"")</f>
        <v/>
      </c>
      <c r="F354">
        <f>IF(E354="","",TRIM(MID(TRIM('MSR RAW'!C354),SEARCH(" - ",TRIM('MSR RAW'!C354))+3,LEN(TRIM('MSR RAW'!C354))-SEARCH(" - ",TRIM('MSR RAW'!C354))-9)))</f>
        <v/>
      </c>
      <c r="G354">
        <f>IF(E354="","",IFERROR(VLOOKUP(E354,'CATEGORY MAP'!$A$2:$B$20,2,FALSE()),"REVIEW"))</f>
        <v/>
      </c>
      <c r="H354">
        <f>IF(E354="","",IFERROR(VALUE(SUBSTITUTE('MSR RAW'!P354,",","")),0))</f>
        <v/>
      </c>
      <c r="I354">
        <f>IF(E354="","",IFERROR(VALUE(SUBSTITUTE('MSR RAW'!S354,",","")),0))</f>
        <v/>
      </c>
    </row>
    <row r="355" ht="68.65000000000001" customHeight="1" s="126">
      <c r="A355" t="n">
        <v>355</v>
      </c>
      <c r="B355" s="30">
        <f>IF('MSR RAW'!$A$3="","",'MSR RAW'!$A$3)</f>
        <v/>
      </c>
      <c r="C355">
        <f>IF(LEFT(TRIM('MSR RAW'!A355),11)="Department:",TRIM('MSR RAW'!A355),C354)</f>
        <v/>
      </c>
      <c r="D355">
        <f>IF(LEFT(TRIM('MSR RAW'!B355),9)="Location:",TRIM(MID('MSR RAW'!B355,10,999)),D354)</f>
        <v/>
      </c>
      <c r="E355">
        <f>IF(AND(ISNUMBER(SEARCH(" - ",TRIM('MSR RAW'!C355))),RIGHT(TRIM('MSR RAW'!C355),6)="Total:"),LEFT(TRIM('MSR RAW'!C355),SEARCH(" - ",TRIM('MSR RAW'!C355))-1),"")</f>
        <v/>
      </c>
      <c r="F355">
        <f>IF(E355="","",TRIM(MID(TRIM('MSR RAW'!C355),SEARCH(" - ",TRIM('MSR RAW'!C355))+3,LEN(TRIM('MSR RAW'!C355))-SEARCH(" - ",TRIM('MSR RAW'!C355))-9)))</f>
        <v/>
      </c>
      <c r="G355">
        <f>IF(E355="","",IFERROR(VLOOKUP(E355,'CATEGORY MAP'!$A$2:$B$20,2,FALSE()),"REVIEW"))</f>
        <v/>
      </c>
      <c r="H355">
        <f>IF(E355="","",IFERROR(VALUE(SUBSTITUTE('MSR RAW'!P355,",","")),0))</f>
        <v/>
      </c>
      <c r="I355">
        <f>IF(E355="","",IFERROR(VALUE(SUBSTITUTE('MSR RAW'!S355,",","")),0))</f>
        <v/>
      </c>
    </row>
    <row r="356" ht="68.65000000000001" customHeight="1" s="126">
      <c r="A356" t="n">
        <v>356</v>
      </c>
      <c r="B356" s="30">
        <f>IF('MSR RAW'!$A$3="","",'MSR RAW'!$A$3)</f>
        <v/>
      </c>
      <c r="C356">
        <f>IF(LEFT(TRIM('MSR RAW'!A356),11)="Department:",TRIM('MSR RAW'!A356),C355)</f>
        <v/>
      </c>
      <c r="D356">
        <f>IF(LEFT(TRIM('MSR RAW'!B356),9)="Location:",TRIM(MID('MSR RAW'!B356,10,999)),D355)</f>
        <v/>
      </c>
      <c r="E356">
        <f>IF(AND(ISNUMBER(SEARCH(" - ",TRIM('MSR RAW'!C356))),RIGHT(TRIM('MSR RAW'!C356),6)="Total:"),LEFT(TRIM('MSR RAW'!C356),SEARCH(" - ",TRIM('MSR RAW'!C356))-1),"")</f>
        <v/>
      </c>
      <c r="F356">
        <f>IF(E356="","",TRIM(MID(TRIM('MSR RAW'!C356),SEARCH(" - ",TRIM('MSR RAW'!C356))+3,LEN(TRIM('MSR RAW'!C356))-SEARCH(" - ",TRIM('MSR RAW'!C356))-9)))</f>
        <v/>
      </c>
      <c r="G356">
        <f>IF(E356="","",IFERROR(VLOOKUP(E356,'CATEGORY MAP'!$A$2:$B$20,2,FALSE()),"REVIEW"))</f>
        <v/>
      </c>
      <c r="H356">
        <f>IF(E356="","",IFERROR(VALUE(SUBSTITUTE('MSR RAW'!P356,",","")),0))</f>
        <v/>
      </c>
      <c r="I356">
        <f>IF(E356="","",IFERROR(VALUE(SUBSTITUTE('MSR RAW'!S356,",","")),0))</f>
        <v/>
      </c>
    </row>
    <row r="357" ht="68.65000000000001" customHeight="1" s="126">
      <c r="A357" t="n">
        <v>357</v>
      </c>
      <c r="B357" s="30">
        <f>IF('MSR RAW'!$A$3="","",'MSR RAW'!$A$3)</f>
        <v/>
      </c>
      <c r="C357">
        <f>IF(LEFT(TRIM('MSR RAW'!A357),11)="Department:",TRIM('MSR RAW'!A357),C356)</f>
        <v/>
      </c>
      <c r="D357">
        <f>IF(LEFT(TRIM('MSR RAW'!B357),9)="Location:",TRIM(MID('MSR RAW'!B357,10,999)),D356)</f>
        <v/>
      </c>
      <c r="E357">
        <f>IF(AND(ISNUMBER(SEARCH(" - ",TRIM('MSR RAW'!C357))),RIGHT(TRIM('MSR RAW'!C357),6)="Total:"),LEFT(TRIM('MSR RAW'!C357),SEARCH(" - ",TRIM('MSR RAW'!C357))-1),"")</f>
        <v/>
      </c>
      <c r="F357">
        <f>IF(E357="","",TRIM(MID(TRIM('MSR RAW'!C357),SEARCH(" - ",TRIM('MSR RAW'!C357))+3,LEN(TRIM('MSR RAW'!C357))-SEARCH(" - ",TRIM('MSR RAW'!C357))-9)))</f>
        <v/>
      </c>
      <c r="G357">
        <f>IF(E357="","",IFERROR(VLOOKUP(E357,'CATEGORY MAP'!$A$2:$B$20,2,FALSE()),"REVIEW"))</f>
        <v/>
      </c>
      <c r="H357">
        <f>IF(E357="","",IFERROR(VALUE(SUBSTITUTE('MSR RAW'!P357,",","")),0))</f>
        <v/>
      </c>
      <c r="I357">
        <f>IF(E357="","",IFERROR(VALUE(SUBSTITUTE('MSR RAW'!S357,",","")),0))</f>
        <v/>
      </c>
    </row>
    <row r="358" ht="68.65000000000001" customHeight="1" s="126">
      <c r="A358" t="n">
        <v>358</v>
      </c>
      <c r="B358" s="30">
        <f>IF('MSR RAW'!$A$3="","",'MSR RAW'!$A$3)</f>
        <v/>
      </c>
      <c r="C358">
        <f>IF(LEFT(TRIM('MSR RAW'!A358),11)="Department:",TRIM('MSR RAW'!A358),C357)</f>
        <v/>
      </c>
      <c r="D358">
        <f>IF(LEFT(TRIM('MSR RAW'!B358),9)="Location:",TRIM(MID('MSR RAW'!B358,10,999)),D357)</f>
        <v/>
      </c>
      <c r="E358">
        <f>IF(AND(ISNUMBER(SEARCH(" - ",TRIM('MSR RAW'!C358))),RIGHT(TRIM('MSR RAW'!C358),6)="Total:"),LEFT(TRIM('MSR RAW'!C358),SEARCH(" - ",TRIM('MSR RAW'!C358))-1),"")</f>
        <v/>
      </c>
      <c r="F358">
        <f>IF(E358="","",TRIM(MID(TRIM('MSR RAW'!C358),SEARCH(" - ",TRIM('MSR RAW'!C358))+3,LEN(TRIM('MSR RAW'!C358))-SEARCH(" - ",TRIM('MSR RAW'!C358))-9)))</f>
        <v/>
      </c>
      <c r="G358">
        <f>IF(E358="","",IFERROR(VLOOKUP(E358,'CATEGORY MAP'!$A$2:$B$20,2,FALSE()),"REVIEW"))</f>
        <v/>
      </c>
      <c r="H358">
        <f>IF(E358="","",IFERROR(VALUE(SUBSTITUTE('MSR RAW'!P358,",","")),0))</f>
        <v/>
      </c>
      <c r="I358">
        <f>IF(E358="","",IFERROR(VALUE(SUBSTITUTE('MSR RAW'!S358,",","")),0))</f>
        <v/>
      </c>
    </row>
    <row r="359" ht="68.65000000000001" customHeight="1" s="126">
      <c r="A359" t="n">
        <v>359</v>
      </c>
      <c r="B359" s="30">
        <f>IF('MSR RAW'!$A$3="","",'MSR RAW'!$A$3)</f>
        <v/>
      </c>
      <c r="C359">
        <f>IF(LEFT(TRIM('MSR RAW'!A359),11)="Department:",TRIM('MSR RAW'!A359),C358)</f>
        <v/>
      </c>
      <c r="D359">
        <f>IF(LEFT(TRIM('MSR RAW'!B359),9)="Location:",TRIM(MID('MSR RAW'!B359,10,999)),D358)</f>
        <v/>
      </c>
      <c r="E359">
        <f>IF(AND(ISNUMBER(SEARCH(" - ",TRIM('MSR RAW'!C359))),RIGHT(TRIM('MSR RAW'!C359),6)="Total:"),LEFT(TRIM('MSR RAW'!C359),SEARCH(" - ",TRIM('MSR RAW'!C359))-1),"")</f>
        <v/>
      </c>
      <c r="F359">
        <f>IF(E359="","",TRIM(MID(TRIM('MSR RAW'!C359),SEARCH(" - ",TRIM('MSR RAW'!C359))+3,LEN(TRIM('MSR RAW'!C359))-SEARCH(" - ",TRIM('MSR RAW'!C359))-9)))</f>
        <v/>
      </c>
      <c r="G359">
        <f>IF(E359="","",IFERROR(VLOOKUP(E359,'CATEGORY MAP'!$A$2:$B$20,2,FALSE()),"REVIEW"))</f>
        <v/>
      </c>
      <c r="H359">
        <f>IF(E359="","",IFERROR(VALUE(SUBSTITUTE('MSR RAW'!P359,",","")),0))</f>
        <v/>
      </c>
      <c r="I359">
        <f>IF(E359="","",IFERROR(VALUE(SUBSTITUTE('MSR RAW'!S359,",","")),0))</f>
        <v/>
      </c>
    </row>
    <row r="360" ht="68.65000000000001" customHeight="1" s="126">
      <c r="A360" t="n">
        <v>360</v>
      </c>
      <c r="B360" s="30">
        <f>IF('MSR RAW'!$A$3="","",'MSR RAW'!$A$3)</f>
        <v/>
      </c>
      <c r="C360">
        <f>IF(LEFT(TRIM('MSR RAW'!A360),11)="Department:",TRIM('MSR RAW'!A360),C359)</f>
        <v/>
      </c>
      <c r="D360">
        <f>IF(LEFT(TRIM('MSR RAW'!B360),9)="Location:",TRIM(MID('MSR RAW'!B360,10,999)),D359)</f>
        <v/>
      </c>
      <c r="E360">
        <f>IF(AND(ISNUMBER(SEARCH(" - ",TRIM('MSR RAW'!C360))),RIGHT(TRIM('MSR RAW'!C360),6)="Total:"),LEFT(TRIM('MSR RAW'!C360),SEARCH(" - ",TRIM('MSR RAW'!C360))-1),"")</f>
        <v/>
      </c>
      <c r="F360">
        <f>IF(E360="","",TRIM(MID(TRIM('MSR RAW'!C360),SEARCH(" - ",TRIM('MSR RAW'!C360))+3,LEN(TRIM('MSR RAW'!C360))-SEARCH(" - ",TRIM('MSR RAW'!C360))-9)))</f>
        <v/>
      </c>
      <c r="G360">
        <f>IF(E360="","",IFERROR(VLOOKUP(E360,'CATEGORY MAP'!$A$2:$B$20,2,FALSE()),"REVIEW"))</f>
        <v/>
      </c>
      <c r="H360">
        <f>IF(E360="","",IFERROR(VALUE(SUBSTITUTE('MSR RAW'!P360,",","")),0))</f>
        <v/>
      </c>
      <c r="I360">
        <f>IF(E360="","",IFERROR(VALUE(SUBSTITUTE('MSR RAW'!S360,",","")),0))</f>
        <v/>
      </c>
    </row>
    <row r="361" ht="68.65000000000001" customHeight="1" s="126">
      <c r="A361" t="n">
        <v>361</v>
      </c>
      <c r="B361" s="30">
        <f>IF('MSR RAW'!$A$3="","",'MSR RAW'!$A$3)</f>
        <v/>
      </c>
      <c r="C361">
        <f>IF(LEFT(TRIM('MSR RAW'!A361),11)="Department:",TRIM('MSR RAW'!A361),C360)</f>
        <v/>
      </c>
      <c r="D361">
        <f>IF(LEFT(TRIM('MSR RAW'!B361),9)="Location:",TRIM(MID('MSR RAW'!B361,10,999)),D360)</f>
        <v/>
      </c>
      <c r="E361">
        <f>IF(AND(ISNUMBER(SEARCH(" - ",TRIM('MSR RAW'!C361))),RIGHT(TRIM('MSR RAW'!C361),6)="Total:"),LEFT(TRIM('MSR RAW'!C361),SEARCH(" - ",TRIM('MSR RAW'!C361))-1),"")</f>
        <v/>
      </c>
      <c r="F361">
        <f>IF(E361="","",TRIM(MID(TRIM('MSR RAW'!C361),SEARCH(" - ",TRIM('MSR RAW'!C361))+3,LEN(TRIM('MSR RAW'!C361))-SEARCH(" - ",TRIM('MSR RAW'!C361))-9)))</f>
        <v/>
      </c>
      <c r="G361">
        <f>IF(E361="","",IFERROR(VLOOKUP(E361,'CATEGORY MAP'!$A$2:$B$20,2,FALSE()),"REVIEW"))</f>
        <v/>
      </c>
      <c r="H361">
        <f>IF(E361="","",IFERROR(VALUE(SUBSTITUTE('MSR RAW'!P361,",","")),0))</f>
        <v/>
      </c>
      <c r="I361">
        <f>IF(E361="","",IFERROR(VALUE(SUBSTITUTE('MSR RAW'!S361,",","")),0))</f>
        <v/>
      </c>
    </row>
    <row r="362" ht="68.65000000000001" customHeight="1" s="126">
      <c r="A362" t="n">
        <v>362</v>
      </c>
      <c r="B362" s="30">
        <f>IF('MSR RAW'!$A$3="","",'MSR RAW'!$A$3)</f>
        <v/>
      </c>
      <c r="C362">
        <f>IF(LEFT(TRIM('MSR RAW'!A362),11)="Department:",TRIM('MSR RAW'!A362),C361)</f>
        <v/>
      </c>
      <c r="D362">
        <f>IF(LEFT(TRIM('MSR RAW'!B362),9)="Location:",TRIM(MID('MSR RAW'!B362,10,999)),D361)</f>
        <v/>
      </c>
      <c r="E362">
        <f>IF(AND(ISNUMBER(SEARCH(" - ",TRIM('MSR RAW'!C362))),RIGHT(TRIM('MSR RAW'!C362),6)="Total:"),LEFT(TRIM('MSR RAW'!C362),SEARCH(" - ",TRIM('MSR RAW'!C362))-1),"")</f>
        <v/>
      </c>
      <c r="F362">
        <f>IF(E362="","",TRIM(MID(TRIM('MSR RAW'!C362),SEARCH(" - ",TRIM('MSR RAW'!C362))+3,LEN(TRIM('MSR RAW'!C362))-SEARCH(" - ",TRIM('MSR RAW'!C362))-9)))</f>
        <v/>
      </c>
      <c r="G362">
        <f>IF(E362="","",IFERROR(VLOOKUP(E362,'CATEGORY MAP'!$A$2:$B$20,2,FALSE()),"REVIEW"))</f>
        <v/>
      </c>
      <c r="H362">
        <f>IF(E362="","",IFERROR(VALUE(SUBSTITUTE('MSR RAW'!P362,",","")),0))</f>
        <v/>
      </c>
      <c r="I362">
        <f>IF(E362="","",IFERROR(VALUE(SUBSTITUTE('MSR RAW'!S362,",","")),0))</f>
        <v/>
      </c>
    </row>
    <row r="363" ht="68.65000000000001" customHeight="1" s="126">
      <c r="A363" t="n">
        <v>363</v>
      </c>
      <c r="B363" s="30">
        <f>IF('MSR RAW'!$A$3="","",'MSR RAW'!$A$3)</f>
        <v/>
      </c>
      <c r="C363">
        <f>IF(LEFT(TRIM('MSR RAW'!A363),11)="Department:",TRIM('MSR RAW'!A363),C362)</f>
        <v/>
      </c>
      <c r="D363">
        <f>IF(LEFT(TRIM('MSR RAW'!B363),9)="Location:",TRIM(MID('MSR RAW'!B363,10,999)),D362)</f>
        <v/>
      </c>
      <c r="E363">
        <f>IF(AND(ISNUMBER(SEARCH(" - ",TRIM('MSR RAW'!C363))),RIGHT(TRIM('MSR RAW'!C363),6)="Total:"),LEFT(TRIM('MSR RAW'!C363),SEARCH(" - ",TRIM('MSR RAW'!C363))-1),"")</f>
        <v/>
      </c>
      <c r="F363">
        <f>IF(E363="","",TRIM(MID(TRIM('MSR RAW'!C363),SEARCH(" - ",TRIM('MSR RAW'!C363))+3,LEN(TRIM('MSR RAW'!C363))-SEARCH(" - ",TRIM('MSR RAW'!C363))-9)))</f>
        <v/>
      </c>
      <c r="G363">
        <f>IF(E363="","",IFERROR(VLOOKUP(E363,'CATEGORY MAP'!$A$2:$B$20,2,FALSE()),"REVIEW"))</f>
        <v/>
      </c>
      <c r="H363">
        <f>IF(E363="","",IFERROR(VALUE(SUBSTITUTE('MSR RAW'!P363,",","")),0))</f>
        <v/>
      </c>
      <c r="I363">
        <f>IF(E363="","",IFERROR(VALUE(SUBSTITUTE('MSR RAW'!S363,",","")),0))</f>
        <v/>
      </c>
    </row>
    <row r="364" ht="68.65000000000001" customHeight="1" s="126">
      <c r="A364" t="n">
        <v>364</v>
      </c>
      <c r="B364" s="30">
        <f>IF('MSR RAW'!$A$3="","",'MSR RAW'!$A$3)</f>
        <v/>
      </c>
      <c r="C364">
        <f>IF(LEFT(TRIM('MSR RAW'!A364),11)="Department:",TRIM('MSR RAW'!A364),C363)</f>
        <v/>
      </c>
      <c r="D364">
        <f>IF(LEFT(TRIM('MSR RAW'!B364),9)="Location:",TRIM(MID('MSR RAW'!B364,10,999)),D363)</f>
        <v/>
      </c>
      <c r="E364">
        <f>IF(AND(ISNUMBER(SEARCH(" - ",TRIM('MSR RAW'!C364))),RIGHT(TRIM('MSR RAW'!C364),6)="Total:"),LEFT(TRIM('MSR RAW'!C364),SEARCH(" - ",TRIM('MSR RAW'!C364))-1),"")</f>
        <v/>
      </c>
      <c r="F364">
        <f>IF(E364="","",TRIM(MID(TRIM('MSR RAW'!C364),SEARCH(" - ",TRIM('MSR RAW'!C364))+3,LEN(TRIM('MSR RAW'!C364))-SEARCH(" - ",TRIM('MSR RAW'!C364))-9)))</f>
        <v/>
      </c>
      <c r="G364">
        <f>IF(E364="","",IFERROR(VLOOKUP(E364,'CATEGORY MAP'!$A$2:$B$20,2,FALSE()),"REVIEW"))</f>
        <v/>
      </c>
      <c r="H364">
        <f>IF(E364="","",IFERROR(VALUE(SUBSTITUTE('MSR RAW'!P364,",","")),0))</f>
        <v/>
      </c>
      <c r="I364">
        <f>IF(E364="","",IFERROR(VALUE(SUBSTITUTE('MSR RAW'!S364,",","")),0))</f>
        <v/>
      </c>
    </row>
    <row r="365" ht="68.65000000000001" customHeight="1" s="126">
      <c r="A365" t="n">
        <v>365</v>
      </c>
      <c r="B365" s="30">
        <f>IF('MSR RAW'!$A$3="","",'MSR RAW'!$A$3)</f>
        <v/>
      </c>
      <c r="C365">
        <f>IF(LEFT(TRIM('MSR RAW'!A365),11)="Department:",TRIM('MSR RAW'!A365),C364)</f>
        <v/>
      </c>
      <c r="D365">
        <f>IF(LEFT(TRIM('MSR RAW'!B365),9)="Location:",TRIM(MID('MSR RAW'!B365,10,999)),D364)</f>
        <v/>
      </c>
      <c r="E365">
        <f>IF(AND(ISNUMBER(SEARCH(" - ",TRIM('MSR RAW'!C365))),RIGHT(TRIM('MSR RAW'!C365),6)="Total:"),LEFT(TRIM('MSR RAW'!C365),SEARCH(" - ",TRIM('MSR RAW'!C365))-1),"")</f>
        <v/>
      </c>
      <c r="F365">
        <f>IF(E365="","",TRIM(MID(TRIM('MSR RAW'!C365),SEARCH(" - ",TRIM('MSR RAW'!C365))+3,LEN(TRIM('MSR RAW'!C365))-SEARCH(" - ",TRIM('MSR RAW'!C365))-9)))</f>
        <v/>
      </c>
      <c r="G365">
        <f>IF(E365="","",IFERROR(VLOOKUP(E365,'CATEGORY MAP'!$A$2:$B$20,2,FALSE()),"REVIEW"))</f>
        <v/>
      </c>
      <c r="H365">
        <f>IF(E365="","",IFERROR(VALUE(SUBSTITUTE('MSR RAW'!P365,",","")),0))</f>
        <v/>
      </c>
      <c r="I365">
        <f>IF(E365="","",IFERROR(VALUE(SUBSTITUTE('MSR RAW'!S365,",","")),0))</f>
        <v/>
      </c>
    </row>
    <row r="366" ht="68.65000000000001" customHeight="1" s="126">
      <c r="A366" t="n">
        <v>366</v>
      </c>
      <c r="B366" s="30">
        <f>IF('MSR RAW'!$A$3="","",'MSR RAW'!$A$3)</f>
        <v/>
      </c>
      <c r="C366">
        <f>IF(LEFT(TRIM('MSR RAW'!A366),11)="Department:",TRIM('MSR RAW'!A366),C365)</f>
        <v/>
      </c>
      <c r="D366">
        <f>IF(LEFT(TRIM('MSR RAW'!B366),9)="Location:",TRIM(MID('MSR RAW'!B366,10,999)),D365)</f>
        <v/>
      </c>
      <c r="E366">
        <f>IF(AND(ISNUMBER(SEARCH(" - ",TRIM('MSR RAW'!C366))),RIGHT(TRIM('MSR RAW'!C366),6)="Total:"),LEFT(TRIM('MSR RAW'!C366),SEARCH(" - ",TRIM('MSR RAW'!C366))-1),"")</f>
        <v/>
      </c>
      <c r="F366">
        <f>IF(E366="","",TRIM(MID(TRIM('MSR RAW'!C366),SEARCH(" - ",TRIM('MSR RAW'!C366))+3,LEN(TRIM('MSR RAW'!C366))-SEARCH(" - ",TRIM('MSR RAW'!C366))-9)))</f>
        <v/>
      </c>
      <c r="G366">
        <f>IF(E366="","",IFERROR(VLOOKUP(E366,'CATEGORY MAP'!$A$2:$B$20,2,FALSE()),"REVIEW"))</f>
        <v/>
      </c>
      <c r="H366">
        <f>IF(E366="","",IFERROR(VALUE(SUBSTITUTE('MSR RAW'!P366,",","")),0))</f>
        <v/>
      </c>
      <c r="I366">
        <f>IF(E366="","",IFERROR(VALUE(SUBSTITUTE('MSR RAW'!S366,",","")),0))</f>
        <v/>
      </c>
    </row>
    <row r="367" ht="68.65000000000001" customHeight="1" s="126">
      <c r="A367" t="n">
        <v>367</v>
      </c>
      <c r="B367" s="30">
        <f>IF('MSR RAW'!$A$3="","",'MSR RAW'!$A$3)</f>
        <v/>
      </c>
      <c r="C367">
        <f>IF(LEFT(TRIM('MSR RAW'!A367),11)="Department:",TRIM('MSR RAW'!A367),C366)</f>
        <v/>
      </c>
      <c r="D367">
        <f>IF(LEFT(TRIM('MSR RAW'!B367),9)="Location:",TRIM(MID('MSR RAW'!B367,10,999)),D366)</f>
        <v/>
      </c>
      <c r="E367">
        <f>IF(AND(ISNUMBER(SEARCH(" - ",TRIM('MSR RAW'!C367))),RIGHT(TRIM('MSR RAW'!C367),6)="Total:"),LEFT(TRIM('MSR RAW'!C367),SEARCH(" - ",TRIM('MSR RAW'!C367))-1),"")</f>
        <v/>
      </c>
      <c r="F367">
        <f>IF(E367="","",TRIM(MID(TRIM('MSR RAW'!C367),SEARCH(" - ",TRIM('MSR RAW'!C367))+3,LEN(TRIM('MSR RAW'!C367))-SEARCH(" - ",TRIM('MSR RAW'!C367))-9)))</f>
        <v/>
      </c>
      <c r="G367">
        <f>IF(E367="","",IFERROR(VLOOKUP(E367,'CATEGORY MAP'!$A$2:$B$20,2,FALSE()),"REVIEW"))</f>
        <v/>
      </c>
      <c r="H367">
        <f>IF(E367="","",IFERROR(VALUE(SUBSTITUTE('MSR RAW'!P367,",","")),0))</f>
        <v/>
      </c>
      <c r="I367">
        <f>IF(E367="","",IFERROR(VALUE(SUBSTITUTE('MSR RAW'!S367,",","")),0))</f>
        <v/>
      </c>
    </row>
    <row r="368" ht="68.65000000000001" customHeight="1" s="126">
      <c r="A368" t="n">
        <v>368</v>
      </c>
      <c r="B368" s="30">
        <f>IF('MSR RAW'!$A$3="","",'MSR RAW'!$A$3)</f>
        <v/>
      </c>
      <c r="C368">
        <f>IF(LEFT(TRIM('MSR RAW'!A368),11)="Department:",TRIM('MSR RAW'!A368),C367)</f>
        <v/>
      </c>
      <c r="D368">
        <f>IF(LEFT(TRIM('MSR RAW'!B368),9)="Location:",TRIM(MID('MSR RAW'!B368,10,999)),D367)</f>
        <v/>
      </c>
      <c r="E368">
        <f>IF(AND(ISNUMBER(SEARCH(" - ",TRIM('MSR RAW'!C368))),RIGHT(TRIM('MSR RAW'!C368),6)="Total:"),LEFT(TRIM('MSR RAW'!C368),SEARCH(" - ",TRIM('MSR RAW'!C368))-1),"")</f>
        <v/>
      </c>
      <c r="F368">
        <f>IF(E368="","",TRIM(MID(TRIM('MSR RAW'!C368),SEARCH(" - ",TRIM('MSR RAW'!C368))+3,LEN(TRIM('MSR RAW'!C368))-SEARCH(" - ",TRIM('MSR RAW'!C368))-9)))</f>
        <v/>
      </c>
      <c r="G368">
        <f>IF(E368="","",IFERROR(VLOOKUP(E368,'CATEGORY MAP'!$A$2:$B$20,2,FALSE()),"REVIEW"))</f>
        <v/>
      </c>
      <c r="H368">
        <f>IF(E368="","",IFERROR(VALUE(SUBSTITUTE('MSR RAW'!P368,",","")),0))</f>
        <v/>
      </c>
      <c r="I368">
        <f>IF(E368="","",IFERROR(VALUE(SUBSTITUTE('MSR RAW'!S368,",","")),0))</f>
        <v/>
      </c>
    </row>
    <row r="369" ht="68.65000000000001" customHeight="1" s="126">
      <c r="A369" t="n">
        <v>369</v>
      </c>
      <c r="B369" s="30">
        <f>IF('MSR RAW'!$A$3="","",'MSR RAW'!$A$3)</f>
        <v/>
      </c>
      <c r="C369">
        <f>IF(LEFT(TRIM('MSR RAW'!A369),11)="Department:",TRIM('MSR RAW'!A369),C368)</f>
        <v/>
      </c>
      <c r="D369">
        <f>IF(LEFT(TRIM('MSR RAW'!B369),9)="Location:",TRIM(MID('MSR RAW'!B369,10,999)),D368)</f>
        <v/>
      </c>
      <c r="E369">
        <f>IF(AND(ISNUMBER(SEARCH(" - ",TRIM('MSR RAW'!C369))),RIGHT(TRIM('MSR RAW'!C369),6)="Total:"),LEFT(TRIM('MSR RAW'!C369),SEARCH(" - ",TRIM('MSR RAW'!C369))-1),"")</f>
        <v/>
      </c>
      <c r="F369">
        <f>IF(E369="","",TRIM(MID(TRIM('MSR RAW'!C369),SEARCH(" - ",TRIM('MSR RAW'!C369))+3,LEN(TRIM('MSR RAW'!C369))-SEARCH(" - ",TRIM('MSR RAW'!C369))-9)))</f>
        <v/>
      </c>
      <c r="G369">
        <f>IF(E369="","",IFERROR(VLOOKUP(E369,'CATEGORY MAP'!$A$2:$B$20,2,FALSE()),"REVIEW"))</f>
        <v/>
      </c>
      <c r="H369">
        <f>IF(E369="","",IFERROR(VALUE(SUBSTITUTE('MSR RAW'!P369,",","")),0))</f>
        <v/>
      </c>
      <c r="I369">
        <f>IF(E369="","",IFERROR(VALUE(SUBSTITUTE('MSR RAW'!S369,",","")),0))</f>
        <v/>
      </c>
    </row>
    <row r="370" ht="68.65000000000001" customHeight="1" s="126">
      <c r="A370" t="n">
        <v>370</v>
      </c>
      <c r="B370" s="30">
        <f>IF('MSR RAW'!$A$3="","",'MSR RAW'!$A$3)</f>
        <v/>
      </c>
      <c r="C370">
        <f>IF(LEFT(TRIM('MSR RAW'!A370),11)="Department:",TRIM('MSR RAW'!A370),C369)</f>
        <v/>
      </c>
      <c r="D370">
        <f>IF(LEFT(TRIM('MSR RAW'!B370),9)="Location:",TRIM(MID('MSR RAW'!B370,10,999)),D369)</f>
        <v/>
      </c>
      <c r="E370">
        <f>IF(AND(ISNUMBER(SEARCH(" - ",TRIM('MSR RAW'!C370))),RIGHT(TRIM('MSR RAW'!C370),6)="Total:"),LEFT(TRIM('MSR RAW'!C370),SEARCH(" - ",TRIM('MSR RAW'!C370))-1),"")</f>
        <v/>
      </c>
      <c r="F370">
        <f>IF(E370="","",TRIM(MID(TRIM('MSR RAW'!C370),SEARCH(" - ",TRIM('MSR RAW'!C370))+3,LEN(TRIM('MSR RAW'!C370))-SEARCH(" - ",TRIM('MSR RAW'!C370))-9)))</f>
        <v/>
      </c>
      <c r="G370">
        <f>IF(E370="","",IFERROR(VLOOKUP(E370,'CATEGORY MAP'!$A$2:$B$20,2,FALSE()),"REVIEW"))</f>
        <v/>
      </c>
      <c r="H370">
        <f>IF(E370="","",IFERROR(VALUE(SUBSTITUTE('MSR RAW'!P370,",","")),0))</f>
        <v/>
      </c>
      <c r="I370">
        <f>IF(E370="","",IFERROR(VALUE(SUBSTITUTE('MSR RAW'!S370,",","")),0))</f>
        <v/>
      </c>
    </row>
    <row r="371" ht="68.65000000000001" customHeight="1" s="126">
      <c r="A371" t="n">
        <v>371</v>
      </c>
      <c r="B371" s="30">
        <f>IF('MSR RAW'!$A$3="","",'MSR RAW'!$A$3)</f>
        <v/>
      </c>
      <c r="C371">
        <f>IF(LEFT(TRIM('MSR RAW'!A371),11)="Department:",TRIM('MSR RAW'!A371),C370)</f>
        <v/>
      </c>
      <c r="D371">
        <f>IF(LEFT(TRIM('MSR RAW'!B371),9)="Location:",TRIM(MID('MSR RAW'!B371,10,999)),D370)</f>
        <v/>
      </c>
      <c r="E371">
        <f>IF(AND(ISNUMBER(SEARCH(" - ",TRIM('MSR RAW'!C371))),RIGHT(TRIM('MSR RAW'!C371),6)="Total:"),LEFT(TRIM('MSR RAW'!C371),SEARCH(" - ",TRIM('MSR RAW'!C371))-1),"")</f>
        <v/>
      </c>
      <c r="F371">
        <f>IF(E371="","",TRIM(MID(TRIM('MSR RAW'!C371),SEARCH(" - ",TRIM('MSR RAW'!C371))+3,LEN(TRIM('MSR RAW'!C371))-SEARCH(" - ",TRIM('MSR RAW'!C371))-9)))</f>
        <v/>
      </c>
      <c r="G371">
        <f>IF(E371="","",IFERROR(VLOOKUP(E371,'CATEGORY MAP'!$A$2:$B$20,2,FALSE()),"REVIEW"))</f>
        <v/>
      </c>
      <c r="H371">
        <f>IF(E371="","",IFERROR(VALUE(SUBSTITUTE('MSR RAW'!P371,",","")),0))</f>
        <v/>
      </c>
      <c r="I371">
        <f>IF(E371="","",IFERROR(VALUE(SUBSTITUTE('MSR RAW'!S371,",","")),0))</f>
        <v/>
      </c>
    </row>
    <row r="372" ht="68.65000000000001" customHeight="1" s="126">
      <c r="A372" t="n">
        <v>372</v>
      </c>
      <c r="B372" s="30">
        <f>IF('MSR RAW'!$A$3="","",'MSR RAW'!$A$3)</f>
        <v/>
      </c>
      <c r="C372">
        <f>IF(LEFT(TRIM('MSR RAW'!A372),11)="Department:",TRIM('MSR RAW'!A372),C371)</f>
        <v/>
      </c>
      <c r="D372">
        <f>IF(LEFT(TRIM('MSR RAW'!B372),9)="Location:",TRIM(MID('MSR RAW'!B372,10,999)),D371)</f>
        <v/>
      </c>
      <c r="E372">
        <f>IF(AND(ISNUMBER(SEARCH(" - ",TRIM('MSR RAW'!C372))),RIGHT(TRIM('MSR RAW'!C372),6)="Total:"),LEFT(TRIM('MSR RAW'!C372),SEARCH(" - ",TRIM('MSR RAW'!C372))-1),"")</f>
        <v/>
      </c>
      <c r="F372">
        <f>IF(E372="","",TRIM(MID(TRIM('MSR RAW'!C372),SEARCH(" - ",TRIM('MSR RAW'!C372))+3,LEN(TRIM('MSR RAW'!C372))-SEARCH(" - ",TRIM('MSR RAW'!C372))-9)))</f>
        <v/>
      </c>
      <c r="G372">
        <f>IF(E372="","",IFERROR(VLOOKUP(E372,'CATEGORY MAP'!$A$2:$B$20,2,FALSE()),"REVIEW"))</f>
        <v/>
      </c>
      <c r="H372">
        <f>IF(E372="","",IFERROR(VALUE(SUBSTITUTE('MSR RAW'!P372,",","")),0))</f>
        <v/>
      </c>
      <c r="I372">
        <f>IF(E372="","",IFERROR(VALUE(SUBSTITUTE('MSR RAW'!S372,",","")),0))</f>
        <v/>
      </c>
    </row>
    <row r="373" ht="68.65000000000001" customHeight="1" s="126">
      <c r="A373" t="n">
        <v>373</v>
      </c>
      <c r="B373" s="30">
        <f>IF('MSR RAW'!$A$3="","",'MSR RAW'!$A$3)</f>
        <v/>
      </c>
      <c r="C373">
        <f>IF(LEFT(TRIM('MSR RAW'!A373),11)="Department:",TRIM('MSR RAW'!A373),C372)</f>
        <v/>
      </c>
      <c r="D373">
        <f>IF(LEFT(TRIM('MSR RAW'!B373),9)="Location:",TRIM(MID('MSR RAW'!B373,10,999)),D372)</f>
        <v/>
      </c>
      <c r="E373">
        <f>IF(AND(ISNUMBER(SEARCH(" - ",TRIM('MSR RAW'!C373))),RIGHT(TRIM('MSR RAW'!C373),6)="Total:"),LEFT(TRIM('MSR RAW'!C373),SEARCH(" - ",TRIM('MSR RAW'!C373))-1),"")</f>
        <v/>
      </c>
      <c r="F373">
        <f>IF(E373="","",TRIM(MID(TRIM('MSR RAW'!C373),SEARCH(" - ",TRIM('MSR RAW'!C373))+3,LEN(TRIM('MSR RAW'!C373))-SEARCH(" - ",TRIM('MSR RAW'!C373))-9)))</f>
        <v/>
      </c>
      <c r="G373">
        <f>IF(E373="","",IFERROR(VLOOKUP(E373,'CATEGORY MAP'!$A$2:$B$20,2,FALSE()),"REVIEW"))</f>
        <v/>
      </c>
      <c r="H373">
        <f>IF(E373="","",IFERROR(VALUE(SUBSTITUTE('MSR RAW'!P373,",","")),0))</f>
        <v/>
      </c>
      <c r="I373">
        <f>IF(E373="","",IFERROR(VALUE(SUBSTITUTE('MSR RAW'!S373,",","")),0))</f>
        <v/>
      </c>
    </row>
    <row r="374" ht="68.65000000000001" customHeight="1" s="126">
      <c r="A374" t="n">
        <v>374</v>
      </c>
      <c r="B374" s="30">
        <f>IF('MSR RAW'!$A$3="","",'MSR RAW'!$A$3)</f>
        <v/>
      </c>
      <c r="C374">
        <f>IF(LEFT(TRIM('MSR RAW'!A374),11)="Department:",TRIM('MSR RAW'!A374),C373)</f>
        <v/>
      </c>
      <c r="D374">
        <f>IF(LEFT(TRIM('MSR RAW'!B374),9)="Location:",TRIM(MID('MSR RAW'!B374,10,999)),D373)</f>
        <v/>
      </c>
      <c r="E374">
        <f>IF(AND(ISNUMBER(SEARCH(" - ",TRIM('MSR RAW'!C374))),RIGHT(TRIM('MSR RAW'!C374),6)="Total:"),LEFT(TRIM('MSR RAW'!C374),SEARCH(" - ",TRIM('MSR RAW'!C374))-1),"")</f>
        <v/>
      </c>
      <c r="F374">
        <f>IF(E374="","",TRIM(MID(TRIM('MSR RAW'!C374),SEARCH(" - ",TRIM('MSR RAW'!C374))+3,LEN(TRIM('MSR RAW'!C374))-SEARCH(" - ",TRIM('MSR RAW'!C374))-9)))</f>
        <v/>
      </c>
      <c r="G374">
        <f>IF(E374="","",IFERROR(VLOOKUP(E374,'CATEGORY MAP'!$A$2:$B$20,2,FALSE()),"REVIEW"))</f>
        <v/>
      </c>
      <c r="H374">
        <f>IF(E374="","",IFERROR(VALUE(SUBSTITUTE('MSR RAW'!P374,",","")),0))</f>
        <v/>
      </c>
      <c r="I374">
        <f>IF(E374="","",IFERROR(VALUE(SUBSTITUTE('MSR RAW'!S374,",","")),0))</f>
        <v/>
      </c>
    </row>
    <row r="375" ht="68.65000000000001" customHeight="1" s="126">
      <c r="A375" t="n">
        <v>375</v>
      </c>
      <c r="B375" s="30">
        <f>IF('MSR RAW'!$A$3="","",'MSR RAW'!$A$3)</f>
        <v/>
      </c>
      <c r="C375">
        <f>IF(LEFT(TRIM('MSR RAW'!A375),11)="Department:",TRIM('MSR RAW'!A375),C374)</f>
        <v/>
      </c>
      <c r="D375">
        <f>IF(LEFT(TRIM('MSR RAW'!B375),9)="Location:",TRIM(MID('MSR RAW'!B375,10,999)),D374)</f>
        <v/>
      </c>
      <c r="E375">
        <f>IF(AND(ISNUMBER(SEARCH(" - ",TRIM('MSR RAW'!C375))),RIGHT(TRIM('MSR RAW'!C375),6)="Total:"),LEFT(TRIM('MSR RAW'!C375),SEARCH(" - ",TRIM('MSR RAW'!C375))-1),"")</f>
        <v/>
      </c>
      <c r="F375">
        <f>IF(E375="","",TRIM(MID(TRIM('MSR RAW'!C375),SEARCH(" - ",TRIM('MSR RAW'!C375))+3,LEN(TRIM('MSR RAW'!C375))-SEARCH(" - ",TRIM('MSR RAW'!C375))-9)))</f>
        <v/>
      </c>
      <c r="G375">
        <f>IF(E375="","",IFERROR(VLOOKUP(E375,'CATEGORY MAP'!$A$2:$B$20,2,FALSE()),"REVIEW"))</f>
        <v/>
      </c>
      <c r="H375">
        <f>IF(E375="","",IFERROR(VALUE(SUBSTITUTE('MSR RAW'!P375,",","")),0))</f>
        <v/>
      </c>
      <c r="I375">
        <f>IF(E375="","",IFERROR(VALUE(SUBSTITUTE('MSR RAW'!S375,",","")),0))</f>
        <v/>
      </c>
    </row>
    <row r="376" ht="68.65000000000001" customHeight="1" s="126">
      <c r="A376" t="n">
        <v>376</v>
      </c>
      <c r="B376" s="30">
        <f>IF('MSR RAW'!$A$3="","",'MSR RAW'!$A$3)</f>
        <v/>
      </c>
      <c r="C376">
        <f>IF(LEFT(TRIM('MSR RAW'!A376),11)="Department:",TRIM('MSR RAW'!A376),C375)</f>
        <v/>
      </c>
      <c r="D376">
        <f>IF(LEFT(TRIM('MSR RAW'!B376),9)="Location:",TRIM(MID('MSR RAW'!B376,10,999)),D375)</f>
        <v/>
      </c>
      <c r="E376">
        <f>IF(AND(ISNUMBER(SEARCH(" - ",TRIM('MSR RAW'!C376))),RIGHT(TRIM('MSR RAW'!C376),6)="Total:"),LEFT(TRIM('MSR RAW'!C376),SEARCH(" - ",TRIM('MSR RAW'!C376))-1),"")</f>
        <v/>
      </c>
      <c r="F376">
        <f>IF(E376="","",TRIM(MID(TRIM('MSR RAW'!C376),SEARCH(" - ",TRIM('MSR RAW'!C376))+3,LEN(TRIM('MSR RAW'!C376))-SEARCH(" - ",TRIM('MSR RAW'!C376))-9)))</f>
        <v/>
      </c>
      <c r="G376">
        <f>IF(E376="","",IFERROR(VLOOKUP(E376,'CATEGORY MAP'!$A$2:$B$20,2,FALSE()),"REVIEW"))</f>
        <v/>
      </c>
      <c r="H376">
        <f>IF(E376="","",IFERROR(VALUE(SUBSTITUTE('MSR RAW'!P376,",","")),0))</f>
        <v/>
      </c>
      <c r="I376">
        <f>IF(E376="","",IFERROR(VALUE(SUBSTITUTE('MSR RAW'!S376,",","")),0))</f>
        <v/>
      </c>
    </row>
    <row r="377" ht="68.65000000000001" customHeight="1" s="126">
      <c r="A377" t="n">
        <v>377</v>
      </c>
      <c r="B377" s="30">
        <f>IF('MSR RAW'!$A$3="","",'MSR RAW'!$A$3)</f>
        <v/>
      </c>
      <c r="C377">
        <f>IF(LEFT(TRIM('MSR RAW'!A377),11)="Department:",TRIM('MSR RAW'!A377),C376)</f>
        <v/>
      </c>
      <c r="D377">
        <f>IF(LEFT(TRIM('MSR RAW'!B377),9)="Location:",TRIM(MID('MSR RAW'!B377,10,999)),D376)</f>
        <v/>
      </c>
      <c r="E377">
        <f>IF(AND(ISNUMBER(SEARCH(" - ",TRIM('MSR RAW'!C377))),RIGHT(TRIM('MSR RAW'!C377),6)="Total:"),LEFT(TRIM('MSR RAW'!C377),SEARCH(" - ",TRIM('MSR RAW'!C377))-1),"")</f>
        <v/>
      </c>
      <c r="F377">
        <f>IF(E377="","",TRIM(MID(TRIM('MSR RAW'!C377),SEARCH(" - ",TRIM('MSR RAW'!C377))+3,LEN(TRIM('MSR RAW'!C377))-SEARCH(" - ",TRIM('MSR RAW'!C377))-9)))</f>
        <v/>
      </c>
      <c r="G377">
        <f>IF(E377="","",IFERROR(VLOOKUP(E377,'CATEGORY MAP'!$A$2:$B$20,2,FALSE()),"REVIEW"))</f>
        <v/>
      </c>
      <c r="H377">
        <f>IF(E377="","",IFERROR(VALUE(SUBSTITUTE('MSR RAW'!P377,",","")),0))</f>
        <v/>
      </c>
      <c r="I377">
        <f>IF(E377="","",IFERROR(VALUE(SUBSTITUTE('MSR RAW'!S377,",","")),0))</f>
        <v/>
      </c>
    </row>
    <row r="378" ht="68.65000000000001" customHeight="1" s="126">
      <c r="A378" t="n">
        <v>378</v>
      </c>
      <c r="B378" s="30">
        <f>IF('MSR RAW'!$A$3="","",'MSR RAW'!$A$3)</f>
        <v/>
      </c>
      <c r="C378">
        <f>IF(LEFT(TRIM('MSR RAW'!A378),11)="Department:",TRIM('MSR RAW'!A378),C377)</f>
        <v/>
      </c>
      <c r="D378">
        <f>IF(LEFT(TRIM('MSR RAW'!B378),9)="Location:",TRIM(MID('MSR RAW'!B378,10,999)),D377)</f>
        <v/>
      </c>
      <c r="E378">
        <f>IF(AND(ISNUMBER(SEARCH(" - ",TRIM('MSR RAW'!C378))),RIGHT(TRIM('MSR RAW'!C378),6)="Total:"),LEFT(TRIM('MSR RAW'!C378),SEARCH(" - ",TRIM('MSR RAW'!C378))-1),"")</f>
        <v/>
      </c>
      <c r="F378">
        <f>IF(E378="","",TRIM(MID(TRIM('MSR RAW'!C378),SEARCH(" - ",TRIM('MSR RAW'!C378))+3,LEN(TRIM('MSR RAW'!C378))-SEARCH(" - ",TRIM('MSR RAW'!C378))-9)))</f>
        <v/>
      </c>
      <c r="G378">
        <f>IF(E378="","",IFERROR(VLOOKUP(E378,'CATEGORY MAP'!$A$2:$B$20,2,FALSE()),"REVIEW"))</f>
        <v/>
      </c>
      <c r="H378">
        <f>IF(E378="","",IFERROR(VALUE(SUBSTITUTE('MSR RAW'!P378,",","")),0))</f>
        <v/>
      </c>
      <c r="I378">
        <f>IF(E378="","",IFERROR(VALUE(SUBSTITUTE('MSR RAW'!S378,",","")),0))</f>
        <v/>
      </c>
    </row>
    <row r="379" ht="68.65000000000001" customHeight="1" s="126">
      <c r="A379" t="n">
        <v>379</v>
      </c>
      <c r="B379" s="30">
        <f>IF('MSR RAW'!$A$3="","",'MSR RAW'!$A$3)</f>
        <v/>
      </c>
      <c r="C379">
        <f>IF(LEFT(TRIM('MSR RAW'!A379),11)="Department:",TRIM('MSR RAW'!A379),C378)</f>
        <v/>
      </c>
      <c r="D379">
        <f>IF(LEFT(TRIM('MSR RAW'!B379),9)="Location:",TRIM(MID('MSR RAW'!B379,10,999)),D378)</f>
        <v/>
      </c>
      <c r="E379">
        <f>IF(AND(ISNUMBER(SEARCH(" - ",TRIM('MSR RAW'!C379))),RIGHT(TRIM('MSR RAW'!C379),6)="Total:"),LEFT(TRIM('MSR RAW'!C379),SEARCH(" - ",TRIM('MSR RAW'!C379))-1),"")</f>
        <v/>
      </c>
      <c r="F379">
        <f>IF(E379="","",TRIM(MID(TRIM('MSR RAW'!C379),SEARCH(" - ",TRIM('MSR RAW'!C379))+3,LEN(TRIM('MSR RAW'!C379))-SEARCH(" - ",TRIM('MSR RAW'!C379))-9)))</f>
        <v/>
      </c>
      <c r="G379">
        <f>IF(E379="","",IFERROR(VLOOKUP(E379,'CATEGORY MAP'!$A$2:$B$20,2,FALSE()),"REVIEW"))</f>
        <v/>
      </c>
      <c r="H379">
        <f>IF(E379="","",IFERROR(VALUE(SUBSTITUTE('MSR RAW'!P379,",","")),0))</f>
        <v/>
      </c>
      <c r="I379">
        <f>IF(E379="","",IFERROR(VALUE(SUBSTITUTE('MSR RAW'!S379,",","")),0))</f>
        <v/>
      </c>
    </row>
    <row r="380" ht="68.65000000000001" customHeight="1" s="126">
      <c r="A380" t="n">
        <v>380</v>
      </c>
      <c r="B380" s="30">
        <f>IF('MSR RAW'!$A$3="","",'MSR RAW'!$A$3)</f>
        <v/>
      </c>
      <c r="C380">
        <f>IF(LEFT(TRIM('MSR RAW'!A380),11)="Department:",TRIM('MSR RAW'!A380),C379)</f>
        <v/>
      </c>
      <c r="D380">
        <f>IF(LEFT(TRIM('MSR RAW'!B380),9)="Location:",TRIM(MID('MSR RAW'!B380,10,999)),D379)</f>
        <v/>
      </c>
      <c r="E380">
        <f>IF(AND(ISNUMBER(SEARCH(" - ",TRIM('MSR RAW'!C380))),RIGHT(TRIM('MSR RAW'!C380),6)="Total:"),LEFT(TRIM('MSR RAW'!C380),SEARCH(" - ",TRIM('MSR RAW'!C380))-1),"")</f>
        <v/>
      </c>
      <c r="F380">
        <f>IF(E380="","",TRIM(MID(TRIM('MSR RAW'!C380),SEARCH(" - ",TRIM('MSR RAW'!C380))+3,LEN(TRIM('MSR RAW'!C380))-SEARCH(" - ",TRIM('MSR RAW'!C380))-9)))</f>
        <v/>
      </c>
      <c r="G380">
        <f>IF(E380="","",IFERROR(VLOOKUP(E380,'CATEGORY MAP'!$A$2:$B$20,2,FALSE()),"REVIEW"))</f>
        <v/>
      </c>
      <c r="H380">
        <f>IF(E380="","",IFERROR(VALUE(SUBSTITUTE('MSR RAW'!P380,",","")),0))</f>
        <v/>
      </c>
      <c r="I380">
        <f>IF(E380="","",IFERROR(VALUE(SUBSTITUTE('MSR RAW'!S380,",","")),0))</f>
        <v/>
      </c>
    </row>
    <row r="381" ht="68.65000000000001" customHeight="1" s="126">
      <c r="A381" t="n">
        <v>381</v>
      </c>
      <c r="B381" s="30">
        <f>IF('MSR RAW'!$A$3="","",'MSR RAW'!$A$3)</f>
        <v/>
      </c>
      <c r="C381">
        <f>IF(LEFT(TRIM('MSR RAW'!A381),11)="Department:",TRIM('MSR RAW'!A381),C380)</f>
        <v/>
      </c>
      <c r="D381">
        <f>IF(LEFT(TRIM('MSR RAW'!B381),9)="Location:",TRIM(MID('MSR RAW'!B381,10,999)),D380)</f>
        <v/>
      </c>
      <c r="E381">
        <f>IF(AND(ISNUMBER(SEARCH(" - ",TRIM('MSR RAW'!C381))),RIGHT(TRIM('MSR RAW'!C381),6)="Total:"),LEFT(TRIM('MSR RAW'!C381),SEARCH(" - ",TRIM('MSR RAW'!C381))-1),"")</f>
        <v/>
      </c>
      <c r="F381">
        <f>IF(E381="","",TRIM(MID(TRIM('MSR RAW'!C381),SEARCH(" - ",TRIM('MSR RAW'!C381))+3,LEN(TRIM('MSR RAW'!C381))-SEARCH(" - ",TRIM('MSR RAW'!C381))-9)))</f>
        <v/>
      </c>
      <c r="G381">
        <f>IF(E381="","",IFERROR(VLOOKUP(E381,'CATEGORY MAP'!$A$2:$B$20,2,FALSE()),"REVIEW"))</f>
        <v/>
      </c>
      <c r="H381">
        <f>IF(E381="","",IFERROR(VALUE(SUBSTITUTE('MSR RAW'!P381,",","")),0))</f>
        <v/>
      </c>
      <c r="I381">
        <f>IF(E381="","",IFERROR(VALUE(SUBSTITUTE('MSR RAW'!S381,",","")),0))</f>
        <v/>
      </c>
    </row>
    <row r="382" ht="68.65000000000001" customHeight="1" s="126">
      <c r="A382" t="n">
        <v>382</v>
      </c>
      <c r="B382" s="30">
        <f>IF('MSR RAW'!$A$3="","",'MSR RAW'!$A$3)</f>
        <v/>
      </c>
      <c r="C382">
        <f>IF(LEFT(TRIM('MSR RAW'!A382),11)="Department:",TRIM('MSR RAW'!A382),C381)</f>
        <v/>
      </c>
      <c r="D382">
        <f>IF(LEFT(TRIM('MSR RAW'!B382),9)="Location:",TRIM(MID('MSR RAW'!B382,10,999)),D381)</f>
        <v/>
      </c>
      <c r="E382">
        <f>IF(AND(ISNUMBER(SEARCH(" - ",TRIM('MSR RAW'!C382))),RIGHT(TRIM('MSR RAW'!C382),6)="Total:"),LEFT(TRIM('MSR RAW'!C382),SEARCH(" - ",TRIM('MSR RAW'!C382))-1),"")</f>
        <v/>
      </c>
      <c r="F382">
        <f>IF(E382="","",TRIM(MID(TRIM('MSR RAW'!C382),SEARCH(" - ",TRIM('MSR RAW'!C382))+3,LEN(TRIM('MSR RAW'!C382))-SEARCH(" - ",TRIM('MSR RAW'!C382))-9)))</f>
        <v/>
      </c>
      <c r="G382">
        <f>IF(E382="","",IFERROR(VLOOKUP(E382,'CATEGORY MAP'!$A$2:$B$20,2,FALSE()),"REVIEW"))</f>
        <v/>
      </c>
      <c r="H382">
        <f>IF(E382="","",IFERROR(VALUE(SUBSTITUTE('MSR RAW'!P382,",","")),0))</f>
        <v/>
      </c>
      <c r="I382">
        <f>IF(E382="","",IFERROR(VALUE(SUBSTITUTE('MSR RAW'!S382,",","")),0))</f>
        <v/>
      </c>
    </row>
    <row r="383" ht="68.65000000000001" customHeight="1" s="126">
      <c r="A383" t="n">
        <v>383</v>
      </c>
      <c r="B383" s="30">
        <f>IF('MSR RAW'!$A$3="","",'MSR RAW'!$A$3)</f>
        <v/>
      </c>
      <c r="C383">
        <f>IF(LEFT(TRIM('MSR RAW'!A383),11)="Department:",TRIM('MSR RAW'!A383),C382)</f>
        <v/>
      </c>
      <c r="D383">
        <f>IF(LEFT(TRIM('MSR RAW'!B383),9)="Location:",TRIM(MID('MSR RAW'!B383,10,999)),D382)</f>
        <v/>
      </c>
      <c r="E383">
        <f>IF(AND(ISNUMBER(SEARCH(" - ",TRIM('MSR RAW'!C383))),RIGHT(TRIM('MSR RAW'!C383),6)="Total:"),LEFT(TRIM('MSR RAW'!C383),SEARCH(" - ",TRIM('MSR RAW'!C383))-1),"")</f>
        <v/>
      </c>
      <c r="F383">
        <f>IF(E383="","",TRIM(MID(TRIM('MSR RAW'!C383),SEARCH(" - ",TRIM('MSR RAW'!C383))+3,LEN(TRIM('MSR RAW'!C383))-SEARCH(" - ",TRIM('MSR RAW'!C383))-9)))</f>
        <v/>
      </c>
      <c r="G383">
        <f>IF(E383="","",IFERROR(VLOOKUP(E383,'CATEGORY MAP'!$A$2:$B$20,2,FALSE()),"REVIEW"))</f>
        <v/>
      </c>
      <c r="H383">
        <f>IF(E383="","",IFERROR(VALUE(SUBSTITUTE('MSR RAW'!P383,",","")),0))</f>
        <v/>
      </c>
      <c r="I383">
        <f>IF(E383="","",IFERROR(VALUE(SUBSTITUTE('MSR RAW'!S383,",","")),0))</f>
        <v/>
      </c>
    </row>
    <row r="384" ht="68.65000000000001" customHeight="1" s="126">
      <c r="A384" t="n">
        <v>384</v>
      </c>
      <c r="B384" s="30">
        <f>IF('MSR RAW'!$A$3="","",'MSR RAW'!$A$3)</f>
        <v/>
      </c>
      <c r="C384">
        <f>IF(LEFT(TRIM('MSR RAW'!A384),11)="Department:",TRIM('MSR RAW'!A384),C383)</f>
        <v/>
      </c>
      <c r="D384">
        <f>IF(LEFT(TRIM('MSR RAW'!B384),9)="Location:",TRIM(MID('MSR RAW'!B384,10,999)),D383)</f>
        <v/>
      </c>
      <c r="E384">
        <f>IF(AND(ISNUMBER(SEARCH(" - ",TRIM('MSR RAW'!C384))),RIGHT(TRIM('MSR RAW'!C384),6)="Total:"),LEFT(TRIM('MSR RAW'!C384),SEARCH(" - ",TRIM('MSR RAW'!C384))-1),"")</f>
        <v/>
      </c>
      <c r="F384">
        <f>IF(E384="","",TRIM(MID(TRIM('MSR RAW'!C384),SEARCH(" - ",TRIM('MSR RAW'!C384))+3,LEN(TRIM('MSR RAW'!C384))-SEARCH(" - ",TRIM('MSR RAW'!C384))-9)))</f>
        <v/>
      </c>
      <c r="G384">
        <f>IF(E384="","",IFERROR(VLOOKUP(E384,'CATEGORY MAP'!$A$2:$B$20,2,FALSE()),"REVIEW"))</f>
        <v/>
      </c>
      <c r="H384">
        <f>IF(E384="","",IFERROR(VALUE(SUBSTITUTE('MSR RAW'!P384,",","")),0))</f>
        <v/>
      </c>
      <c r="I384">
        <f>IF(E384="","",IFERROR(VALUE(SUBSTITUTE('MSR RAW'!S384,",","")),0))</f>
        <v/>
      </c>
    </row>
    <row r="385" ht="68.65000000000001" customHeight="1" s="126">
      <c r="A385" t="n">
        <v>385</v>
      </c>
      <c r="B385" s="30">
        <f>IF('MSR RAW'!$A$3="","",'MSR RAW'!$A$3)</f>
        <v/>
      </c>
      <c r="C385">
        <f>IF(LEFT(TRIM('MSR RAW'!A385),11)="Department:",TRIM('MSR RAW'!A385),C384)</f>
        <v/>
      </c>
      <c r="D385">
        <f>IF(LEFT(TRIM('MSR RAW'!B385),9)="Location:",TRIM(MID('MSR RAW'!B385,10,999)),D384)</f>
        <v/>
      </c>
      <c r="E385">
        <f>IF(AND(ISNUMBER(SEARCH(" - ",TRIM('MSR RAW'!C385))),RIGHT(TRIM('MSR RAW'!C385),6)="Total:"),LEFT(TRIM('MSR RAW'!C385),SEARCH(" - ",TRIM('MSR RAW'!C385))-1),"")</f>
        <v/>
      </c>
      <c r="F385">
        <f>IF(E385="","",TRIM(MID(TRIM('MSR RAW'!C385),SEARCH(" - ",TRIM('MSR RAW'!C385))+3,LEN(TRIM('MSR RAW'!C385))-SEARCH(" - ",TRIM('MSR RAW'!C385))-9)))</f>
        <v/>
      </c>
      <c r="G385">
        <f>IF(E385="","",IFERROR(VLOOKUP(E385,'CATEGORY MAP'!$A$2:$B$20,2,FALSE()),"REVIEW"))</f>
        <v/>
      </c>
      <c r="H385">
        <f>IF(E385="","",IFERROR(VALUE(SUBSTITUTE('MSR RAW'!P385,",","")),0))</f>
        <v/>
      </c>
      <c r="I385">
        <f>IF(E385="","",IFERROR(VALUE(SUBSTITUTE('MSR RAW'!S385,",","")),0))</f>
        <v/>
      </c>
    </row>
    <row r="386" ht="68.65000000000001" customHeight="1" s="126">
      <c r="A386" t="n">
        <v>386</v>
      </c>
      <c r="B386" s="30">
        <f>IF('MSR RAW'!$A$3="","",'MSR RAW'!$A$3)</f>
        <v/>
      </c>
      <c r="C386">
        <f>IF(LEFT(TRIM('MSR RAW'!A386),11)="Department:",TRIM('MSR RAW'!A386),C385)</f>
        <v/>
      </c>
      <c r="D386">
        <f>IF(LEFT(TRIM('MSR RAW'!B386),9)="Location:",TRIM(MID('MSR RAW'!B386,10,999)),D385)</f>
        <v/>
      </c>
      <c r="E386">
        <f>IF(AND(ISNUMBER(SEARCH(" - ",TRIM('MSR RAW'!C386))),RIGHT(TRIM('MSR RAW'!C386),6)="Total:"),LEFT(TRIM('MSR RAW'!C386),SEARCH(" - ",TRIM('MSR RAW'!C386))-1),"")</f>
        <v/>
      </c>
      <c r="F386">
        <f>IF(E386="","",TRIM(MID(TRIM('MSR RAW'!C386),SEARCH(" - ",TRIM('MSR RAW'!C386))+3,LEN(TRIM('MSR RAW'!C386))-SEARCH(" - ",TRIM('MSR RAW'!C386))-9)))</f>
        <v/>
      </c>
      <c r="G386">
        <f>IF(E386="","",IFERROR(VLOOKUP(E386,'CATEGORY MAP'!$A$2:$B$20,2,FALSE()),"REVIEW"))</f>
        <v/>
      </c>
      <c r="H386">
        <f>IF(E386="","",IFERROR(VALUE(SUBSTITUTE('MSR RAW'!P386,",","")),0))</f>
        <v/>
      </c>
      <c r="I386">
        <f>IF(E386="","",IFERROR(VALUE(SUBSTITUTE('MSR RAW'!S386,",","")),0))</f>
        <v/>
      </c>
    </row>
    <row r="387" ht="68.65000000000001" customHeight="1" s="126">
      <c r="A387" t="n">
        <v>387</v>
      </c>
      <c r="B387" s="30">
        <f>IF('MSR RAW'!$A$3="","",'MSR RAW'!$A$3)</f>
        <v/>
      </c>
      <c r="C387">
        <f>IF(LEFT(TRIM('MSR RAW'!A387),11)="Department:",TRIM('MSR RAW'!A387),C386)</f>
        <v/>
      </c>
      <c r="D387">
        <f>IF(LEFT(TRIM('MSR RAW'!B387),9)="Location:",TRIM(MID('MSR RAW'!B387,10,999)),D386)</f>
        <v/>
      </c>
      <c r="E387">
        <f>IF(AND(ISNUMBER(SEARCH(" - ",TRIM('MSR RAW'!C387))),RIGHT(TRIM('MSR RAW'!C387),6)="Total:"),LEFT(TRIM('MSR RAW'!C387),SEARCH(" - ",TRIM('MSR RAW'!C387))-1),"")</f>
        <v/>
      </c>
      <c r="F387">
        <f>IF(E387="","",TRIM(MID(TRIM('MSR RAW'!C387),SEARCH(" - ",TRIM('MSR RAW'!C387))+3,LEN(TRIM('MSR RAW'!C387))-SEARCH(" - ",TRIM('MSR RAW'!C387))-9)))</f>
        <v/>
      </c>
      <c r="G387">
        <f>IF(E387="","",IFERROR(VLOOKUP(E387,'CATEGORY MAP'!$A$2:$B$20,2,FALSE()),"REVIEW"))</f>
        <v/>
      </c>
      <c r="H387">
        <f>IF(E387="","",IFERROR(VALUE(SUBSTITUTE('MSR RAW'!P387,",","")),0))</f>
        <v/>
      </c>
      <c r="I387">
        <f>IF(E387="","",IFERROR(VALUE(SUBSTITUTE('MSR RAW'!S387,",","")),0))</f>
        <v/>
      </c>
    </row>
    <row r="388" ht="68.65000000000001" customHeight="1" s="126">
      <c r="A388" t="n">
        <v>388</v>
      </c>
      <c r="B388" s="30">
        <f>IF('MSR RAW'!$A$3="","",'MSR RAW'!$A$3)</f>
        <v/>
      </c>
      <c r="C388">
        <f>IF(LEFT(TRIM('MSR RAW'!A388),11)="Department:",TRIM('MSR RAW'!A388),C387)</f>
        <v/>
      </c>
      <c r="D388">
        <f>IF(LEFT(TRIM('MSR RAW'!B388),9)="Location:",TRIM(MID('MSR RAW'!B388,10,999)),D387)</f>
        <v/>
      </c>
      <c r="E388">
        <f>IF(AND(ISNUMBER(SEARCH(" - ",TRIM('MSR RAW'!C388))),RIGHT(TRIM('MSR RAW'!C388),6)="Total:"),LEFT(TRIM('MSR RAW'!C388),SEARCH(" - ",TRIM('MSR RAW'!C388))-1),"")</f>
        <v/>
      </c>
      <c r="F388">
        <f>IF(E388="","",TRIM(MID(TRIM('MSR RAW'!C388),SEARCH(" - ",TRIM('MSR RAW'!C388))+3,LEN(TRIM('MSR RAW'!C388))-SEARCH(" - ",TRIM('MSR RAW'!C388))-9)))</f>
        <v/>
      </c>
      <c r="G388">
        <f>IF(E388="","",IFERROR(VLOOKUP(E388,'CATEGORY MAP'!$A$2:$B$20,2,FALSE()),"REVIEW"))</f>
        <v/>
      </c>
      <c r="H388">
        <f>IF(E388="","",IFERROR(VALUE(SUBSTITUTE('MSR RAW'!P388,",","")),0))</f>
        <v/>
      </c>
      <c r="I388">
        <f>IF(E388="","",IFERROR(VALUE(SUBSTITUTE('MSR RAW'!S388,",","")),0))</f>
        <v/>
      </c>
    </row>
    <row r="389" ht="68.65000000000001" customHeight="1" s="126">
      <c r="A389" t="n">
        <v>389</v>
      </c>
      <c r="B389" s="30">
        <f>IF('MSR RAW'!$A$3="","",'MSR RAW'!$A$3)</f>
        <v/>
      </c>
      <c r="C389">
        <f>IF(LEFT(TRIM('MSR RAW'!A389),11)="Department:",TRIM('MSR RAW'!A389),C388)</f>
        <v/>
      </c>
      <c r="D389">
        <f>IF(LEFT(TRIM('MSR RAW'!B389),9)="Location:",TRIM(MID('MSR RAW'!B389,10,999)),D388)</f>
        <v/>
      </c>
      <c r="E389">
        <f>IF(AND(ISNUMBER(SEARCH(" - ",TRIM('MSR RAW'!C389))),RIGHT(TRIM('MSR RAW'!C389),6)="Total:"),LEFT(TRIM('MSR RAW'!C389),SEARCH(" - ",TRIM('MSR RAW'!C389))-1),"")</f>
        <v/>
      </c>
      <c r="F389">
        <f>IF(E389="","",TRIM(MID(TRIM('MSR RAW'!C389),SEARCH(" - ",TRIM('MSR RAW'!C389))+3,LEN(TRIM('MSR RAW'!C389))-SEARCH(" - ",TRIM('MSR RAW'!C389))-9)))</f>
        <v/>
      </c>
      <c r="G389">
        <f>IF(E389="","",IFERROR(VLOOKUP(E389,'CATEGORY MAP'!$A$2:$B$20,2,FALSE()),"REVIEW"))</f>
        <v/>
      </c>
      <c r="H389">
        <f>IF(E389="","",IFERROR(VALUE(SUBSTITUTE('MSR RAW'!P389,",","")),0))</f>
        <v/>
      </c>
      <c r="I389">
        <f>IF(E389="","",IFERROR(VALUE(SUBSTITUTE('MSR RAW'!S389,",","")),0))</f>
        <v/>
      </c>
    </row>
    <row r="390" ht="68.65000000000001" customHeight="1" s="126">
      <c r="A390" t="n">
        <v>390</v>
      </c>
      <c r="B390" s="30">
        <f>IF('MSR RAW'!$A$3="","",'MSR RAW'!$A$3)</f>
        <v/>
      </c>
      <c r="C390">
        <f>IF(LEFT(TRIM('MSR RAW'!A390),11)="Department:",TRIM('MSR RAW'!A390),C389)</f>
        <v/>
      </c>
      <c r="D390">
        <f>IF(LEFT(TRIM('MSR RAW'!B390),9)="Location:",TRIM(MID('MSR RAW'!B390,10,999)),D389)</f>
        <v/>
      </c>
      <c r="E390">
        <f>IF(AND(ISNUMBER(SEARCH(" - ",TRIM('MSR RAW'!C390))),RIGHT(TRIM('MSR RAW'!C390),6)="Total:"),LEFT(TRIM('MSR RAW'!C390),SEARCH(" - ",TRIM('MSR RAW'!C390))-1),"")</f>
        <v/>
      </c>
      <c r="F390">
        <f>IF(E390="","",TRIM(MID(TRIM('MSR RAW'!C390),SEARCH(" - ",TRIM('MSR RAW'!C390))+3,LEN(TRIM('MSR RAW'!C390))-SEARCH(" - ",TRIM('MSR RAW'!C390))-9)))</f>
        <v/>
      </c>
      <c r="G390">
        <f>IF(E390="","",IFERROR(VLOOKUP(E390,'CATEGORY MAP'!$A$2:$B$20,2,FALSE()),"REVIEW"))</f>
        <v/>
      </c>
      <c r="H390">
        <f>IF(E390="","",IFERROR(VALUE(SUBSTITUTE('MSR RAW'!P390,",","")),0))</f>
        <v/>
      </c>
      <c r="I390">
        <f>IF(E390="","",IFERROR(VALUE(SUBSTITUTE('MSR RAW'!S390,",","")),0))</f>
        <v/>
      </c>
    </row>
    <row r="391" ht="68.65000000000001" customHeight="1" s="126">
      <c r="A391" t="n">
        <v>391</v>
      </c>
      <c r="B391" s="30">
        <f>IF('MSR RAW'!$A$3="","",'MSR RAW'!$A$3)</f>
        <v/>
      </c>
      <c r="C391">
        <f>IF(LEFT(TRIM('MSR RAW'!A391),11)="Department:",TRIM('MSR RAW'!A391),C390)</f>
        <v/>
      </c>
      <c r="D391">
        <f>IF(LEFT(TRIM('MSR RAW'!B391),9)="Location:",TRIM(MID('MSR RAW'!B391,10,999)),D390)</f>
        <v/>
      </c>
      <c r="E391">
        <f>IF(AND(ISNUMBER(SEARCH(" - ",TRIM('MSR RAW'!C391))),RIGHT(TRIM('MSR RAW'!C391),6)="Total:"),LEFT(TRIM('MSR RAW'!C391),SEARCH(" - ",TRIM('MSR RAW'!C391))-1),"")</f>
        <v/>
      </c>
      <c r="F391">
        <f>IF(E391="","",TRIM(MID(TRIM('MSR RAW'!C391),SEARCH(" - ",TRIM('MSR RAW'!C391))+3,LEN(TRIM('MSR RAW'!C391))-SEARCH(" - ",TRIM('MSR RAW'!C391))-9)))</f>
        <v/>
      </c>
      <c r="G391">
        <f>IF(E391="","",IFERROR(VLOOKUP(E391,'CATEGORY MAP'!$A$2:$B$20,2,FALSE()),"REVIEW"))</f>
        <v/>
      </c>
      <c r="H391">
        <f>IF(E391="","",IFERROR(VALUE(SUBSTITUTE('MSR RAW'!P391,",","")),0))</f>
        <v/>
      </c>
      <c r="I391">
        <f>IF(E391="","",IFERROR(VALUE(SUBSTITUTE('MSR RAW'!S391,",","")),0))</f>
        <v/>
      </c>
    </row>
    <row r="392" ht="68.65000000000001" customHeight="1" s="126">
      <c r="A392" t="n">
        <v>392</v>
      </c>
      <c r="B392" s="30">
        <f>IF('MSR RAW'!$A$3="","",'MSR RAW'!$A$3)</f>
        <v/>
      </c>
      <c r="C392">
        <f>IF(LEFT(TRIM('MSR RAW'!A392),11)="Department:",TRIM('MSR RAW'!A392),C391)</f>
        <v/>
      </c>
      <c r="D392">
        <f>IF(LEFT(TRIM('MSR RAW'!B392),9)="Location:",TRIM(MID('MSR RAW'!B392,10,999)),D391)</f>
        <v/>
      </c>
      <c r="E392">
        <f>IF(AND(ISNUMBER(SEARCH(" - ",TRIM('MSR RAW'!C392))),RIGHT(TRIM('MSR RAW'!C392),6)="Total:"),LEFT(TRIM('MSR RAW'!C392),SEARCH(" - ",TRIM('MSR RAW'!C392))-1),"")</f>
        <v/>
      </c>
      <c r="F392">
        <f>IF(E392="","",TRIM(MID(TRIM('MSR RAW'!C392),SEARCH(" - ",TRIM('MSR RAW'!C392))+3,LEN(TRIM('MSR RAW'!C392))-SEARCH(" - ",TRIM('MSR RAW'!C392))-9)))</f>
        <v/>
      </c>
      <c r="G392">
        <f>IF(E392="","",IFERROR(VLOOKUP(E392,'CATEGORY MAP'!$A$2:$B$20,2,FALSE()),"REVIEW"))</f>
        <v/>
      </c>
      <c r="H392">
        <f>IF(E392="","",IFERROR(VALUE(SUBSTITUTE('MSR RAW'!P392,",","")),0))</f>
        <v/>
      </c>
      <c r="I392">
        <f>IF(E392="","",IFERROR(VALUE(SUBSTITUTE('MSR RAW'!S392,",","")),0))</f>
        <v/>
      </c>
    </row>
    <row r="393" ht="68.65000000000001" customHeight="1" s="126">
      <c r="A393" t="n">
        <v>393</v>
      </c>
      <c r="B393" s="30">
        <f>IF('MSR RAW'!$A$3="","",'MSR RAW'!$A$3)</f>
        <v/>
      </c>
      <c r="C393">
        <f>IF(LEFT(TRIM('MSR RAW'!A393),11)="Department:",TRIM('MSR RAW'!A393),C392)</f>
        <v/>
      </c>
      <c r="D393">
        <f>IF(LEFT(TRIM('MSR RAW'!B393),9)="Location:",TRIM(MID('MSR RAW'!B393,10,999)),D392)</f>
        <v/>
      </c>
      <c r="E393">
        <f>IF(AND(ISNUMBER(SEARCH(" - ",TRIM('MSR RAW'!C393))),RIGHT(TRIM('MSR RAW'!C393),6)="Total:"),LEFT(TRIM('MSR RAW'!C393),SEARCH(" - ",TRIM('MSR RAW'!C393))-1),"")</f>
        <v/>
      </c>
      <c r="F393">
        <f>IF(E393="","",TRIM(MID(TRIM('MSR RAW'!C393),SEARCH(" - ",TRIM('MSR RAW'!C393))+3,LEN(TRIM('MSR RAW'!C393))-SEARCH(" - ",TRIM('MSR RAW'!C393))-9)))</f>
        <v/>
      </c>
      <c r="G393">
        <f>IF(E393="","",IFERROR(VLOOKUP(E393,'CATEGORY MAP'!$A$2:$B$20,2,FALSE()),"REVIEW"))</f>
        <v/>
      </c>
      <c r="H393">
        <f>IF(E393="","",IFERROR(VALUE(SUBSTITUTE('MSR RAW'!P393,",","")),0))</f>
        <v/>
      </c>
      <c r="I393">
        <f>IF(E393="","",IFERROR(VALUE(SUBSTITUTE('MSR RAW'!S393,",","")),0))</f>
        <v/>
      </c>
    </row>
    <row r="394" ht="68.65000000000001" customHeight="1" s="126">
      <c r="A394" t="n">
        <v>394</v>
      </c>
      <c r="B394" s="30">
        <f>IF('MSR RAW'!$A$3="","",'MSR RAW'!$A$3)</f>
        <v/>
      </c>
      <c r="C394">
        <f>IF(LEFT(TRIM('MSR RAW'!A394),11)="Department:",TRIM('MSR RAW'!A394),C393)</f>
        <v/>
      </c>
      <c r="D394">
        <f>IF(LEFT(TRIM('MSR RAW'!B394),9)="Location:",TRIM(MID('MSR RAW'!B394,10,999)),D393)</f>
        <v/>
      </c>
      <c r="E394">
        <f>IF(AND(ISNUMBER(SEARCH(" - ",TRIM('MSR RAW'!C394))),RIGHT(TRIM('MSR RAW'!C394),6)="Total:"),LEFT(TRIM('MSR RAW'!C394),SEARCH(" - ",TRIM('MSR RAW'!C394))-1),"")</f>
        <v/>
      </c>
      <c r="F394">
        <f>IF(E394="","",TRIM(MID(TRIM('MSR RAW'!C394),SEARCH(" - ",TRIM('MSR RAW'!C394))+3,LEN(TRIM('MSR RAW'!C394))-SEARCH(" - ",TRIM('MSR RAW'!C394))-9)))</f>
        <v/>
      </c>
      <c r="G394">
        <f>IF(E394="","",IFERROR(VLOOKUP(E394,'CATEGORY MAP'!$A$2:$B$20,2,FALSE()),"REVIEW"))</f>
        <v/>
      </c>
      <c r="H394">
        <f>IF(E394="","",IFERROR(VALUE(SUBSTITUTE('MSR RAW'!P394,",","")),0))</f>
        <v/>
      </c>
      <c r="I394">
        <f>IF(E394="","",IFERROR(VALUE(SUBSTITUTE('MSR RAW'!S394,",","")),0))</f>
        <v/>
      </c>
    </row>
    <row r="395" ht="68.65000000000001" customHeight="1" s="126">
      <c r="A395" t="n">
        <v>395</v>
      </c>
      <c r="B395" s="30">
        <f>IF('MSR RAW'!$A$3="","",'MSR RAW'!$A$3)</f>
        <v/>
      </c>
      <c r="C395">
        <f>IF(LEFT(TRIM('MSR RAW'!A395),11)="Department:",TRIM('MSR RAW'!A395),C394)</f>
        <v/>
      </c>
      <c r="D395">
        <f>IF(LEFT(TRIM('MSR RAW'!B395),9)="Location:",TRIM(MID('MSR RAW'!B395,10,999)),D394)</f>
        <v/>
      </c>
      <c r="E395">
        <f>IF(AND(ISNUMBER(SEARCH(" - ",TRIM('MSR RAW'!C395))),RIGHT(TRIM('MSR RAW'!C395),6)="Total:"),LEFT(TRIM('MSR RAW'!C395),SEARCH(" - ",TRIM('MSR RAW'!C395))-1),"")</f>
        <v/>
      </c>
      <c r="F395">
        <f>IF(E395="","",TRIM(MID(TRIM('MSR RAW'!C395),SEARCH(" - ",TRIM('MSR RAW'!C395))+3,LEN(TRIM('MSR RAW'!C395))-SEARCH(" - ",TRIM('MSR RAW'!C395))-9)))</f>
        <v/>
      </c>
      <c r="G395">
        <f>IF(E395="","",IFERROR(VLOOKUP(E395,'CATEGORY MAP'!$A$2:$B$20,2,FALSE()),"REVIEW"))</f>
        <v/>
      </c>
      <c r="H395">
        <f>IF(E395="","",IFERROR(VALUE(SUBSTITUTE('MSR RAW'!P395,",","")),0))</f>
        <v/>
      </c>
      <c r="I395">
        <f>IF(E395="","",IFERROR(VALUE(SUBSTITUTE('MSR RAW'!S395,",","")),0))</f>
        <v/>
      </c>
    </row>
    <row r="396" ht="68.65000000000001" customHeight="1" s="126">
      <c r="A396" t="n">
        <v>396</v>
      </c>
      <c r="B396" s="30">
        <f>IF('MSR RAW'!$A$3="","",'MSR RAW'!$A$3)</f>
        <v/>
      </c>
      <c r="C396">
        <f>IF(LEFT(TRIM('MSR RAW'!A396),11)="Department:",TRIM('MSR RAW'!A396),C395)</f>
        <v/>
      </c>
      <c r="D396">
        <f>IF(LEFT(TRIM('MSR RAW'!B396),9)="Location:",TRIM(MID('MSR RAW'!B396,10,999)),D395)</f>
        <v/>
      </c>
      <c r="E396">
        <f>IF(AND(ISNUMBER(SEARCH(" - ",TRIM('MSR RAW'!C396))),RIGHT(TRIM('MSR RAW'!C396),6)="Total:"),LEFT(TRIM('MSR RAW'!C396),SEARCH(" - ",TRIM('MSR RAW'!C396))-1),"")</f>
        <v/>
      </c>
      <c r="F396">
        <f>IF(E396="","",TRIM(MID(TRIM('MSR RAW'!C396),SEARCH(" - ",TRIM('MSR RAW'!C396))+3,LEN(TRIM('MSR RAW'!C396))-SEARCH(" - ",TRIM('MSR RAW'!C396))-9)))</f>
        <v/>
      </c>
      <c r="G396">
        <f>IF(E396="","",IFERROR(VLOOKUP(E396,'CATEGORY MAP'!$A$2:$B$20,2,FALSE()),"REVIEW"))</f>
        <v/>
      </c>
      <c r="H396">
        <f>IF(E396="","",IFERROR(VALUE(SUBSTITUTE('MSR RAW'!P396,",","")),0))</f>
        <v/>
      </c>
      <c r="I396">
        <f>IF(E396="","",IFERROR(VALUE(SUBSTITUTE('MSR RAW'!S396,",","")),0))</f>
        <v/>
      </c>
    </row>
    <row r="397" ht="68.65000000000001" customHeight="1" s="126">
      <c r="A397" t="n">
        <v>397</v>
      </c>
      <c r="B397" s="30">
        <f>IF('MSR RAW'!$A$3="","",'MSR RAW'!$A$3)</f>
        <v/>
      </c>
      <c r="C397">
        <f>IF(LEFT(TRIM('MSR RAW'!A397),11)="Department:",TRIM('MSR RAW'!A397),C396)</f>
        <v/>
      </c>
      <c r="D397">
        <f>IF(LEFT(TRIM('MSR RAW'!B397),9)="Location:",TRIM(MID('MSR RAW'!B397,10,999)),D396)</f>
        <v/>
      </c>
      <c r="E397">
        <f>IF(AND(ISNUMBER(SEARCH(" - ",TRIM('MSR RAW'!C397))),RIGHT(TRIM('MSR RAW'!C397),6)="Total:"),LEFT(TRIM('MSR RAW'!C397),SEARCH(" - ",TRIM('MSR RAW'!C397))-1),"")</f>
        <v/>
      </c>
      <c r="F397">
        <f>IF(E397="","",TRIM(MID(TRIM('MSR RAW'!C397),SEARCH(" - ",TRIM('MSR RAW'!C397))+3,LEN(TRIM('MSR RAW'!C397))-SEARCH(" - ",TRIM('MSR RAW'!C397))-9)))</f>
        <v/>
      </c>
      <c r="G397">
        <f>IF(E397="","",IFERROR(VLOOKUP(E397,'CATEGORY MAP'!$A$2:$B$20,2,FALSE()),"REVIEW"))</f>
        <v/>
      </c>
      <c r="H397">
        <f>IF(E397="","",IFERROR(VALUE(SUBSTITUTE('MSR RAW'!P397,",","")),0))</f>
        <v/>
      </c>
      <c r="I397">
        <f>IF(E397="","",IFERROR(VALUE(SUBSTITUTE('MSR RAW'!S397,",","")),0))</f>
        <v/>
      </c>
    </row>
    <row r="398" ht="68.65000000000001" customHeight="1" s="126">
      <c r="A398" t="n">
        <v>398</v>
      </c>
      <c r="B398" s="30">
        <f>IF('MSR RAW'!$A$3="","",'MSR RAW'!$A$3)</f>
        <v/>
      </c>
      <c r="C398">
        <f>IF(LEFT(TRIM('MSR RAW'!A398),11)="Department:",TRIM('MSR RAW'!A398),C397)</f>
        <v/>
      </c>
      <c r="D398">
        <f>IF(LEFT(TRIM('MSR RAW'!B398),9)="Location:",TRIM(MID('MSR RAW'!B398,10,999)),D397)</f>
        <v/>
      </c>
      <c r="E398">
        <f>IF(AND(ISNUMBER(SEARCH(" - ",TRIM('MSR RAW'!C398))),RIGHT(TRIM('MSR RAW'!C398),6)="Total:"),LEFT(TRIM('MSR RAW'!C398),SEARCH(" - ",TRIM('MSR RAW'!C398))-1),"")</f>
        <v/>
      </c>
      <c r="F398">
        <f>IF(E398="","",TRIM(MID(TRIM('MSR RAW'!C398),SEARCH(" - ",TRIM('MSR RAW'!C398))+3,LEN(TRIM('MSR RAW'!C398))-SEARCH(" - ",TRIM('MSR RAW'!C398))-9)))</f>
        <v/>
      </c>
      <c r="G398">
        <f>IF(E398="","",IFERROR(VLOOKUP(E398,'CATEGORY MAP'!$A$2:$B$20,2,FALSE()),"REVIEW"))</f>
        <v/>
      </c>
      <c r="H398">
        <f>IF(E398="","",IFERROR(VALUE(SUBSTITUTE('MSR RAW'!P398,",","")),0))</f>
        <v/>
      </c>
      <c r="I398">
        <f>IF(E398="","",IFERROR(VALUE(SUBSTITUTE('MSR RAW'!S398,",","")),0))</f>
        <v/>
      </c>
    </row>
    <row r="399" ht="68.65000000000001" customHeight="1" s="126">
      <c r="A399" t="n">
        <v>399</v>
      </c>
      <c r="B399" s="30">
        <f>IF('MSR RAW'!$A$3="","",'MSR RAW'!$A$3)</f>
        <v/>
      </c>
      <c r="C399">
        <f>IF(LEFT(TRIM('MSR RAW'!A399),11)="Department:",TRIM('MSR RAW'!A399),C398)</f>
        <v/>
      </c>
      <c r="D399">
        <f>IF(LEFT(TRIM('MSR RAW'!B399),9)="Location:",TRIM(MID('MSR RAW'!B399,10,999)),D398)</f>
        <v/>
      </c>
      <c r="E399">
        <f>IF(AND(ISNUMBER(SEARCH(" - ",TRIM('MSR RAW'!C399))),RIGHT(TRIM('MSR RAW'!C399),6)="Total:"),LEFT(TRIM('MSR RAW'!C399),SEARCH(" - ",TRIM('MSR RAW'!C399))-1),"")</f>
        <v/>
      </c>
      <c r="F399">
        <f>IF(E399="","",TRIM(MID(TRIM('MSR RAW'!C399),SEARCH(" - ",TRIM('MSR RAW'!C399))+3,LEN(TRIM('MSR RAW'!C399))-SEARCH(" - ",TRIM('MSR RAW'!C399))-9)))</f>
        <v/>
      </c>
      <c r="G399">
        <f>IF(E399="","",IFERROR(VLOOKUP(E399,'CATEGORY MAP'!$A$2:$B$20,2,FALSE()),"REVIEW"))</f>
        <v/>
      </c>
      <c r="H399">
        <f>IF(E399="","",IFERROR(VALUE(SUBSTITUTE('MSR RAW'!P399,",","")),0))</f>
        <v/>
      </c>
      <c r="I399">
        <f>IF(E399="","",IFERROR(VALUE(SUBSTITUTE('MSR RAW'!S399,",","")),0))</f>
        <v/>
      </c>
    </row>
    <row r="400" ht="68.65000000000001" customHeight="1" s="126">
      <c r="A400" t="n">
        <v>400</v>
      </c>
      <c r="B400" s="30">
        <f>IF('MSR RAW'!$A$3="","",'MSR RAW'!$A$3)</f>
        <v/>
      </c>
      <c r="C400">
        <f>IF(LEFT(TRIM('MSR RAW'!A400),11)="Department:",TRIM('MSR RAW'!A400),C399)</f>
        <v/>
      </c>
      <c r="D400">
        <f>IF(LEFT(TRIM('MSR RAW'!B400),9)="Location:",TRIM(MID('MSR RAW'!B400,10,999)),D399)</f>
        <v/>
      </c>
      <c r="E400">
        <f>IF(AND(ISNUMBER(SEARCH(" - ",TRIM('MSR RAW'!C400))),RIGHT(TRIM('MSR RAW'!C400),6)="Total:"),LEFT(TRIM('MSR RAW'!C400),SEARCH(" - ",TRIM('MSR RAW'!C400))-1),"")</f>
        <v/>
      </c>
      <c r="F400">
        <f>IF(E400="","",TRIM(MID(TRIM('MSR RAW'!C400),SEARCH(" - ",TRIM('MSR RAW'!C400))+3,LEN(TRIM('MSR RAW'!C400))-SEARCH(" - ",TRIM('MSR RAW'!C400))-9)))</f>
        <v/>
      </c>
      <c r="G400">
        <f>IF(E400="","",IFERROR(VLOOKUP(E400,'CATEGORY MAP'!$A$2:$B$20,2,FALSE()),"REVIEW"))</f>
        <v/>
      </c>
      <c r="H400">
        <f>IF(E400="","",IFERROR(VALUE(SUBSTITUTE('MSR RAW'!P400,",","")),0))</f>
        <v/>
      </c>
      <c r="I400">
        <f>IF(E400="","",IFERROR(VALUE(SUBSTITUTE('MSR RAW'!S400,",","")),0))</f>
        <v/>
      </c>
    </row>
    <row r="401" ht="68.65000000000001" customHeight="1" s="126">
      <c r="A401" t="n">
        <v>401</v>
      </c>
      <c r="B401" s="30">
        <f>IF('MSR RAW'!$A$3="","",'MSR RAW'!$A$3)</f>
        <v/>
      </c>
      <c r="C401">
        <f>IF(LEFT(TRIM('MSR RAW'!A401),11)="Department:",TRIM('MSR RAW'!A401),C400)</f>
        <v/>
      </c>
      <c r="D401">
        <f>IF(LEFT(TRIM('MSR RAW'!B401),9)="Location:",TRIM(MID('MSR RAW'!B401,10,999)),D400)</f>
        <v/>
      </c>
      <c r="E401">
        <f>IF(AND(ISNUMBER(SEARCH(" - ",TRIM('MSR RAW'!C401))),RIGHT(TRIM('MSR RAW'!C401),6)="Total:"),LEFT(TRIM('MSR RAW'!C401),SEARCH(" - ",TRIM('MSR RAW'!C401))-1),"")</f>
        <v/>
      </c>
      <c r="F401">
        <f>IF(E401="","",TRIM(MID(TRIM('MSR RAW'!C401),SEARCH(" - ",TRIM('MSR RAW'!C401))+3,LEN(TRIM('MSR RAW'!C401))-SEARCH(" - ",TRIM('MSR RAW'!C401))-9)))</f>
        <v/>
      </c>
      <c r="G401">
        <f>IF(E401="","",IFERROR(VLOOKUP(E401,'CATEGORY MAP'!$A$2:$B$20,2,FALSE()),"REVIEW"))</f>
        <v/>
      </c>
      <c r="H401">
        <f>IF(E401="","",IFERROR(VALUE(SUBSTITUTE('MSR RAW'!P401,",","")),0))</f>
        <v/>
      </c>
      <c r="I401">
        <f>IF(E401="","",IFERROR(VALUE(SUBSTITUTE('MSR RAW'!S401,",","")),0))</f>
        <v/>
      </c>
    </row>
    <row r="402" ht="68.65000000000001" customHeight="1" s="126">
      <c r="A402" t="n">
        <v>402</v>
      </c>
      <c r="B402" s="30">
        <f>IF('MSR RAW'!$A$3="","",'MSR RAW'!$A$3)</f>
        <v/>
      </c>
      <c r="C402">
        <f>IF(LEFT(TRIM('MSR RAW'!A402),11)="Department:",TRIM('MSR RAW'!A402),C401)</f>
        <v/>
      </c>
      <c r="D402">
        <f>IF(LEFT(TRIM('MSR RAW'!B402),9)="Location:",TRIM(MID('MSR RAW'!B402,10,999)),D401)</f>
        <v/>
      </c>
      <c r="E402">
        <f>IF(AND(ISNUMBER(SEARCH(" - ",TRIM('MSR RAW'!C402))),RIGHT(TRIM('MSR RAW'!C402),6)="Total:"),LEFT(TRIM('MSR RAW'!C402),SEARCH(" - ",TRIM('MSR RAW'!C402))-1),"")</f>
        <v/>
      </c>
      <c r="F402">
        <f>IF(E402="","",TRIM(MID(TRIM('MSR RAW'!C402),SEARCH(" - ",TRIM('MSR RAW'!C402))+3,LEN(TRIM('MSR RAW'!C402))-SEARCH(" - ",TRIM('MSR RAW'!C402))-9)))</f>
        <v/>
      </c>
      <c r="G402">
        <f>IF(E402="","",IFERROR(VLOOKUP(E402,'CATEGORY MAP'!$A$2:$B$20,2,FALSE()),"REVIEW"))</f>
        <v/>
      </c>
      <c r="H402">
        <f>IF(E402="","",IFERROR(VALUE(SUBSTITUTE('MSR RAW'!P402,",","")),0))</f>
        <v/>
      </c>
      <c r="I402">
        <f>IF(E402="","",IFERROR(VALUE(SUBSTITUTE('MSR RAW'!S402,",","")),0))</f>
        <v/>
      </c>
    </row>
    <row r="403" ht="68.65000000000001" customHeight="1" s="126">
      <c r="A403" t="n">
        <v>403</v>
      </c>
      <c r="B403" s="30">
        <f>IF('MSR RAW'!$A$3="","",'MSR RAW'!$A$3)</f>
        <v/>
      </c>
      <c r="C403">
        <f>IF(LEFT(TRIM('MSR RAW'!A403),11)="Department:",TRIM('MSR RAW'!A403),C402)</f>
        <v/>
      </c>
      <c r="D403">
        <f>IF(LEFT(TRIM('MSR RAW'!B403),9)="Location:",TRIM(MID('MSR RAW'!B403,10,999)),D402)</f>
        <v/>
      </c>
      <c r="E403">
        <f>IF(AND(ISNUMBER(SEARCH(" - ",TRIM('MSR RAW'!C403))),RIGHT(TRIM('MSR RAW'!C403),6)="Total:"),LEFT(TRIM('MSR RAW'!C403),SEARCH(" - ",TRIM('MSR RAW'!C403))-1),"")</f>
        <v/>
      </c>
      <c r="F403">
        <f>IF(E403="","",TRIM(MID(TRIM('MSR RAW'!C403),SEARCH(" - ",TRIM('MSR RAW'!C403))+3,LEN(TRIM('MSR RAW'!C403))-SEARCH(" - ",TRIM('MSR RAW'!C403))-9)))</f>
        <v/>
      </c>
      <c r="G403">
        <f>IF(E403="","",IFERROR(VLOOKUP(E403,'CATEGORY MAP'!$A$2:$B$20,2,FALSE()),"REVIEW"))</f>
        <v/>
      </c>
      <c r="H403">
        <f>IF(E403="","",IFERROR(VALUE(SUBSTITUTE('MSR RAW'!P403,",","")),0))</f>
        <v/>
      </c>
      <c r="I403">
        <f>IF(E403="","",IFERROR(VALUE(SUBSTITUTE('MSR RAW'!S403,",","")),0))</f>
        <v/>
      </c>
    </row>
    <row r="404" ht="68.65000000000001" customHeight="1" s="126">
      <c r="A404" t="n">
        <v>404</v>
      </c>
      <c r="B404" s="30">
        <f>IF('MSR RAW'!$A$3="","",'MSR RAW'!$A$3)</f>
        <v/>
      </c>
      <c r="C404">
        <f>IF(LEFT(TRIM('MSR RAW'!A404),11)="Department:",TRIM('MSR RAW'!A404),C403)</f>
        <v/>
      </c>
      <c r="D404">
        <f>IF(LEFT(TRIM('MSR RAW'!B404),9)="Location:",TRIM(MID('MSR RAW'!B404,10,999)),D403)</f>
        <v/>
      </c>
      <c r="E404">
        <f>IF(AND(ISNUMBER(SEARCH(" - ",TRIM('MSR RAW'!C404))),RIGHT(TRIM('MSR RAW'!C404),6)="Total:"),LEFT(TRIM('MSR RAW'!C404),SEARCH(" - ",TRIM('MSR RAW'!C404))-1),"")</f>
        <v/>
      </c>
      <c r="F404">
        <f>IF(E404="","",TRIM(MID(TRIM('MSR RAW'!C404),SEARCH(" - ",TRIM('MSR RAW'!C404))+3,LEN(TRIM('MSR RAW'!C404))-SEARCH(" - ",TRIM('MSR RAW'!C404))-9)))</f>
        <v/>
      </c>
      <c r="G404">
        <f>IF(E404="","",IFERROR(VLOOKUP(E404,'CATEGORY MAP'!$A$2:$B$20,2,FALSE()),"REVIEW"))</f>
        <v/>
      </c>
      <c r="H404">
        <f>IF(E404="","",IFERROR(VALUE(SUBSTITUTE('MSR RAW'!P404,",","")),0))</f>
        <v/>
      </c>
      <c r="I404">
        <f>IF(E404="","",IFERROR(VALUE(SUBSTITUTE('MSR RAW'!S404,",","")),0))</f>
        <v/>
      </c>
    </row>
    <row r="405" ht="68.65000000000001" customHeight="1" s="126">
      <c r="A405" t="n">
        <v>405</v>
      </c>
      <c r="B405" s="30">
        <f>IF('MSR RAW'!$A$3="","",'MSR RAW'!$A$3)</f>
        <v/>
      </c>
      <c r="C405">
        <f>IF(LEFT(TRIM('MSR RAW'!A405),11)="Department:",TRIM('MSR RAW'!A405),C404)</f>
        <v/>
      </c>
      <c r="D405">
        <f>IF(LEFT(TRIM('MSR RAW'!B405),9)="Location:",TRIM(MID('MSR RAW'!B405,10,999)),D404)</f>
        <v/>
      </c>
      <c r="E405">
        <f>IF(AND(ISNUMBER(SEARCH(" - ",TRIM('MSR RAW'!C405))),RIGHT(TRIM('MSR RAW'!C405),6)="Total:"),LEFT(TRIM('MSR RAW'!C405),SEARCH(" - ",TRIM('MSR RAW'!C405))-1),"")</f>
        <v/>
      </c>
      <c r="F405">
        <f>IF(E405="","",TRIM(MID(TRIM('MSR RAW'!C405),SEARCH(" - ",TRIM('MSR RAW'!C405))+3,LEN(TRIM('MSR RAW'!C405))-SEARCH(" - ",TRIM('MSR RAW'!C405))-9)))</f>
        <v/>
      </c>
      <c r="G405">
        <f>IF(E405="","",IFERROR(VLOOKUP(E405,'CATEGORY MAP'!$A$2:$B$20,2,FALSE()),"REVIEW"))</f>
        <v/>
      </c>
      <c r="H405">
        <f>IF(E405="","",IFERROR(VALUE(SUBSTITUTE('MSR RAW'!P405,",","")),0))</f>
        <v/>
      </c>
      <c r="I405">
        <f>IF(E405="","",IFERROR(VALUE(SUBSTITUTE('MSR RAW'!S405,",","")),0))</f>
        <v/>
      </c>
    </row>
    <row r="406" ht="68.65000000000001" customHeight="1" s="126">
      <c r="A406" t="n">
        <v>406</v>
      </c>
      <c r="B406" s="30">
        <f>IF('MSR RAW'!$A$3="","",'MSR RAW'!$A$3)</f>
        <v/>
      </c>
      <c r="C406">
        <f>IF(LEFT(TRIM('MSR RAW'!A406),11)="Department:",TRIM('MSR RAW'!A406),C405)</f>
        <v/>
      </c>
      <c r="D406">
        <f>IF(LEFT(TRIM('MSR RAW'!B406),9)="Location:",TRIM(MID('MSR RAW'!B406,10,999)),D405)</f>
        <v/>
      </c>
      <c r="E406">
        <f>IF(AND(ISNUMBER(SEARCH(" - ",TRIM('MSR RAW'!C406))),RIGHT(TRIM('MSR RAW'!C406),6)="Total:"),LEFT(TRIM('MSR RAW'!C406),SEARCH(" - ",TRIM('MSR RAW'!C406))-1),"")</f>
        <v/>
      </c>
      <c r="F406">
        <f>IF(E406="","",TRIM(MID(TRIM('MSR RAW'!C406),SEARCH(" - ",TRIM('MSR RAW'!C406))+3,LEN(TRIM('MSR RAW'!C406))-SEARCH(" - ",TRIM('MSR RAW'!C406))-9)))</f>
        <v/>
      </c>
      <c r="G406">
        <f>IF(E406="","",IFERROR(VLOOKUP(E406,'CATEGORY MAP'!$A$2:$B$20,2,FALSE()),"REVIEW"))</f>
        <v/>
      </c>
      <c r="H406">
        <f>IF(E406="","",IFERROR(VALUE(SUBSTITUTE('MSR RAW'!P406,",","")),0))</f>
        <v/>
      </c>
      <c r="I406">
        <f>IF(E406="","",IFERROR(VALUE(SUBSTITUTE('MSR RAW'!S406,",","")),0))</f>
        <v/>
      </c>
    </row>
    <row r="407" ht="68.65000000000001" customHeight="1" s="126">
      <c r="A407" t="n">
        <v>407</v>
      </c>
      <c r="B407" s="30">
        <f>IF('MSR RAW'!$A$3="","",'MSR RAW'!$A$3)</f>
        <v/>
      </c>
      <c r="C407">
        <f>IF(LEFT(TRIM('MSR RAW'!A407),11)="Department:",TRIM('MSR RAW'!A407),C406)</f>
        <v/>
      </c>
      <c r="D407">
        <f>IF(LEFT(TRIM('MSR RAW'!B407),9)="Location:",TRIM(MID('MSR RAW'!B407,10,999)),D406)</f>
        <v/>
      </c>
      <c r="E407">
        <f>IF(AND(ISNUMBER(SEARCH(" - ",TRIM('MSR RAW'!C407))),RIGHT(TRIM('MSR RAW'!C407),6)="Total:"),LEFT(TRIM('MSR RAW'!C407),SEARCH(" - ",TRIM('MSR RAW'!C407))-1),"")</f>
        <v/>
      </c>
      <c r="F407">
        <f>IF(E407="","",TRIM(MID(TRIM('MSR RAW'!C407),SEARCH(" - ",TRIM('MSR RAW'!C407))+3,LEN(TRIM('MSR RAW'!C407))-SEARCH(" - ",TRIM('MSR RAW'!C407))-9)))</f>
        <v/>
      </c>
      <c r="G407">
        <f>IF(E407="","",IFERROR(VLOOKUP(E407,'CATEGORY MAP'!$A$2:$B$20,2,FALSE()),"REVIEW"))</f>
        <v/>
      </c>
      <c r="H407">
        <f>IF(E407="","",IFERROR(VALUE(SUBSTITUTE('MSR RAW'!P407,",","")),0))</f>
        <v/>
      </c>
      <c r="I407">
        <f>IF(E407="","",IFERROR(VALUE(SUBSTITUTE('MSR RAW'!S407,",","")),0))</f>
        <v/>
      </c>
    </row>
    <row r="408" ht="68.65000000000001" customHeight="1" s="126">
      <c r="A408" t="n">
        <v>408</v>
      </c>
      <c r="B408" s="30">
        <f>IF('MSR RAW'!$A$3="","",'MSR RAW'!$A$3)</f>
        <v/>
      </c>
      <c r="C408">
        <f>IF(LEFT(TRIM('MSR RAW'!A408),11)="Department:",TRIM('MSR RAW'!A408),C407)</f>
        <v/>
      </c>
      <c r="D408">
        <f>IF(LEFT(TRIM('MSR RAW'!B408),9)="Location:",TRIM(MID('MSR RAW'!B408,10,999)),D407)</f>
        <v/>
      </c>
      <c r="E408">
        <f>IF(AND(ISNUMBER(SEARCH(" - ",TRIM('MSR RAW'!C408))),RIGHT(TRIM('MSR RAW'!C408),6)="Total:"),LEFT(TRIM('MSR RAW'!C408),SEARCH(" - ",TRIM('MSR RAW'!C408))-1),"")</f>
        <v/>
      </c>
      <c r="F408">
        <f>IF(E408="","",TRIM(MID(TRIM('MSR RAW'!C408),SEARCH(" - ",TRIM('MSR RAW'!C408))+3,LEN(TRIM('MSR RAW'!C408))-SEARCH(" - ",TRIM('MSR RAW'!C408))-9)))</f>
        <v/>
      </c>
      <c r="G408">
        <f>IF(E408="","",IFERROR(VLOOKUP(E408,'CATEGORY MAP'!$A$2:$B$20,2,FALSE()),"REVIEW"))</f>
        <v/>
      </c>
      <c r="H408">
        <f>IF(E408="","",IFERROR(VALUE(SUBSTITUTE('MSR RAW'!P408,",","")),0))</f>
        <v/>
      </c>
      <c r="I408">
        <f>IF(E408="","",IFERROR(VALUE(SUBSTITUTE('MSR RAW'!S408,",","")),0))</f>
        <v/>
      </c>
    </row>
    <row r="409" ht="68.65000000000001" customHeight="1" s="126">
      <c r="A409" t="n">
        <v>409</v>
      </c>
      <c r="B409" s="30">
        <f>IF('MSR RAW'!$A$3="","",'MSR RAW'!$A$3)</f>
        <v/>
      </c>
      <c r="C409">
        <f>IF(LEFT(TRIM('MSR RAW'!A409),11)="Department:",TRIM('MSR RAW'!A409),C408)</f>
        <v/>
      </c>
      <c r="D409">
        <f>IF(LEFT(TRIM('MSR RAW'!B409),9)="Location:",TRIM(MID('MSR RAW'!B409,10,999)),D408)</f>
        <v/>
      </c>
      <c r="E409">
        <f>IF(AND(ISNUMBER(SEARCH(" - ",TRIM('MSR RAW'!C409))),RIGHT(TRIM('MSR RAW'!C409),6)="Total:"),LEFT(TRIM('MSR RAW'!C409),SEARCH(" - ",TRIM('MSR RAW'!C409))-1),"")</f>
        <v/>
      </c>
      <c r="F409">
        <f>IF(E409="","",TRIM(MID(TRIM('MSR RAW'!C409),SEARCH(" - ",TRIM('MSR RAW'!C409))+3,LEN(TRIM('MSR RAW'!C409))-SEARCH(" - ",TRIM('MSR RAW'!C409))-9)))</f>
        <v/>
      </c>
      <c r="G409">
        <f>IF(E409="","",IFERROR(VLOOKUP(E409,'CATEGORY MAP'!$A$2:$B$20,2,FALSE()),"REVIEW"))</f>
        <v/>
      </c>
      <c r="H409">
        <f>IF(E409="","",IFERROR(VALUE(SUBSTITUTE('MSR RAW'!P409,",","")),0))</f>
        <v/>
      </c>
      <c r="I409">
        <f>IF(E409="","",IFERROR(VALUE(SUBSTITUTE('MSR RAW'!S409,",","")),0))</f>
        <v/>
      </c>
    </row>
    <row r="410" ht="68.65000000000001" customHeight="1" s="126">
      <c r="A410" t="n">
        <v>410</v>
      </c>
      <c r="B410" s="30">
        <f>IF('MSR RAW'!$A$3="","",'MSR RAW'!$A$3)</f>
        <v/>
      </c>
      <c r="C410">
        <f>IF(LEFT(TRIM('MSR RAW'!A410),11)="Department:",TRIM('MSR RAW'!A410),C409)</f>
        <v/>
      </c>
      <c r="D410">
        <f>IF(LEFT(TRIM('MSR RAW'!B410),9)="Location:",TRIM(MID('MSR RAW'!B410,10,999)),D409)</f>
        <v/>
      </c>
      <c r="E410">
        <f>IF(AND(ISNUMBER(SEARCH(" - ",TRIM('MSR RAW'!C410))),RIGHT(TRIM('MSR RAW'!C410),6)="Total:"),LEFT(TRIM('MSR RAW'!C410),SEARCH(" - ",TRIM('MSR RAW'!C410))-1),"")</f>
        <v/>
      </c>
      <c r="F410">
        <f>IF(E410="","",TRIM(MID(TRIM('MSR RAW'!C410),SEARCH(" - ",TRIM('MSR RAW'!C410))+3,LEN(TRIM('MSR RAW'!C410))-SEARCH(" - ",TRIM('MSR RAW'!C410))-9)))</f>
        <v/>
      </c>
      <c r="G410">
        <f>IF(E410="","",IFERROR(VLOOKUP(E410,'CATEGORY MAP'!$A$2:$B$20,2,FALSE()),"REVIEW"))</f>
        <v/>
      </c>
      <c r="H410">
        <f>IF(E410="","",IFERROR(VALUE(SUBSTITUTE('MSR RAW'!P410,",","")),0))</f>
        <v/>
      </c>
      <c r="I410">
        <f>IF(E410="","",IFERROR(VALUE(SUBSTITUTE('MSR RAW'!S410,",","")),0))</f>
        <v/>
      </c>
    </row>
    <row r="411" ht="68.65000000000001" customHeight="1" s="126">
      <c r="A411" t="n">
        <v>411</v>
      </c>
      <c r="B411" s="30">
        <f>IF('MSR RAW'!$A$3="","",'MSR RAW'!$A$3)</f>
        <v/>
      </c>
      <c r="C411">
        <f>IF(LEFT(TRIM('MSR RAW'!A411),11)="Department:",TRIM('MSR RAW'!A411),C410)</f>
        <v/>
      </c>
      <c r="D411">
        <f>IF(LEFT(TRIM('MSR RAW'!B411),9)="Location:",TRIM(MID('MSR RAW'!B411,10,999)),D410)</f>
        <v/>
      </c>
      <c r="E411">
        <f>IF(AND(ISNUMBER(SEARCH(" - ",TRIM('MSR RAW'!C411))),RIGHT(TRIM('MSR RAW'!C411),6)="Total:"),LEFT(TRIM('MSR RAW'!C411),SEARCH(" - ",TRIM('MSR RAW'!C411))-1),"")</f>
        <v/>
      </c>
      <c r="F411">
        <f>IF(E411="","",TRIM(MID(TRIM('MSR RAW'!C411),SEARCH(" - ",TRIM('MSR RAW'!C411))+3,LEN(TRIM('MSR RAW'!C411))-SEARCH(" - ",TRIM('MSR RAW'!C411))-9)))</f>
        <v/>
      </c>
      <c r="G411">
        <f>IF(E411="","",IFERROR(VLOOKUP(E411,'CATEGORY MAP'!$A$2:$B$20,2,FALSE()),"REVIEW"))</f>
        <v/>
      </c>
      <c r="H411">
        <f>IF(E411="","",IFERROR(VALUE(SUBSTITUTE('MSR RAW'!P411,",","")),0))</f>
        <v/>
      </c>
      <c r="I411">
        <f>IF(E411="","",IFERROR(VALUE(SUBSTITUTE('MSR RAW'!S411,",","")),0))</f>
        <v/>
      </c>
    </row>
    <row r="412" ht="68.65000000000001" customHeight="1" s="126">
      <c r="A412" t="n">
        <v>412</v>
      </c>
      <c r="B412" s="30">
        <f>IF('MSR RAW'!$A$3="","",'MSR RAW'!$A$3)</f>
        <v/>
      </c>
      <c r="C412">
        <f>IF(LEFT(TRIM('MSR RAW'!A412),11)="Department:",TRIM('MSR RAW'!A412),C411)</f>
        <v/>
      </c>
      <c r="D412">
        <f>IF(LEFT(TRIM('MSR RAW'!B412),9)="Location:",TRIM(MID('MSR RAW'!B412,10,999)),D411)</f>
        <v/>
      </c>
      <c r="E412">
        <f>IF(AND(ISNUMBER(SEARCH(" - ",TRIM('MSR RAW'!C412))),RIGHT(TRIM('MSR RAW'!C412),6)="Total:"),LEFT(TRIM('MSR RAW'!C412),SEARCH(" - ",TRIM('MSR RAW'!C412))-1),"")</f>
        <v/>
      </c>
      <c r="F412">
        <f>IF(E412="","",TRIM(MID(TRIM('MSR RAW'!C412),SEARCH(" - ",TRIM('MSR RAW'!C412))+3,LEN(TRIM('MSR RAW'!C412))-SEARCH(" - ",TRIM('MSR RAW'!C412))-9)))</f>
        <v/>
      </c>
      <c r="G412">
        <f>IF(E412="","",IFERROR(VLOOKUP(E412,'CATEGORY MAP'!$A$2:$B$20,2,FALSE()),"REVIEW"))</f>
        <v/>
      </c>
      <c r="H412">
        <f>IF(E412="","",IFERROR(VALUE(SUBSTITUTE('MSR RAW'!P412,",","")),0))</f>
        <v/>
      </c>
      <c r="I412">
        <f>IF(E412="","",IFERROR(VALUE(SUBSTITUTE('MSR RAW'!S412,",","")),0))</f>
        <v/>
      </c>
    </row>
    <row r="413" ht="68.65000000000001" customHeight="1" s="126">
      <c r="A413" t="n">
        <v>413</v>
      </c>
      <c r="B413" s="30">
        <f>IF('MSR RAW'!$A$3="","",'MSR RAW'!$A$3)</f>
        <v/>
      </c>
      <c r="C413">
        <f>IF(LEFT(TRIM('MSR RAW'!A413),11)="Department:",TRIM('MSR RAW'!A413),C412)</f>
        <v/>
      </c>
      <c r="D413">
        <f>IF(LEFT(TRIM('MSR RAW'!B413),9)="Location:",TRIM(MID('MSR RAW'!B413,10,999)),D412)</f>
        <v/>
      </c>
      <c r="E413">
        <f>IF(AND(ISNUMBER(SEARCH(" - ",TRIM('MSR RAW'!C413))),RIGHT(TRIM('MSR RAW'!C413),6)="Total:"),LEFT(TRIM('MSR RAW'!C413),SEARCH(" - ",TRIM('MSR RAW'!C413))-1),"")</f>
        <v/>
      </c>
      <c r="F413">
        <f>IF(E413="","",TRIM(MID(TRIM('MSR RAW'!C413),SEARCH(" - ",TRIM('MSR RAW'!C413))+3,LEN(TRIM('MSR RAW'!C413))-SEARCH(" - ",TRIM('MSR RAW'!C413))-9)))</f>
        <v/>
      </c>
      <c r="G413">
        <f>IF(E413="","",IFERROR(VLOOKUP(E413,'CATEGORY MAP'!$A$2:$B$20,2,FALSE()),"REVIEW"))</f>
        <v/>
      </c>
      <c r="H413">
        <f>IF(E413="","",IFERROR(VALUE(SUBSTITUTE('MSR RAW'!P413,",","")),0))</f>
        <v/>
      </c>
      <c r="I413">
        <f>IF(E413="","",IFERROR(VALUE(SUBSTITUTE('MSR RAW'!S413,",","")),0))</f>
        <v/>
      </c>
    </row>
    <row r="414" ht="68.65000000000001" customHeight="1" s="126">
      <c r="A414" t="n">
        <v>414</v>
      </c>
      <c r="B414" s="30">
        <f>IF('MSR RAW'!$A$3="","",'MSR RAW'!$A$3)</f>
        <v/>
      </c>
      <c r="C414">
        <f>IF(LEFT(TRIM('MSR RAW'!A414),11)="Department:",TRIM('MSR RAW'!A414),C413)</f>
        <v/>
      </c>
      <c r="D414">
        <f>IF(LEFT(TRIM('MSR RAW'!B414),9)="Location:",TRIM(MID('MSR RAW'!B414,10,999)),D413)</f>
        <v/>
      </c>
      <c r="E414">
        <f>IF(AND(ISNUMBER(SEARCH(" - ",TRIM('MSR RAW'!C414))),RIGHT(TRIM('MSR RAW'!C414),6)="Total:"),LEFT(TRIM('MSR RAW'!C414),SEARCH(" - ",TRIM('MSR RAW'!C414))-1),"")</f>
        <v/>
      </c>
      <c r="F414">
        <f>IF(E414="","",TRIM(MID(TRIM('MSR RAW'!C414),SEARCH(" - ",TRIM('MSR RAW'!C414))+3,LEN(TRIM('MSR RAW'!C414))-SEARCH(" - ",TRIM('MSR RAW'!C414))-9)))</f>
        <v/>
      </c>
      <c r="G414">
        <f>IF(E414="","",IFERROR(VLOOKUP(E414,'CATEGORY MAP'!$A$2:$B$20,2,FALSE()),"REVIEW"))</f>
        <v/>
      </c>
      <c r="H414">
        <f>IF(E414="","",IFERROR(VALUE(SUBSTITUTE('MSR RAW'!P414,",","")),0))</f>
        <v/>
      </c>
      <c r="I414">
        <f>IF(E414="","",IFERROR(VALUE(SUBSTITUTE('MSR RAW'!S414,",","")),0))</f>
        <v/>
      </c>
    </row>
    <row r="415" ht="68.65000000000001" customHeight="1" s="126">
      <c r="A415" t="n">
        <v>415</v>
      </c>
      <c r="B415" s="30">
        <f>IF('MSR RAW'!$A$3="","",'MSR RAW'!$A$3)</f>
        <v/>
      </c>
      <c r="C415">
        <f>IF(LEFT(TRIM('MSR RAW'!A415),11)="Department:",TRIM('MSR RAW'!A415),C414)</f>
        <v/>
      </c>
      <c r="D415">
        <f>IF(LEFT(TRIM('MSR RAW'!B415),9)="Location:",TRIM(MID('MSR RAW'!B415,10,999)),D414)</f>
        <v/>
      </c>
      <c r="E415">
        <f>IF(AND(ISNUMBER(SEARCH(" - ",TRIM('MSR RAW'!C415))),RIGHT(TRIM('MSR RAW'!C415),6)="Total:"),LEFT(TRIM('MSR RAW'!C415),SEARCH(" - ",TRIM('MSR RAW'!C415))-1),"")</f>
        <v/>
      </c>
      <c r="F415">
        <f>IF(E415="","",TRIM(MID(TRIM('MSR RAW'!C415),SEARCH(" - ",TRIM('MSR RAW'!C415))+3,LEN(TRIM('MSR RAW'!C415))-SEARCH(" - ",TRIM('MSR RAW'!C415))-9)))</f>
        <v/>
      </c>
      <c r="G415">
        <f>IF(E415="","",IFERROR(VLOOKUP(E415,'CATEGORY MAP'!$A$2:$B$20,2,FALSE()),"REVIEW"))</f>
        <v/>
      </c>
      <c r="H415">
        <f>IF(E415="","",IFERROR(VALUE(SUBSTITUTE('MSR RAW'!P415,",","")),0))</f>
        <v/>
      </c>
      <c r="I415">
        <f>IF(E415="","",IFERROR(VALUE(SUBSTITUTE('MSR RAW'!S415,",","")),0))</f>
        <v/>
      </c>
    </row>
    <row r="416" ht="68.65000000000001" customHeight="1" s="126">
      <c r="A416" t="n">
        <v>416</v>
      </c>
      <c r="B416" s="30">
        <f>IF('MSR RAW'!$A$3="","",'MSR RAW'!$A$3)</f>
        <v/>
      </c>
      <c r="C416">
        <f>IF(LEFT(TRIM('MSR RAW'!A416),11)="Department:",TRIM('MSR RAW'!A416),C415)</f>
        <v/>
      </c>
      <c r="D416">
        <f>IF(LEFT(TRIM('MSR RAW'!B416),9)="Location:",TRIM(MID('MSR RAW'!B416,10,999)),D415)</f>
        <v/>
      </c>
      <c r="E416">
        <f>IF(AND(ISNUMBER(SEARCH(" - ",TRIM('MSR RAW'!C416))),RIGHT(TRIM('MSR RAW'!C416),6)="Total:"),LEFT(TRIM('MSR RAW'!C416),SEARCH(" - ",TRIM('MSR RAW'!C416))-1),"")</f>
        <v/>
      </c>
      <c r="F416">
        <f>IF(E416="","",TRIM(MID(TRIM('MSR RAW'!C416),SEARCH(" - ",TRIM('MSR RAW'!C416))+3,LEN(TRIM('MSR RAW'!C416))-SEARCH(" - ",TRIM('MSR RAW'!C416))-9)))</f>
        <v/>
      </c>
      <c r="G416">
        <f>IF(E416="","",IFERROR(VLOOKUP(E416,'CATEGORY MAP'!$A$2:$B$20,2,FALSE()),"REVIEW"))</f>
        <v/>
      </c>
      <c r="H416">
        <f>IF(E416="","",IFERROR(VALUE(SUBSTITUTE('MSR RAW'!P416,",","")),0))</f>
        <v/>
      </c>
      <c r="I416">
        <f>IF(E416="","",IFERROR(VALUE(SUBSTITUTE('MSR RAW'!S416,",","")),0))</f>
        <v/>
      </c>
    </row>
    <row r="417" ht="68.65000000000001" customHeight="1" s="126">
      <c r="A417" t="n">
        <v>417</v>
      </c>
      <c r="B417" s="30">
        <f>IF('MSR RAW'!$A$3="","",'MSR RAW'!$A$3)</f>
        <v/>
      </c>
      <c r="C417">
        <f>IF(LEFT(TRIM('MSR RAW'!A417),11)="Department:",TRIM('MSR RAW'!A417),C416)</f>
        <v/>
      </c>
      <c r="D417">
        <f>IF(LEFT(TRIM('MSR RAW'!B417),9)="Location:",TRIM(MID('MSR RAW'!B417,10,999)),D416)</f>
        <v/>
      </c>
      <c r="E417">
        <f>IF(AND(ISNUMBER(SEARCH(" - ",TRIM('MSR RAW'!C417))),RIGHT(TRIM('MSR RAW'!C417),6)="Total:"),LEFT(TRIM('MSR RAW'!C417),SEARCH(" - ",TRIM('MSR RAW'!C417))-1),"")</f>
        <v/>
      </c>
      <c r="F417">
        <f>IF(E417="","",TRIM(MID(TRIM('MSR RAW'!C417),SEARCH(" - ",TRIM('MSR RAW'!C417))+3,LEN(TRIM('MSR RAW'!C417))-SEARCH(" - ",TRIM('MSR RAW'!C417))-9)))</f>
        <v/>
      </c>
      <c r="G417">
        <f>IF(E417="","",IFERROR(VLOOKUP(E417,'CATEGORY MAP'!$A$2:$B$20,2,FALSE()),"REVIEW"))</f>
        <v/>
      </c>
      <c r="H417">
        <f>IF(E417="","",IFERROR(VALUE(SUBSTITUTE('MSR RAW'!P417,",","")),0))</f>
        <v/>
      </c>
      <c r="I417">
        <f>IF(E417="","",IFERROR(VALUE(SUBSTITUTE('MSR RAW'!S417,",","")),0))</f>
        <v/>
      </c>
    </row>
    <row r="418" ht="68.65000000000001" customHeight="1" s="126">
      <c r="A418" t="n">
        <v>418</v>
      </c>
      <c r="B418" s="30">
        <f>IF('MSR RAW'!$A$3="","",'MSR RAW'!$A$3)</f>
        <v/>
      </c>
      <c r="C418">
        <f>IF(LEFT(TRIM('MSR RAW'!A418),11)="Department:",TRIM('MSR RAW'!A418),C417)</f>
        <v/>
      </c>
      <c r="D418">
        <f>IF(LEFT(TRIM('MSR RAW'!B418),9)="Location:",TRIM(MID('MSR RAW'!B418,10,999)),D417)</f>
        <v/>
      </c>
      <c r="E418">
        <f>IF(AND(ISNUMBER(SEARCH(" - ",TRIM('MSR RAW'!C418))),RIGHT(TRIM('MSR RAW'!C418),6)="Total:"),LEFT(TRIM('MSR RAW'!C418),SEARCH(" - ",TRIM('MSR RAW'!C418))-1),"")</f>
        <v/>
      </c>
      <c r="F418">
        <f>IF(E418="","",TRIM(MID(TRIM('MSR RAW'!C418),SEARCH(" - ",TRIM('MSR RAW'!C418))+3,LEN(TRIM('MSR RAW'!C418))-SEARCH(" - ",TRIM('MSR RAW'!C418))-9)))</f>
        <v/>
      </c>
      <c r="G418">
        <f>IF(E418="","",IFERROR(VLOOKUP(E418,'CATEGORY MAP'!$A$2:$B$20,2,FALSE()),"REVIEW"))</f>
        <v/>
      </c>
      <c r="H418">
        <f>IF(E418="","",IFERROR(VALUE(SUBSTITUTE('MSR RAW'!P418,",","")),0))</f>
        <v/>
      </c>
      <c r="I418">
        <f>IF(E418="","",IFERROR(VALUE(SUBSTITUTE('MSR RAW'!S418,",","")),0))</f>
        <v/>
      </c>
    </row>
    <row r="419" ht="68.65000000000001" customHeight="1" s="126">
      <c r="A419" t="n">
        <v>419</v>
      </c>
      <c r="B419" s="30">
        <f>IF('MSR RAW'!$A$3="","",'MSR RAW'!$A$3)</f>
        <v/>
      </c>
      <c r="C419">
        <f>IF(LEFT(TRIM('MSR RAW'!A419),11)="Department:",TRIM('MSR RAW'!A419),C418)</f>
        <v/>
      </c>
      <c r="D419">
        <f>IF(LEFT(TRIM('MSR RAW'!B419),9)="Location:",TRIM(MID('MSR RAW'!B419,10,999)),D418)</f>
        <v/>
      </c>
      <c r="E419">
        <f>IF(AND(ISNUMBER(SEARCH(" - ",TRIM('MSR RAW'!C419))),RIGHT(TRIM('MSR RAW'!C419),6)="Total:"),LEFT(TRIM('MSR RAW'!C419),SEARCH(" - ",TRIM('MSR RAW'!C419))-1),"")</f>
        <v/>
      </c>
      <c r="F419">
        <f>IF(E419="","",TRIM(MID(TRIM('MSR RAW'!C419),SEARCH(" - ",TRIM('MSR RAW'!C419))+3,LEN(TRIM('MSR RAW'!C419))-SEARCH(" - ",TRIM('MSR RAW'!C419))-9)))</f>
        <v/>
      </c>
      <c r="G419">
        <f>IF(E419="","",IFERROR(VLOOKUP(E419,'CATEGORY MAP'!$A$2:$B$20,2,FALSE()),"REVIEW"))</f>
        <v/>
      </c>
      <c r="H419">
        <f>IF(E419="","",IFERROR(VALUE(SUBSTITUTE('MSR RAW'!P419,",","")),0))</f>
        <v/>
      </c>
      <c r="I419">
        <f>IF(E419="","",IFERROR(VALUE(SUBSTITUTE('MSR RAW'!S419,",","")),0))</f>
        <v/>
      </c>
    </row>
    <row r="420" ht="68.65000000000001" customHeight="1" s="126">
      <c r="A420" t="n">
        <v>420</v>
      </c>
      <c r="B420" s="30">
        <f>IF('MSR RAW'!$A$3="","",'MSR RAW'!$A$3)</f>
        <v/>
      </c>
      <c r="C420">
        <f>IF(LEFT(TRIM('MSR RAW'!A420),11)="Department:",TRIM('MSR RAW'!A420),C419)</f>
        <v/>
      </c>
      <c r="D420">
        <f>IF(LEFT(TRIM('MSR RAW'!B420),9)="Location:",TRIM(MID('MSR RAW'!B420,10,999)),D419)</f>
        <v/>
      </c>
      <c r="E420">
        <f>IF(AND(ISNUMBER(SEARCH(" - ",TRIM('MSR RAW'!C420))),RIGHT(TRIM('MSR RAW'!C420),6)="Total:"),LEFT(TRIM('MSR RAW'!C420),SEARCH(" - ",TRIM('MSR RAW'!C420))-1),"")</f>
        <v/>
      </c>
      <c r="F420">
        <f>IF(E420="","",TRIM(MID(TRIM('MSR RAW'!C420),SEARCH(" - ",TRIM('MSR RAW'!C420))+3,LEN(TRIM('MSR RAW'!C420))-SEARCH(" - ",TRIM('MSR RAW'!C420))-9)))</f>
        <v/>
      </c>
      <c r="G420">
        <f>IF(E420="","",IFERROR(VLOOKUP(E420,'CATEGORY MAP'!$A$2:$B$20,2,FALSE()),"REVIEW"))</f>
        <v/>
      </c>
      <c r="H420">
        <f>IF(E420="","",IFERROR(VALUE(SUBSTITUTE('MSR RAW'!P420,",","")),0))</f>
        <v/>
      </c>
      <c r="I420">
        <f>IF(E420="","",IFERROR(VALUE(SUBSTITUTE('MSR RAW'!S420,",","")),0))</f>
        <v/>
      </c>
    </row>
    <row r="421" ht="68.65000000000001" customHeight="1" s="126">
      <c r="A421" t="n">
        <v>421</v>
      </c>
      <c r="B421" s="30">
        <f>IF('MSR RAW'!$A$3="","",'MSR RAW'!$A$3)</f>
        <v/>
      </c>
      <c r="C421">
        <f>IF(LEFT(TRIM('MSR RAW'!A421),11)="Department:",TRIM('MSR RAW'!A421),C420)</f>
        <v/>
      </c>
      <c r="D421">
        <f>IF(LEFT(TRIM('MSR RAW'!B421),9)="Location:",TRIM(MID('MSR RAW'!B421,10,999)),D420)</f>
        <v/>
      </c>
      <c r="E421">
        <f>IF(AND(ISNUMBER(SEARCH(" - ",TRIM('MSR RAW'!C421))),RIGHT(TRIM('MSR RAW'!C421),6)="Total:"),LEFT(TRIM('MSR RAW'!C421),SEARCH(" - ",TRIM('MSR RAW'!C421))-1),"")</f>
        <v/>
      </c>
      <c r="F421">
        <f>IF(E421="","",TRIM(MID(TRIM('MSR RAW'!C421),SEARCH(" - ",TRIM('MSR RAW'!C421))+3,LEN(TRIM('MSR RAW'!C421))-SEARCH(" - ",TRIM('MSR RAW'!C421))-9)))</f>
        <v/>
      </c>
      <c r="G421">
        <f>IF(E421="","",IFERROR(VLOOKUP(E421,'CATEGORY MAP'!$A$2:$B$20,2,FALSE()),"REVIEW"))</f>
        <v/>
      </c>
      <c r="H421">
        <f>IF(E421="","",IFERROR(VALUE(SUBSTITUTE('MSR RAW'!P421,",","")),0))</f>
        <v/>
      </c>
      <c r="I421">
        <f>IF(E421="","",IFERROR(VALUE(SUBSTITUTE('MSR RAW'!S421,",","")),0))</f>
        <v/>
      </c>
    </row>
    <row r="422" ht="68.65000000000001" customHeight="1" s="126">
      <c r="A422" t="n">
        <v>422</v>
      </c>
      <c r="B422" s="30">
        <f>IF('MSR RAW'!$A$3="","",'MSR RAW'!$A$3)</f>
        <v/>
      </c>
      <c r="C422">
        <f>IF(LEFT(TRIM('MSR RAW'!A422),11)="Department:",TRIM('MSR RAW'!A422),C421)</f>
        <v/>
      </c>
      <c r="D422">
        <f>IF(LEFT(TRIM('MSR RAW'!B422),9)="Location:",TRIM(MID('MSR RAW'!B422,10,999)),D421)</f>
        <v/>
      </c>
      <c r="E422">
        <f>IF(AND(ISNUMBER(SEARCH(" - ",TRIM('MSR RAW'!C422))),RIGHT(TRIM('MSR RAW'!C422),6)="Total:"),LEFT(TRIM('MSR RAW'!C422),SEARCH(" - ",TRIM('MSR RAW'!C422))-1),"")</f>
        <v/>
      </c>
      <c r="F422">
        <f>IF(E422="","",TRIM(MID(TRIM('MSR RAW'!C422),SEARCH(" - ",TRIM('MSR RAW'!C422))+3,LEN(TRIM('MSR RAW'!C422))-SEARCH(" - ",TRIM('MSR RAW'!C422))-9)))</f>
        <v/>
      </c>
      <c r="G422">
        <f>IF(E422="","",IFERROR(VLOOKUP(E422,'CATEGORY MAP'!$A$2:$B$20,2,FALSE()),"REVIEW"))</f>
        <v/>
      </c>
      <c r="H422">
        <f>IF(E422="","",IFERROR(VALUE(SUBSTITUTE('MSR RAW'!P422,",","")),0))</f>
        <v/>
      </c>
      <c r="I422">
        <f>IF(E422="","",IFERROR(VALUE(SUBSTITUTE('MSR RAW'!S422,",","")),0))</f>
        <v/>
      </c>
    </row>
    <row r="423" ht="68.65000000000001" customHeight="1" s="126">
      <c r="A423" t="n">
        <v>423</v>
      </c>
      <c r="B423" s="30">
        <f>IF('MSR RAW'!$A$3="","",'MSR RAW'!$A$3)</f>
        <v/>
      </c>
      <c r="C423">
        <f>IF(LEFT(TRIM('MSR RAW'!A423),11)="Department:",TRIM('MSR RAW'!A423),C422)</f>
        <v/>
      </c>
      <c r="D423">
        <f>IF(LEFT(TRIM('MSR RAW'!B423),9)="Location:",TRIM(MID('MSR RAW'!B423,10,999)),D422)</f>
        <v/>
      </c>
      <c r="E423">
        <f>IF(AND(ISNUMBER(SEARCH(" - ",TRIM('MSR RAW'!C423))),RIGHT(TRIM('MSR RAW'!C423),6)="Total:"),LEFT(TRIM('MSR RAW'!C423),SEARCH(" - ",TRIM('MSR RAW'!C423))-1),"")</f>
        <v/>
      </c>
      <c r="F423">
        <f>IF(E423="","",TRIM(MID(TRIM('MSR RAW'!C423),SEARCH(" - ",TRIM('MSR RAW'!C423))+3,LEN(TRIM('MSR RAW'!C423))-SEARCH(" - ",TRIM('MSR RAW'!C423))-9)))</f>
        <v/>
      </c>
      <c r="G423">
        <f>IF(E423="","",IFERROR(VLOOKUP(E423,'CATEGORY MAP'!$A$2:$B$20,2,FALSE()),"REVIEW"))</f>
        <v/>
      </c>
      <c r="H423">
        <f>IF(E423="","",IFERROR(VALUE(SUBSTITUTE('MSR RAW'!P423,",","")),0))</f>
        <v/>
      </c>
      <c r="I423">
        <f>IF(E423="","",IFERROR(VALUE(SUBSTITUTE('MSR RAW'!S423,",","")),0))</f>
        <v/>
      </c>
    </row>
    <row r="424" ht="68.65000000000001" customHeight="1" s="126">
      <c r="A424" t="n">
        <v>424</v>
      </c>
      <c r="B424" s="30">
        <f>IF('MSR RAW'!$A$3="","",'MSR RAW'!$A$3)</f>
        <v/>
      </c>
      <c r="C424">
        <f>IF(LEFT(TRIM('MSR RAW'!A424),11)="Department:",TRIM('MSR RAW'!A424),C423)</f>
        <v/>
      </c>
      <c r="D424">
        <f>IF(LEFT(TRIM('MSR RAW'!B424),9)="Location:",TRIM(MID('MSR RAW'!B424,10,999)),D423)</f>
        <v/>
      </c>
      <c r="E424">
        <f>IF(AND(ISNUMBER(SEARCH(" - ",TRIM('MSR RAW'!C424))),RIGHT(TRIM('MSR RAW'!C424),6)="Total:"),LEFT(TRIM('MSR RAW'!C424),SEARCH(" - ",TRIM('MSR RAW'!C424))-1),"")</f>
        <v/>
      </c>
      <c r="F424">
        <f>IF(E424="","",TRIM(MID(TRIM('MSR RAW'!C424),SEARCH(" - ",TRIM('MSR RAW'!C424))+3,LEN(TRIM('MSR RAW'!C424))-SEARCH(" - ",TRIM('MSR RAW'!C424))-9)))</f>
        <v/>
      </c>
      <c r="G424">
        <f>IF(E424="","",IFERROR(VLOOKUP(E424,'CATEGORY MAP'!$A$2:$B$20,2,FALSE()),"REVIEW"))</f>
        <v/>
      </c>
      <c r="H424">
        <f>IF(E424="","",IFERROR(VALUE(SUBSTITUTE('MSR RAW'!P424,",","")),0))</f>
        <v/>
      </c>
      <c r="I424">
        <f>IF(E424="","",IFERROR(VALUE(SUBSTITUTE('MSR RAW'!S424,",","")),0))</f>
        <v/>
      </c>
    </row>
    <row r="425" ht="68.65000000000001" customHeight="1" s="126">
      <c r="A425" t="n">
        <v>425</v>
      </c>
      <c r="B425" s="30">
        <f>IF('MSR RAW'!$A$3="","",'MSR RAW'!$A$3)</f>
        <v/>
      </c>
      <c r="C425">
        <f>IF(LEFT(TRIM('MSR RAW'!A425),11)="Department:",TRIM('MSR RAW'!A425),C424)</f>
        <v/>
      </c>
      <c r="D425">
        <f>IF(LEFT(TRIM('MSR RAW'!B425),9)="Location:",TRIM(MID('MSR RAW'!B425,10,999)),D424)</f>
        <v/>
      </c>
      <c r="E425">
        <f>IF(AND(ISNUMBER(SEARCH(" - ",TRIM('MSR RAW'!C425))),RIGHT(TRIM('MSR RAW'!C425),6)="Total:"),LEFT(TRIM('MSR RAW'!C425),SEARCH(" - ",TRIM('MSR RAW'!C425))-1),"")</f>
        <v/>
      </c>
      <c r="F425">
        <f>IF(E425="","",TRIM(MID(TRIM('MSR RAW'!C425),SEARCH(" - ",TRIM('MSR RAW'!C425))+3,LEN(TRIM('MSR RAW'!C425))-SEARCH(" - ",TRIM('MSR RAW'!C425))-9)))</f>
        <v/>
      </c>
      <c r="G425">
        <f>IF(E425="","",IFERROR(VLOOKUP(E425,'CATEGORY MAP'!$A$2:$B$20,2,FALSE()),"REVIEW"))</f>
        <v/>
      </c>
      <c r="H425">
        <f>IF(E425="","",IFERROR(VALUE(SUBSTITUTE('MSR RAW'!P425,",","")),0))</f>
        <v/>
      </c>
      <c r="I425">
        <f>IF(E425="","",IFERROR(VALUE(SUBSTITUTE('MSR RAW'!S425,",","")),0))</f>
        <v/>
      </c>
    </row>
    <row r="426" ht="68.65000000000001" customHeight="1" s="126">
      <c r="A426" t="n">
        <v>426</v>
      </c>
      <c r="B426" s="30">
        <f>IF('MSR RAW'!$A$3="","",'MSR RAW'!$A$3)</f>
        <v/>
      </c>
      <c r="C426">
        <f>IF(LEFT(TRIM('MSR RAW'!A426),11)="Department:",TRIM('MSR RAW'!A426),C425)</f>
        <v/>
      </c>
      <c r="D426">
        <f>IF(LEFT(TRIM('MSR RAW'!B426),9)="Location:",TRIM(MID('MSR RAW'!B426,10,999)),D425)</f>
        <v/>
      </c>
      <c r="E426">
        <f>IF(AND(ISNUMBER(SEARCH(" - ",TRIM('MSR RAW'!C426))),RIGHT(TRIM('MSR RAW'!C426),6)="Total:"),LEFT(TRIM('MSR RAW'!C426),SEARCH(" - ",TRIM('MSR RAW'!C426))-1),"")</f>
        <v/>
      </c>
      <c r="F426">
        <f>IF(E426="","",TRIM(MID(TRIM('MSR RAW'!C426),SEARCH(" - ",TRIM('MSR RAW'!C426))+3,LEN(TRIM('MSR RAW'!C426))-SEARCH(" - ",TRIM('MSR RAW'!C426))-9)))</f>
        <v/>
      </c>
      <c r="G426">
        <f>IF(E426="","",IFERROR(VLOOKUP(E426,'CATEGORY MAP'!$A$2:$B$20,2,FALSE()),"REVIEW"))</f>
        <v/>
      </c>
      <c r="H426">
        <f>IF(E426="","",IFERROR(VALUE(SUBSTITUTE('MSR RAW'!P426,",","")),0))</f>
        <v/>
      </c>
      <c r="I426">
        <f>IF(E426="","",IFERROR(VALUE(SUBSTITUTE('MSR RAW'!S426,",","")),0))</f>
        <v/>
      </c>
    </row>
    <row r="427" ht="68.65000000000001" customHeight="1" s="126">
      <c r="A427" t="n">
        <v>427</v>
      </c>
      <c r="B427" s="30">
        <f>IF('MSR RAW'!$A$3="","",'MSR RAW'!$A$3)</f>
        <v/>
      </c>
      <c r="C427">
        <f>IF(LEFT(TRIM('MSR RAW'!A427),11)="Department:",TRIM('MSR RAW'!A427),C426)</f>
        <v/>
      </c>
      <c r="D427">
        <f>IF(LEFT(TRIM('MSR RAW'!B427),9)="Location:",TRIM(MID('MSR RAW'!B427,10,999)),D426)</f>
        <v/>
      </c>
      <c r="E427">
        <f>IF(AND(ISNUMBER(SEARCH(" - ",TRIM('MSR RAW'!C427))),RIGHT(TRIM('MSR RAW'!C427),6)="Total:"),LEFT(TRIM('MSR RAW'!C427),SEARCH(" - ",TRIM('MSR RAW'!C427))-1),"")</f>
        <v/>
      </c>
      <c r="F427">
        <f>IF(E427="","",TRIM(MID(TRIM('MSR RAW'!C427),SEARCH(" - ",TRIM('MSR RAW'!C427))+3,LEN(TRIM('MSR RAW'!C427))-SEARCH(" - ",TRIM('MSR RAW'!C427))-9)))</f>
        <v/>
      </c>
      <c r="G427">
        <f>IF(E427="","",IFERROR(VLOOKUP(E427,'CATEGORY MAP'!$A$2:$B$20,2,FALSE()),"REVIEW"))</f>
        <v/>
      </c>
      <c r="H427">
        <f>IF(E427="","",IFERROR(VALUE(SUBSTITUTE('MSR RAW'!P427,",","")),0))</f>
        <v/>
      </c>
      <c r="I427">
        <f>IF(E427="","",IFERROR(VALUE(SUBSTITUTE('MSR RAW'!S427,",","")),0))</f>
        <v/>
      </c>
    </row>
    <row r="428" ht="68.65000000000001" customHeight="1" s="126">
      <c r="A428" t="n">
        <v>428</v>
      </c>
      <c r="B428" s="30">
        <f>IF('MSR RAW'!$A$3="","",'MSR RAW'!$A$3)</f>
        <v/>
      </c>
      <c r="C428">
        <f>IF(LEFT(TRIM('MSR RAW'!A428),11)="Department:",TRIM('MSR RAW'!A428),C427)</f>
        <v/>
      </c>
      <c r="D428">
        <f>IF(LEFT(TRIM('MSR RAW'!B428),9)="Location:",TRIM(MID('MSR RAW'!B428,10,999)),D427)</f>
        <v/>
      </c>
      <c r="E428">
        <f>IF(AND(ISNUMBER(SEARCH(" - ",TRIM('MSR RAW'!C428))),RIGHT(TRIM('MSR RAW'!C428),6)="Total:"),LEFT(TRIM('MSR RAW'!C428),SEARCH(" - ",TRIM('MSR RAW'!C428))-1),"")</f>
        <v/>
      </c>
      <c r="F428">
        <f>IF(E428="","",TRIM(MID(TRIM('MSR RAW'!C428),SEARCH(" - ",TRIM('MSR RAW'!C428))+3,LEN(TRIM('MSR RAW'!C428))-SEARCH(" - ",TRIM('MSR RAW'!C428))-9)))</f>
        <v/>
      </c>
      <c r="G428">
        <f>IF(E428="","",IFERROR(VLOOKUP(E428,'CATEGORY MAP'!$A$2:$B$20,2,FALSE()),"REVIEW"))</f>
        <v/>
      </c>
      <c r="H428">
        <f>IF(E428="","",IFERROR(VALUE(SUBSTITUTE('MSR RAW'!P428,",","")),0))</f>
        <v/>
      </c>
      <c r="I428">
        <f>IF(E428="","",IFERROR(VALUE(SUBSTITUTE('MSR RAW'!S428,",","")),0))</f>
        <v/>
      </c>
    </row>
    <row r="429" ht="68.65000000000001" customHeight="1" s="126">
      <c r="A429" t="n">
        <v>429</v>
      </c>
      <c r="B429" s="30">
        <f>IF('MSR RAW'!$A$3="","",'MSR RAW'!$A$3)</f>
        <v/>
      </c>
      <c r="C429">
        <f>IF(LEFT(TRIM('MSR RAW'!A429),11)="Department:",TRIM('MSR RAW'!A429),C428)</f>
        <v/>
      </c>
      <c r="D429">
        <f>IF(LEFT(TRIM('MSR RAW'!B429),9)="Location:",TRIM(MID('MSR RAW'!B429,10,999)),D428)</f>
        <v/>
      </c>
      <c r="E429">
        <f>IF(AND(ISNUMBER(SEARCH(" - ",TRIM('MSR RAW'!C429))),RIGHT(TRIM('MSR RAW'!C429),6)="Total:"),LEFT(TRIM('MSR RAW'!C429),SEARCH(" - ",TRIM('MSR RAW'!C429))-1),"")</f>
        <v/>
      </c>
      <c r="F429">
        <f>IF(E429="","",TRIM(MID(TRIM('MSR RAW'!C429),SEARCH(" - ",TRIM('MSR RAW'!C429))+3,LEN(TRIM('MSR RAW'!C429))-SEARCH(" - ",TRIM('MSR RAW'!C429))-9)))</f>
        <v/>
      </c>
      <c r="G429">
        <f>IF(E429="","",IFERROR(VLOOKUP(E429,'CATEGORY MAP'!$A$2:$B$20,2,FALSE()),"REVIEW"))</f>
        <v/>
      </c>
      <c r="H429">
        <f>IF(E429="","",IFERROR(VALUE(SUBSTITUTE('MSR RAW'!P429,",","")),0))</f>
        <v/>
      </c>
      <c r="I429">
        <f>IF(E429="","",IFERROR(VALUE(SUBSTITUTE('MSR RAW'!S429,",","")),0))</f>
        <v/>
      </c>
    </row>
    <row r="430" ht="68.65000000000001" customHeight="1" s="126">
      <c r="A430" t="n">
        <v>430</v>
      </c>
      <c r="B430" s="30">
        <f>IF('MSR RAW'!$A$3="","",'MSR RAW'!$A$3)</f>
        <v/>
      </c>
      <c r="C430">
        <f>IF(LEFT(TRIM('MSR RAW'!A430),11)="Department:",TRIM('MSR RAW'!A430),C429)</f>
        <v/>
      </c>
      <c r="D430">
        <f>IF(LEFT(TRIM('MSR RAW'!B430),9)="Location:",TRIM(MID('MSR RAW'!B430,10,999)),D429)</f>
        <v/>
      </c>
      <c r="E430">
        <f>IF(AND(ISNUMBER(SEARCH(" - ",TRIM('MSR RAW'!C430))),RIGHT(TRIM('MSR RAW'!C430),6)="Total:"),LEFT(TRIM('MSR RAW'!C430),SEARCH(" - ",TRIM('MSR RAW'!C430))-1),"")</f>
        <v/>
      </c>
      <c r="F430">
        <f>IF(E430="","",TRIM(MID(TRIM('MSR RAW'!C430),SEARCH(" - ",TRIM('MSR RAW'!C430))+3,LEN(TRIM('MSR RAW'!C430))-SEARCH(" - ",TRIM('MSR RAW'!C430))-9)))</f>
        <v/>
      </c>
      <c r="G430">
        <f>IF(E430="","",IFERROR(VLOOKUP(E430,'CATEGORY MAP'!$A$2:$B$20,2,FALSE()),"REVIEW"))</f>
        <v/>
      </c>
      <c r="H430">
        <f>IF(E430="","",IFERROR(VALUE(SUBSTITUTE('MSR RAW'!P430,",","")),0))</f>
        <v/>
      </c>
      <c r="I430">
        <f>IF(E430="","",IFERROR(VALUE(SUBSTITUTE('MSR RAW'!S430,",","")),0))</f>
        <v/>
      </c>
    </row>
    <row r="431" ht="68.65000000000001" customHeight="1" s="126">
      <c r="A431" t="n">
        <v>431</v>
      </c>
      <c r="B431" s="30">
        <f>IF('MSR RAW'!$A$3="","",'MSR RAW'!$A$3)</f>
        <v/>
      </c>
      <c r="C431">
        <f>IF(LEFT(TRIM('MSR RAW'!A431),11)="Department:",TRIM('MSR RAW'!A431),C430)</f>
        <v/>
      </c>
      <c r="D431">
        <f>IF(LEFT(TRIM('MSR RAW'!B431),9)="Location:",TRIM(MID('MSR RAW'!B431,10,999)),D430)</f>
        <v/>
      </c>
      <c r="E431">
        <f>IF(AND(ISNUMBER(SEARCH(" - ",TRIM('MSR RAW'!C431))),RIGHT(TRIM('MSR RAW'!C431),6)="Total:"),LEFT(TRIM('MSR RAW'!C431),SEARCH(" - ",TRIM('MSR RAW'!C431))-1),"")</f>
        <v/>
      </c>
      <c r="F431">
        <f>IF(E431="","",TRIM(MID(TRIM('MSR RAW'!C431),SEARCH(" - ",TRIM('MSR RAW'!C431))+3,LEN(TRIM('MSR RAW'!C431))-SEARCH(" - ",TRIM('MSR RAW'!C431))-9)))</f>
        <v/>
      </c>
      <c r="G431">
        <f>IF(E431="","",IFERROR(VLOOKUP(E431,'CATEGORY MAP'!$A$2:$B$20,2,FALSE()),"REVIEW"))</f>
        <v/>
      </c>
      <c r="H431">
        <f>IF(E431="","",IFERROR(VALUE(SUBSTITUTE('MSR RAW'!P431,",","")),0))</f>
        <v/>
      </c>
      <c r="I431">
        <f>IF(E431="","",IFERROR(VALUE(SUBSTITUTE('MSR RAW'!S431,",","")),0))</f>
        <v/>
      </c>
    </row>
    <row r="432" ht="68.65000000000001" customHeight="1" s="126">
      <c r="A432" t="n">
        <v>432</v>
      </c>
      <c r="B432" s="30">
        <f>IF('MSR RAW'!$A$3="","",'MSR RAW'!$A$3)</f>
        <v/>
      </c>
      <c r="C432">
        <f>IF(LEFT(TRIM('MSR RAW'!A432),11)="Department:",TRIM('MSR RAW'!A432),C431)</f>
        <v/>
      </c>
      <c r="D432">
        <f>IF(LEFT(TRIM('MSR RAW'!B432),9)="Location:",TRIM(MID('MSR RAW'!B432,10,999)),D431)</f>
        <v/>
      </c>
      <c r="E432">
        <f>IF(AND(ISNUMBER(SEARCH(" - ",TRIM('MSR RAW'!C432))),RIGHT(TRIM('MSR RAW'!C432),6)="Total:"),LEFT(TRIM('MSR RAW'!C432),SEARCH(" - ",TRIM('MSR RAW'!C432))-1),"")</f>
        <v/>
      </c>
      <c r="F432">
        <f>IF(E432="","",TRIM(MID(TRIM('MSR RAW'!C432),SEARCH(" - ",TRIM('MSR RAW'!C432))+3,LEN(TRIM('MSR RAW'!C432))-SEARCH(" - ",TRIM('MSR RAW'!C432))-9)))</f>
        <v/>
      </c>
      <c r="G432">
        <f>IF(E432="","",IFERROR(VLOOKUP(E432,'CATEGORY MAP'!$A$2:$B$20,2,FALSE()),"REVIEW"))</f>
        <v/>
      </c>
      <c r="H432">
        <f>IF(E432="","",IFERROR(VALUE(SUBSTITUTE('MSR RAW'!P432,",","")),0))</f>
        <v/>
      </c>
      <c r="I432">
        <f>IF(E432="","",IFERROR(VALUE(SUBSTITUTE('MSR RAW'!S432,",","")),0))</f>
        <v/>
      </c>
    </row>
    <row r="433" ht="68.65000000000001" customHeight="1" s="126">
      <c r="A433" t="n">
        <v>433</v>
      </c>
      <c r="B433" s="30">
        <f>IF('MSR RAW'!$A$3="","",'MSR RAW'!$A$3)</f>
        <v/>
      </c>
      <c r="C433">
        <f>IF(LEFT(TRIM('MSR RAW'!A433),11)="Department:",TRIM('MSR RAW'!A433),C432)</f>
        <v/>
      </c>
      <c r="D433">
        <f>IF(LEFT(TRIM('MSR RAW'!B433),9)="Location:",TRIM(MID('MSR RAW'!B433,10,999)),D432)</f>
        <v/>
      </c>
      <c r="E433">
        <f>IF(AND(ISNUMBER(SEARCH(" - ",TRIM('MSR RAW'!C433))),RIGHT(TRIM('MSR RAW'!C433),6)="Total:"),LEFT(TRIM('MSR RAW'!C433),SEARCH(" - ",TRIM('MSR RAW'!C433))-1),"")</f>
        <v/>
      </c>
      <c r="F433">
        <f>IF(E433="","",TRIM(MID(TRIM('MSR RAW'!C433),SEARCH(" - ",TRIM('MSR RAW'!C433))+3,LEN(TRIM('MSR RAW'!C433))-SEARCH(" - ",TRIM('MSR RAW'!C433))-9)))</f>
        <v/>
      </c>
      <c r="G433">
        <f>IF(E433="","",IFERROR(VLOOKUP(E433,'CATEGORY MAP'!$A$2:$B$20,2,FALSE()),"REVIEW"))</f>
        <v/>
      </c>
      <c r="H433">
        <f>IF(E433="","",IFERROR(VALUE(SUBSTITUTE('MSR RAW'!P433,",","")),0))</f>
        <v/>
      </c>
      <c r="I433">
        <f>IF(E433="","",IFERROR(VALUE(SUBSTITUTE('MSR RAW'!S433,",","")),0))</f>
        <v/>
      </c>
    </row>
    <row r="434" ht="68.65000000000001" customHeight="1" s="126">
      <c r="A434" t="n">
        <v>434</v>
      </c>
      <c r="B434" s="30">
        <f>IF('MSR RAW'!$A$3="","",'MSR RAW'!$A$3)</f>
        <v/>
      </c>
      <c r="C434">
        <f>IF(LEFT(TRIM('MSR RAW'!A434),11)="Department:",TRIM('MSR RAW'!A434),C433)</f>
        <v/>
      </c>
      <c r="D434">
        <f>IF(LEFT(TRIM('MSR RAW'!B434),9)="Location:",TRIM(MID('MSR RAW'!B434,10,999)),D433)</f>
        <v/>
      </c>
      <c r="E434">
        <f>IF(AND(ISNUMBER(SEARCH(" - ",TRIM('MSR RAW'!C434))),RIGHT(TRIM('MSR RAW'!C434),6)="Total:"),LEFT(TRIM('MSR RAW'!C434),SEARCH(" - ",TRIM('MSR RAW'!C434))-1),"")</f>
        <v/>
      </c>
      <c r="F434">
        <f>IF(E434="","",TRIM(MID(TRIM('MSR RAW'!C434),SEARCH(" - ",TRIM('MSR RAW'!C434))+3,LEN(TRIM('MSR RAW'!C434))-SEARCH(" - ",TRIM('MSR RAW'!C434))-9)))</f>
        <v/>
      </c>
      <c r="G434">
        <f>IF(E434="","",IFERROR(VLOOKUP(E434,'CATEGORY MAP'!$A$2:$B$20,2,FALSE()),"REVIEW"))</f>
        <v/>
      </c>
      <c r="H434">
        <f>IF(E434="","",IFERROR(VALUE(SUBSTITUTE('MSR RAW'!P434,",","")),0))</f>
        <v/>
      </c>
      <c r="I434">
        <f>IF(E434="","",IFERROR(VALUE(SUBSTITUTE('MSR RAW'!S434,",","")),0))</f>
        <v/>
      </c>
    </row>
    <row r="435" ht="68.65000000000001" customHeight="1" s="126">
      <c r="A435" t="n">
        <v>435</v>
      </c>
      <c r="B435" s="30">
        <f>IF('MSR RAW'!$A$3="","",'MSR RAW'!$A$3)</f>
        <v/>
      </c>
      <c r="C435">
        <f>IF(LEFT(TRIM('MSR RAW'!A435),11)="Department:",TRIM('MSR RAW'!A435),C434)</f>
        <v/>
      </c>
      <c r="D435">
        <f>IF(LEFT(TRIM('MSR RAW'!B435),9)="Location:",TRIM(MID('MSR RAW'!B435,10,999)),D434)</f>
        <v/>
      </c>
      <c r="E435">
        <f>IF(AND(ISNUMBER(SEARCH(" - ",TRIM('MSR RAW'!C435))),RIGHT(TRIM('MSR RAW'!C435),6)="Total:"),LEFT(TRIM('MSR RAW'!C435),SEARCH(" - ",TRIM('MSR RAW'!C435))-1),"")</f>
        <v/>
      </c>
      <c r="F435">
        <f>IF(E435="","",TRIM(MID(TRIM('MSR RAW'!C435),SEARCH(" - ",TRIM('MSR RAW'!C435))+3,LEN(TRIM('MSR RAW'!C435))-SEARCH(" - ",TRIM('MSR RAW'!C435))-9)))</f>
        <v/>
      </c>
      <c r="G435">
        <f>IF(E435="","",IFERROR(VLOOKUP(E435,'CATEGORY MAP'!$A$2:$B$20,2,FALSE()),"REVIEW"))</f>
        <v/>
      </c>
      <c r="H435">
        <f>IF(E435="","",IFERROR(VALUE(SUBSTITUTE('MSR RAW'!P435,",","")),0))</f>
        <v/>
      </c>
      <c r="I435">
        <f>IF(E435="","",IFERROR(VALUE(SUBSTITUTE('MSR RAW'!S435,",","")),0))</f>
        <v/>
      </c>
    </row>
    <row r="436" ht="68.65000000000001" customHeight="1" s="126">
      <c r="A436" t="n">
        <v>436</v>
      </c>
      <c r="B436" s="30">
        <f>IF('MSR RAW'!$A$3="","",'MSR RAW'!$A$3)</f>
        <v/>
      </c>
      <c r="C436">
        <f>IF(LEFT(TRIM('MSR RAW'!A436),11)="Department:",TRIM('MSR RAW'!A436),C435)</f>
        <v/>
      </c>
      <c r="D436">
        <f>IF(LEFT(TRIM('MSR RAW'!B436),9)="Location:",TRIM(MID('MSR RAW'!B436,10,999)),D435)</f>
        <v/>
      </c>
      <c r="E436">
        <f>IF(AND(ISNUMBER(SEARCH(" - ",TRIM('MSR RAW'!C436))),RIGHT(TRIM('MSR RAW'!C436),6)="Total:"),LEFT(TRIM('MSR RAW'!C436),SEARCH(" - ",TRIM('MSR RAW'!C436))-1),"")</f>
        <v/>
      </c>
      <c r="F436">
        <f>IF(E436="","",TRIM(MID(TRIM('MSR RAW'!C436),SEARCH(" - ",TRIM('MSR RAW'!C436))+3,LEN(TRIM('MSR RAW'!C436))-SEARCH(" - ",TRIM('MSR RAW'!C436))-9)))</f>
        <v/>
      </c>
      <c r="G436">
        <f>IF(E436="","",IFERROR(VLOOKUP(E436,'CATEGORY MAP'!$A$2:$B$20,2,FALSE()),"REVIEW"))</f>
        <v/>
      </c>
      <c r="H436">
        <f>IF(E436="","",IFERROR(VALUE(SUBSTITUTE('MSR RAW'!P436,",","")),0))</f>
        <v/>
      </c>
      <c r="I436">
        <f>IF(E436="","",IFERROR(VALUE(SUBSTITUTE('MSR RAW'!S436,",","")),0))</f>
        <v/>
      </c>
    </row>
    <row r="437" ht="68.65000000000001" customHeight="1" s="126">
      <c r="A437" t="n">
        <v>437</v>
      </c>
      <c r="B437" s="30">
        <f>IF('MSR RAW'!$A$3="","",'MSR RAW'!$A$3)</f>
        <v/>
      </c>
      <c r="C437">
        <f>IF(LEFT(TRIM('MSR RAW'!A437),11)="Department:",TRIM('MSR RAW'!A437),C436)</f>
        <v/>
      </c>
      <c r="D437">
        <f>IF(LEFT(TRIM('MSR RAW'!B437),9)="Location:",TRIM(MID('MSR RAW'!B437,10,999)),D436)</f>
        <v/>
      </c>
      <c r="E437">
        <f>IF(AND(ISNUMBER(SEARCH(" - ",TRIM('MSR RAW'!C437))),RIGHT(TRIM('MSR RAW'!C437),6)="Total:"),LEFT(TRIM('MSR RAW'!C437),SEARCH(" - ",TRIM('MSR RAW'!C437))-1),"")</f>
        <v/>
      </c>
      <c r="F437">
        <f>IF(E437="","",TRIM(MID(TRIM('MSR RAW'!C437),SEARCH(" - ",TRIM('MSR RAW'!C437))+3,LEN(TRIM('MSR RAW'!C437))-SEARCH(" - ",TRIM('MSR RAW'!C437))-9)))</f>
        <v/>
      </c>
      <c r="G437">
        <f>IF(E437="","",IFERROR(VLOOKUP(E437,'CATEGORY MAP'!$A$2:$B$20,2,FALSE()),"REVIEW"))</f>
        <v/>
      </c>
      <c r="H437">
        <f>IF(E437="","",IFERROR(VALUE(SUBSTITUTE('MSR RAW'!P437,",","")),0))</f>
        <v/>
      </c>
      <c r="I437">
        <f>IF(E437="","",IFERROR(VALUE(SUBSTITUTE('MSR RAW'!S437,",","")),0))</f>
        <v/>
      </c>
    </row>
    <row r="438" ht="68.65000000000001" customHeight="1" s="126">
      <c r="A438" t="n">
        <v>438</v>
      </c>
      <c r="B438" s="30">
        <f>IF('MSR RAW'!$A$3="","",'MSR RAW'!$A$3)</f>
        <v/>
      </c>
      <c r="C438">
        <f>IF(LEFT(TRIM('MSR RAW'!A438),11)="Department:",TRIM('MSR RAW'!A438),C437)</f>
        <v/>
      </c>
      <c r="D438">
        <f>IF(LEFT(TRIM('MSR RAW'!B438),9)="Location:",TRIM(MID('MSR RAW'!B438,10,999)),D437)</f>
        <v/>
      </c>
      <c r="E438">
        <f>IF(AND(ISNUMBER(SEARCH(" - ",TRIM('MSR RAW'!C438))),RIGHT(TRIM('MSR RAW'!C438),6)="Total:"),LEFT(TRIM('MSR RAW'!C438),SEARCH(" - ",TRIM('MSR RAW'!C438))-1),"")</f>
        <v/>
      </c>
      <c r="F438">
        <f>IF(E438="","",TRIM(MID(TRIM('MSR RAW'!C438),SEARCH(" - ",TRIM('MSR RAW'!C438))+3,LEN(TRIM('MSR RAW'!C438))-SEARCH(" - ",TRIM('MSR RAW'!C438))-9)))</f>
        <v/>
      </c>
      <c r="G438">
        <f>IF(E438="","",IFERROR(VLOOKUP(E438,'CATEGORY MAP'!$A$2:$B$20,2,FALSE()),"REVIEW"))</f>
        <v/>
      </c>
      <c r="H438">
        <f>IF(E438="","",IFERROR(VALUE(SUBSTITUTE('MSR RAW'!P438,",","")),0))</f>
        <v/>
      </c>
      <c r="I438">
        <f>IF(E438="","",IFERROR(VALUE(SUBSTITUTE('MSR RAW'!S438,",","")),0))</f>
        <v/>
      </c>
    </row>
    <row r="439" ht="68.65000000000001" customHeight="1" s="126">
      <c r="A439" t="n">
        <v>439</v>
      </c>
      <c r="B439" s="30">
        <f>IF('MSR RAW'!$A$3="","",'MSR RAW'!$A$3)</f>
        <v/>
      </c>
      <c r="C439">
        <f>IF(LEFT(TRIM('MSR RAW'!A439),11)="Department:",TRIM('MSR RAW'!A439),C438)</f>
        <v/>
      </c>
      <c r="D439">
        <f>IF(LEFT(TRIM('MSR RAW'!B439),9)="Location:",TRIM(MID('MSR RAW'!B439,10,999)),D438)</f>
        <v/>
      </c>
      <c r="E439">
        <f>IF(AND(ISNUMBER(SEARCH(" - ",TRIM('MSR RAW'!C439))),RIGHT(TRIM('MSR RAW'!C439),6)="Total:"),LEFT(TRIM('MSR RAW'!C439),SEARCH(" - ",TRIM('MSR RAW'!C439))-1),"")</f>
        <v/>
      </c>
      <c r="F439">
        <f>IF(E439="","",TRIM(MID(TRIM('MSR RAW'!C439),SEARCH(" - ",TRIM('MSR RAW'!C439))+3,LEN(TRIM('MSR RAW'!C439))-SEARCH(" - ",TRIM('MSR RAW'!C439))-9)))</f>
        <v/>
      </c>
      <c r="G439">
        <f>IF(E439="","",IFERROR(VLOOKUP(E439,'CATEGORY MAP'!$A$2:$B$20,2,FALSE()),"REVIEW"))</f>
        <v/>
      </c>
      <c r="H439">
        <f>IF(E439="","",IFERROR(VALUE(SUBSTITUTE('MSR RAW'!P439,",","")),0))</f>
        <v/>
      </c>
      <c r="I439">
        <f>IF(E439="","",IFERROR(VALUE(SUBSTITUTE('MSR RAW'!S439,",","")),0))</f>
        <v/>
      </c>
    </row>
    <row r="440" ht="68.65000000000001" customHeight="1" s="126">
      <c r="A440" t="n">
        <v>440</v>
      </c>
      <c r="B440" s="30">
        <f>IF('MSR RAW'!$A$3="","",'MSR RAW'!$A$3)</f>
        <v/>
      </c>
      <c r="C440">
        <f>IF(LEFT(TRIM('MSR RAW'!A440),11)="Department:",TRIM('MSR RAW'!A440),C439)</f>
        <v/>
      </c>
      <c r="D440">
        <f>IF(LEFT(TRIM('MSR RAW'!B440),9)="Location:",TRIM(MID('MSR RAW'!B440,10,999)),D439)</f>
        <v/>
      </c>
      <c r="E440">
        <f>IF(AND(ISNUMBER(SEARCH(" - ",TRIM('MSR RAW'!C440))),RIGHT(TRIM('MSR RAW'!C440),6)="Total:"),LEFT(TRIM('MSR RAW'!C440),SEARCH(" - ",TRIM('MSR RAW'!C440))-1),"")</f>
        <v/>
      </c>
      <c r="F440">
        <f>IF(E440="","",TRIM(MID(TRIM('MSR RAW'!C440),SEARCH(" - ",TRIM('MSR RAW'!C440))+3,LEN(TRIM('MSR RAW'!C440))-SEARCH(" - ",TRIM('MSR RAW'!C440))-9)))</f>
        <v/>
      </c>
      <c r="G440">
        <f>IF(E440="","",IFERROR(VLOOKUP(E440,'CATEGORY MAP'!$A$2:$B$20,2,FALSE()),"REVIEW"))</f>
        <v/>
      </c>
      <c r="H440">
        <f>IF(E440="","",IFERROR(VALUE(SUBSTITUTE('MSR RAW'!P440,",","")),0))</f>
        <v/>
      </c>
      <c r="I440">
        <f>IF(E440="","",IFERROR(VALUE(SUBSTITUTE('MSR RAW'!S440,",","")),0))</f>
        <v/>
      </c>
    </row>
    <row r="441" ht="68.65000000000001" customHeight="1" s="126">
      <c r="A441" t="n">
        <v>441</v>
      </c>
      <c r="B441" s="30">
        <f>IF('MSR RAW'!$A$3="","",'MSR RAW'!$A$3)</f>
        <v/>
      </c>
      <c r="C441">
        <f>IF(LEFT(TRIM('MSR RAW'!A441),11)="Department:",TRIM('MSR RAW'!A441),C440)</f>
        <v/>
      </c>
      <c r="D441">
        <f>IF(LEFT(TRIM('MSR RAW'!B441),9)="Location:",TRIM(MID('MSR RAW'!B441,10,999)),D440)</f>
        <v/>
      </c>
      <c r="E441">
        <f>IF(AND(ISNUMBER(SEARCH(" - ",TRIM('MSR RAW'!C441))),RIGHT(TRIM('MSR RAW'!C441),6)="Total:"),LEFT(TRIM('MSR RAW'!C441),SEARCH(" - ",TRIM('MSR RAW'!C441))-1),"")</f>
        <v/>
      </c>
      <c r="F441">
        <f>IF(E441="","",TRIM(MID(TRIM('MSR RAW'!C441),SEARCH(" - ",TRIM('MSR RAW'!C441))+3,LEN(TRIM('MSR RAW'!C441))-SEARCH(" - ",TRIM('MSR RAW'!C441))-9)))</f>
        <v/>
      </c>
      <c r="G441">
        <f>IF(E441="","",IFERROR(VLOOKUP(E441,'CATEGORY MAP'!$A$2:$B$20,2,FALSE()),"REVIEW"))</f>
        <v/>
      </c>
      <c r="H441">
        <f>IF(E441="","",IFERROR(VALUE(SUBSTITUTE('MSR RAW'!P441,",","")),0))</f>
        <v/>
      </c>
      <c r="I441">
        <f>IF(E441="","",IFERROR(VALUE(SUBSTITUTE('MSR RAW'!S441,",","")),0))</f>
        <v/>
      </c>
    </row>
    <row r="442" ht="68.65000000000001" customHeight="1" s="126">
      <c r="A442" t="n">
        <v>442</v>
      </c>
      <c r="B442" s="30">
        <f>IF('MSR RAW'!$A$3="","",'MSR RAW'!$A$3)</f>
        <v/>
      </c>
      <c r="C442">
        <f>IF(LEFT(TRIM('MSR RAW'!A442),11)="Department:",TRIM('MSR RAW'!A442),C441)</f>
        <v/>
      </c>
      <c r="D442">
        <f>IF(LEFT(TRIM('MSR RAW'!B442),9)="Location:",TRIM(MID('MSR RAW'!B442,10,999)),D441)</f>
        <v/>
      </c>
      <c r="E442">
        <f>IF(AND(ISNUMBER(SEARCH(" - ",TRIM('MSR RAW'!C442))),RIGHT(TRIM('MSR RAW'!C442),6)="Total:"),LEFT(TRIM('MSR RAW'!C442),SEARCH(" - ",TRIM('MSR RAW'!C442))-1),"")</f>
        <v/>
      </c>
      <c r="F442">
        <f>IF(E442="","",TRIM(MID(TRIM('MSR RAW'!C442),SEARCH(" - ",TRIM('MSR RAW'!C442))+3,LEN(TRIM('MSR RAW'!C442))-SEARCH(" - ",TRIM('MSR RAW'!C442))-9)))</f>
        <v/>
      </c>
      <c r="G442">
        <f>IF(E442="","",IFERROR(VLOOKUP(E442,'CATEGORY MAP'!$A$2:$B$20,2,FALSE()),"REVIEW"))</f>
        <v/>
      </c>
      <c r="H442">
        <f>IF(E442="","",IFERROR(VALUE(SUBSTITUTE('MSR RAW'!P442,",","")),0))</f>
        <v/>
      </c>
      <c r="I442">
        <f>IF(E442="","",IFERROR(VALUE(SUBSTITUTE('MSR RAW'!S442,",","")),0))</f>
        <v/>
      </c>
    </row>
    <row r="443" ht="68.65000000000001" customHeight="1" s="126">
      <c r="A443" t="n">
        <v>443</v>
      </c>
      <c r="B443" s="30">
        <f>IF('MSR RAW'!$A$3="","",'MSR RAW'!$A$3)</f>
        <v/>
      </c>
      <c r="C443">
        <f>IF(LEFT(TRIM('MSR RAW'!A443),11)="Department:",TRIM('MSR RAW'!A443),C442)</f>
        <v/>
      </c>
      <c r="D443">
        <f>IF(LEFT(TRIM('MSR RAW'!B443),9)="Location:",TRIM(MID('MSR RAW'!B443,10,999)),D442)</f>
        <v/>
      </c>
      <c r="E443">
        <f>IF(AND(ISNUMBER(SEARCH(" - ",TRIM('MSR RAW'!C443))),RIGHT(TRIM('MSR RAW'!C443),6)="Total:"),LEFT(TRIM('MSR RAW'!C443),SEARCH(" - ",TRIM('MSR RAW'!C443))-1),"")</f>
        <v/>
      </c>
      <c r="F443">
        <f>IF(E443="","",TRIM(MID(TRIM('MSR RAW'!C443),SEARCH(" - ",TRIM('MSR RAW'!C443))+3,LEN(TRIM('MSR RAW'!C443))-SEARCH(" - ",TRIM('MSR RAW'!C443))-9)))</f>
        <v/>
      </c>
      <c r="G443">
        <f>IF(E443="","",IFERROR(VLOOKUP(E443,'CATEGORY MAP'!$A$2:$B$20,2,FALSE()),"REVIEW"))</f>
        <v/>
      </c>
      <c r="H443">
        <f>IF(E443="","",IFERROR(VALUE(SUBSTITUTE('MSR RAW'!P443,",","")),0))</f>
        <v/>
      </c>
      <c r="I443">
        <f>IF(E443="","",IFERROR(VALUE(SUBSTITUTE('MSR RAW'!S443,",","")),0))</f>
        <v/>
      </c>
    </row>
    <row r="444" ht="68.65000000000001" customHeight="1" s="126">
      <c r="A444" t="n">
        <v>444</v>
      </c>
      <c r="B444" s="30">
        <f>IF('MSR RAW'!$A$3="","",'MSR RAW'!$A$3)</f>
        <v/>
      </c>
      <c r="C444">
        <f>IF(LEFT(TRIM('MSR RAW'!A444),11)="Department:",TRIM('MSR RAW'!A444),C443)</f>
        <v/>
      </c>
      <c r="D444">
        <f>IF(LEFT(TRIM('MSR RAW'!B444),9)="Location:",TRIM(MID('MSR RAW'!B444,10,999)),D443)</f>
        <v/>
      </c>
      <c r="E444">
        <f>IF(AND(ISNUMBER(SEARCH(" - ",TRIM('MSR RAW'!C444))),RIGHT(TRIM('MSR RAW'!C444),6)="Total:"),LEFT(TRIM('MSR RAW'!C444),SEARCH(" - ",TRIM('MSR RAW'!C444))-1),"")</f>
        <v/>
      </c>
      <c r="F444">
        <f>IF(E444="","",TRIM(MID(TRIM('MSR RAW'!C444),SEARCH(" - ",TRIM('MSR RAW'!C444))+3,LEN(TRIM('MSR RAW'!C444))-SEARCH(" - ",TRIM('MSR RAW'!C444))-9)))</f>
        <v/>
      </c>
      <c r="G444">
        <f>IF(E444="","",IFERROR(VLOOKUP(E444,'CATEGORY MAP'!$A$2:$B$20,2,FALSE()),"REVIEW"))</f>
        <v/>
      </c>
      <c r="H444">
        <f>IF(E444="","",IFERROR(VALUE(SUBSTITUTE('MSR RAW'!P444,",","")),0))</f>
        <v/>
      </c>
      <c r="I444">
        <f>IF(E444="","",IFERROR(VALUE(SUBSTITUTE('MSR RAW'!S444,",","")),0))</f>
        <v/>
      </c>
    </row>
    <row r="445" ht="68.65000000000001" customHeight="1" s="126">
      <c r="A445" t="n">
        <v>445</v>
      </c>
      <c r="B445" s="30">
        <f>IF('MSR RAW'!$A$3="","",'MSR RAW'!$A$3)</f>
        <v/>
      </c>
      <c r="C445">
        <f>IF(LEFT(TRIM('MSR RAW'!A445),11)="Department:",TRIM('MSR RAW'!A445),C444)</f>
        <v/>
      </c>
      <c r="D445">
        <f>IF(LEFT(TRIM('MSR RAW'!B445),9)="Location:",TRIM(MID('MSR RAW'!B445,10,999)),D444)</f>
        <v/>
      </c>
      <c r="E445">
        <f>IF(AND(ISNUMBER(SEARCH(" - ",TRIM('MSR RAW'!C445))),RIGHT(TRIM('MSR RAW'!C445),6)="Total:"),LEFT(TRIM('MSR RAW'!C445),SEARCH(" - ",TRIM('MSR RAW'!C445))-1),"")</f>
        <v/>
      </c>
      <c r="F445">
        <f>IF(E445="","",TRIM(MID(TRIM('MSR RAW'!C445),SEARCH(" - ",TRIM('MSR RAW'!C445))+3,LEN(TRIM('MSR RAW'!C445))-SEARCH(" - ",TRIM('MSR RAW'!C445))-9)))</f>
        <v/>
      </c>
      <c r="G445">
        <f>IF(E445="","",IFERROR(VLOOKUP(E445,'CATEGORY MAP'!$A$2:$B$20,2,FALSE()),"REVIEW"))</f>
        <v/>
      </c>
      <c r="H445">
        <f>IF(E445="","",IFERROR(VALUE(SUBSTITUTE('MSR RAW'!P445,",","")),0))</f>
        <v/>
      </c>
      <c r="I445">
        <f>IF(E445="","",IFERROR(VALUE(SUBSTITUTE('MSR RAW'!S445,",","")),0))</f>
        <v/>
      </c>
    </row>
    <row r="446" ht="68.65000000000001" customHeight="1" s="126">
      <c r="A446" t="n">
        <v>446</v>
      </c>
      <c r="B446" s="30">
        <f>IF('MSR RAW'!$A$3="","",'MSR RAW'!$A$3)</f>
        <v/>
      </c>
      <c r="C446">
        <f>IF(LEFT(TRIM('MSR RAW'!A446),11)="Department:",TRIM('MSR RAW'!A446),C445)</f>
        <v/>
      </c>
      <c r="D446">
        <f>IF(LEFT(TRIM('MSR RAW'!B446),9)="Location:",TRIM(MID('MSR RAW'!B446,10,999)),D445)</f>
        <v/>
      </c>
      <c r="E446">
        <f>IF(AND(ISNUMBER(SEARCH(" - ",TRIM('MSR RAW'!C446))),RIGHT(TRIM('MSR RAW'!C446),6)="Total:"),LEFT(TRIM('MSR RAW'!C446),SEARCH(" - ",TRIM('MSR RAW'!C446))-1),"")</f>
        <v/>
      </c>
      <c r="F446">
        <f>IF(E446="","",TRIM(MID(TRIM('MSR RAW'!C446),SEARCH(" - ",TRIM('MSR RAW'!C446))+3,LEN(TRIM('MSR RAW'!C446))-SEARCH(" - ",TRIM('MSR RAW'!C446))-9)))</f>
        <v/>
      </c>
      <c r="G446">
        <f>IF(E446="","",IFERROR(VLOOKUP(E446,'CATEGORY MAP'!$A$2:$B$20,2,FALSE()),"REVIEW"))</f>
        <v/>
      </c>
      <c r="H446">
        <f>IF(E446="","",IFERROR(VALUE(SUBSTITUTE('MSR RAW'!P446,",","")),0))</f>
        <v/>
      </c>
      <c r="I446">
        <f>IF(E446="","",IFERROR(VALUE(SUBSTITUTE('MSR RAW'!S446,",","")),0))</f>
        <v/>
      </c>
    </row>
    <row r="447" ht="68.65000000000001" customHeight="1" s="126">
      <c r="A447" t="n">
        <v>447</v>
      </c>
      <c r="B447" s="30">
        <f>IF('MSR RAW'!$A$3="","",'MSR RAW'!$A$3)</f>
        <v/>
      </c>
      <c r="C447">
        <f>IF(LEFT(TRIM('MSR RAW'!A447),11)="Department:",TRIM('MSR RAW'!A447),C446)</f>
        <v/>
      </c>
      <c r="D447">
        <f>IF(LEFT(TRIM('MSR RAW'!B447),9)="Location:",TRIM(MID('MSR RAW'!B447,10,999)),D446)</f>
        <v/>
      </c>
      <c r="E447">
        <f>IF(AND(ISNUMBER(SEARCH(" - ",TRIM('MSR RAW'!C447))),RIGHT(TRIM('MSR RAW'!C447),6)="Total:"),LEFT(TRIM('MSR RAW'!C447),SEARCH(" - ",TRIM('MSR RAW'!C447))-1),"")</f>
        <v/>
      </c>
      <c r="F447">
        <f>IF(E447="","",TRIM(MID(TRIM('MSR RAW'!C447),SEARCH(" - ",TRIM('MSR RAW'!C447))+3,LEN(TRIM('MSR RAW'!C447))-SEARCH(" - ",TRIM('MSR RAW'!C447))-9)))</f>
        <v/>
      </c>
      <c r="G447">
        <f>IF(E447="","",IFERROR(VLOOKUP(E447,'CATEGORY MAP'!$A$2:$B$20,2,FALSE()),"REVIEW"))</f>
        <v/>
      </c>
      <c r="H447">
        <f>IF(E447="","",IFERROR(VALUE(SUBSTITUTE('MSR RAW'!P447,",","")),0))</f>
        <v/>
      </c>
      <c r="I447">
        <f>IF(E447="","",IFERROR(VALUE(SUBSTITUTE('MSR RAW'!S447,",","")),0))</f>
        <v/>
      </c>
    </row>
    <row r="448" ht="68.65000000000001" customHeight="1" s="126">
      <c r="A448" t="n">
        <v>448</v>
      </c>
      <c r="B448" s="30">
        <f>IF('MSR RAW'!$A$3="","",'MSR RAW'!$A$3)</f>
        <v/>
      </c>
      <c r="C448">
        <f>IF(LEFT(TRIM('MSR RAW'!A448),11)="Department:",TRIM('MSR RAW'!A448),C447)</f>
        <v/>
      </c>
      <c r="D448">
        <f>IF(LEFT(TRIM('MSR RAW'!B448),9)="Location:",TRIM(MID('MSR RAW'!B448,10,999)),D447)</f>
        <v/>
      </c>
      <c r="E448">
        <f>IF(AND(ISNUMBER(SEARCH(" - ",TRIM('MSR RAW'!C448))),RIGHT(TRIM('MSR RAW'!C448),6)="Total:"),LEFT(TRIM('MSR RAW'!C448),SEARCH(" - ",TRIM('MSR RAW'!C448))-1),"")</f>
        <v/>
      </c>
      <c r="F448">
        <f>IF(E448="","",TRIM(MID(TRIM('MSR RAW'!C448),SEARCH(" - ",TRIM('MSR RAW'!C448))+3,LEN(TRIM('MSR RAW'!C448))-SEARCH(" - ",TRIM('MSR RAW'!C448))-9)))</f>
        <v/>
      </c>
      <c r="G448">
        <f>IF(E448="","",IFERROR(VLOOKUP(E448,'CATEGORY MAP'!$A$2:$B$20,2,FALSE()),"REVIEW"))</f>
        <v/>
      </c>
      <c r="H448">
        <f>IF(E448="","",IFERROR(VALUE(SUBSTITUTE('MSR RAW'!P448,",","")),0))</f>
        <v/>
      </c>
      <c r="I448">
        <f>IF(E448="","",IFERROR(VALUE(SUBSTITUTE('MSR RAW'!S448,",","")),0))</f>
        <v/>
      </c>
    </row>
    <row r="449" ht="68.65000000000001" customHeight="1" s="126">
      <c r="A449" t="n">
        <v>449</v>
      </c>
      <c r="B449" s="30">
        <f>IF('MSR RAW'!$A$3="","",'MSR RAW'!$A$3)</f>
        <v/>
      </c>
      <c r="C449">
        <f>IF(LEFT(TRIM('MSR RAW'!A449),11)="Department:",TRIM('MSR RAW'!A449),C448)</f>
        <v/>
      </c>
      <c r="D449">
        <f>IF(LEFT(TRIM('MSR RAW'!B449),9)="Location:",TRIM(MID('MSR RAW'!B449,10,999)),D448)</f>
        <v/>
      </c>
      <c r="E449">
        <f>IF(AND(ISNUMBER(SEARCH(" - ",TRIM('MSR RAW'!C449))),RIGHT(TRIM('MSR RAW'!C449),6)="Total:"),LEFT(TRIM('MSR RAW'!C449),SEARCH(" - ",TRIM('MSR RAW'!C449))-1),"")</f>
        <v/>
      </c>
      <c r="F449">
        <f>IF(E449="","",TRIM(MID(TRIM('MSR RAW'!C449),SEARCH(" - ",TRIM('MSR RAW'!C449))+3,LEN(TRIM('MSR RAW'!C449))-SEARCH(" - ",TRIM('MSR RAW'!C449))-9)))</f>
        <v/>
      </c>
      <c r="G449">
        <f>IF(E449="","",IFERROR(VLOOKUP(E449,'CATEGORY MAP'!$A$2:$B$20,2,FALSE()),"REVIEW"))</f>
        <v/>
      </c>
      <c r="H449">
        <f>IF(E449="","",IFERROR(VALUE(SUBSTITUTE('MSR RAW'!P449,",","")),0))</f>
        <v/>
      </c>
      <c r="I449">
        <f>IF(E449="","",IFERROR(VALUE(SUBSTITUTE('MSR RAW'!S449,",","")),0))</f>
        <v/>
      </c>
    </row>
    <row r="450" ht="68.65000000000001" customHeight="1" s="126">
      <c r="A450" t="n">
        <v>450</v>
      </c>
      <c r="B450" s="30">
        <f>IF('MSR RAW'!$A$3="","",'MSR RAW'!$A$3)</f>
        <v/>
      </c>
      <c r="C450">
        <f>IF(LEFT(TRIM('MSR RAW'!A450),11)="Department:",TRIM('MSR RAW'!A450),C449)</f>
        <v/>
      </c>
      <c r="D450">
        <f>IF(LEFT(TRIM('MSR RAW'!B450),9)="Location:",TRIM(MID('MSR RAW'!B450,10,999)),D449)</f>
        <v/>
      </c>
      <c r="E450">
        <f>IF(AND(ISNUMBER(SEARCH(" - ",TRIM('MSR RAW'!C450))),RIGHT(TRIM('MSR RAW'!C450),6)="Total:"),LEFT(TRIM('MSR RAW'!C450),SEARCH(" - ",TRIM('MSR RAW'!C450))-1),"")</f>
        <v/>
      </c>
      <c r="F450">
        <f>IF(E450="","",TRIM(MID(TRIM('MSR RAW'!C450),SEARCH(" - ",TRIM('MSR RAW'!C450))+3,LEN(TRIM('MSR RAW'!C450))-SEARCH(" - ",TRIM('MSR RAW'!C450))-9)))</f>
        <v/>
      </c>
      <c r="G450">
        <f>IF(E450="","",IFERROR(VLOOKUP(E450,'CATEGORY MAP'!$A$2:$B$20,2,FALSE()),"REVIEW"))</f>
        <v/>
      </c>
      <c r="H450">
        <f>IF(E450="","",IFERROR(VALUE(SUBSTITUTE('MSR RAW'!P450,",","")),0))</f>
        <v/>
      </c>
      <c r="I450">
        <f>IF(E450="","",IFERROR(VALUE(SUBSTITUTE('MSR RAW'!S450,",","")),0))</f>
        <v/>
      </c>
    </row>
    <row r="451" ht="68.65000000000001" customHeight="1" s="126">
      <c r="A451" t="n">
        <v>451</v>
      </c>
      <c r="B451" s="30">
        <f>IF('MSR RAW'!$A$3="","",'MSR RAW'!$A$3)</f>
        <v/>
      </c>
      <c r="C451">
        <f>IF(LEFT(TRIM('MSR RAW'!A451),11)="Department:",TRIM('MSR RAW'!A451),C450)</f>
        <v/>
      </c>
      <c r="D451">
        <f>IF(LEFT(TRIM('MSR RAW'!B451),9)="Location:",TRIM(MID('MSR RAW'!B451,10,999)),D450)</f>
        <v/>
      </c>
      <c r="E451">
        <f>IF(AND(ISNUMBER(SEARCH(" - ",TRIM('MSR RAW'!C451))),RIGHT(TRIM('MSR RAW'!C451),6)="Total:"),LEFT(TRIM('MSR RAW'!C451),SEARCH(" - ",TRIM('MSR RAW'!C451))-1),"")</f>
        <v/>
      </c>
      <c r="F451">
        <f>IF(E451="","",TRIM(MID(TRIM('MSR RAW'!C451),SEARCH(" - ",TRIM('MSR RAW'!C451))+3,LEN(TRIM('MSR RAW'!C451))-SEARCH(" - ",TRIM('MSR RAW'!C451))-9)))</f>
        <v/>
      </c>
      <c r="G451">
        <f>IF(E451="","",IFERROR(VLOOKUP(E451,'CATEGORY MAP'!$A$2:$B$20,2,FALSE()),"REVIEW"))</f>
        <v/>
      </c>
      <c r="H451">
        <f>IF(E451="","",IFERROR(VALUE(SUBSTITUTE('MSR RAW'!P451,",","")),0))</f>
        <v/>
      </c>
      <c r="I451">
        <f>IF(E451="","",IFERROR(VALUE(SUBSTITUTE('MSR RAW'!S451,",","")),0))</f>
        <v/>
      </c>
    </row>
    <row r="452" ht="68.65000000000001" customHeight="1" s="126">
      <c r="A452" t="n">
        <v>452</v>
      </c>
      <c r="B452" s="30">
        <f>IF('MSR RAW'!$A$3="","",'MSR RAW'!$A$3)</f>
        <v/>
      </c>
      <c r="C452">
        <f>IF(LEFT(TRIM('MSR RAW'!A452),11)="Department:",TRIM('MSR RAW'!A452),C451)</f>
        <v/>
      </c>
      <c r="D452">
        <f>IF(LEFT(TRIM('MSR RAW'!B452),9)="Location:",TRIM(MID('MSR RAW'!B452,10,999)),D451)</f>
        <v/>
      </c>
      <c r="E452">
        <f>IF(AND(ISNUMBER(SEARCH(" - ",TRIM('MSR RAW'!C452))),RIGHT(TRIM('MSR RAW'!C452),6)="Total:"),LEFT(TRIM('MSR RAW'!C452),SEARCH(" - ",TRIM('MSR RAW'!C452))-1),"")</f>
        <v/>
      </c>
      <c r="F452">
        <f>IF(E452="","",TRIM(MID(TRIM('MSR RAW'!C452),SEARCH(" - ",TRIM('MSR RAW'!C452))+3,LEN(TRIM('MSR RAW'!C452))-SEARCH(" - ",TRIM('MSR RAW'!C452))-9)))</f>
        <v/>
      </c>
      <c r="G452">
        <f>IF(E452="","",IFERROR(VLOOKUP(E452,'CATEGORY MAP'!$A$2:$B$20,2,FALSE()),"REVIEW"))</f>
        <v/>
      </c>
      <c r="H452">
        <f>IF(E452="","",IFERROR(VALUE(SUBSTITUTE('MSR RAW'!P452,",","")),0))</f>
        <v/>
      </c>
      <c r="I452">
        <f>IF(E452="","",IFERROR(VALUE(SUBSTITUTE('MSR RAW'!S452,",","")),0))</f>
        <v/>
      </c>
    </row>
    <row r="453" ht="68.65000000000001" customHeight="1" s="126">
      <c r="A453" t="n">
        <v>453</v>
      </c>
      <c r="B453" s="30">
        <f>IF('MSR RAW'!$A$3="","",'MSR RAW'!$A$3)</f>
        <v/>
      </c>
      <c r="C453">
        <f>IF(LEFT(TRIM('MSR RAW'!A453),11)="Department:",TRIM('MSR RAW'!A453),C452)</f>
        <v/>
      </c>
      <c r="D453">
        <f>IF(LEFT(TRIM('MSR RAW'!B453),9)="Location:",TRIM(MID('MSR RAW'!B453,10,999)),D452)</f>
        <v/>
      </c>
      <c r="E453">
        <f>IF(AND(ISNUMBER(SEARCH(" - ",TRIM('MSR RAW'!C453))),RIGHT(TRIM('MSR RAW'!C453),6)="Total:"),LEFT(TRIM('MSR RAW'!C453),SEARCH(" - ",TRIM('MSR RAW'!C453))-1),"")</f>
        <v/>
      </c>
      <c r="F453">
        <f>IF(E453="","",TRIM(MID(TRIM('MSR RAW'!C453),SEARCH(" - ",TRIM('MSR RAW'!C453))+3,LEN(TRIM('MSR RAW'!C453))-SEARCH(" - ",TRIM('MSR RAW'!C453))-9)))</f>
        <v/>
      </c>
      <c r="G453">
        <f>IF(E453="","",IFERROR(VLOOKUP(E453,'CATEGORY MAP'!$A$2:$B$20,2,FALSE()),"REVIEW"))</f>
        <v/>
      </c>
      <c r="H453">
        <f>IF(E453="","",IFERROR(VALUE(SUBSTITUTE('MSR RAW'!P453,",","")),0))</f>
        <v/>
      </c>
      <c r="I453">
        <f>IF(E453="","",IFERROR(VALUE(SUBSTITUTE('MSR RAW'!S453,",","")),0))</f>
        <v/>
      </c>
    </row>
    <row r="454" ht="68.65000000000001" customHeight="1" s="126">
      <c r="A454" t="n">
        <v>454</v>
      </c>
      <c r="B454" s="30">
        <f>IF('MSR RAW'!$A$3="","",'MSR RAW'!$A$3)</f>
        <v/>
      </c>
      <c r="C454">
        <f>IF(LEFT(TRIM('MSR RAW'!A454),11)="Department:",TRIM('MSR RAW'!A454),C453)</f>
        <v/>
      </c>
      <c r="D454">
        <f>IF(LEFT(TRIM('MSR RAW'!B454),9)="Location:",TRIM(MID('MSR RAW'!B454,10,999)),D453)</f>
        <v/>
      </c>
      <c r="E454">
        <f>IF(AND(ISNUMBER(SEARCH(" - ",TRIM('MSR RAW'!C454))),RIGHT(TRIM('MSR RAW'!C454),6)="Total:"),LEFT(TRIM('MSR RAW'!C454),SEARCH(" - ",TRIM('MSR RAW'!C454))-1),"")</f>
        <v/>
      </c>
      <c r="F454">
        <f>IF(E454="","",TRIM(MID(TRIM('MSR RAW'!C454),SEARCH(" - ",TRIM('MSR RAW'!C454))+3,LEN(TRIM('MSR RAW'!C454))-SEARCH(" - ",TRIM('MSR RAW'!C454))-9)))</f>
        <v/>
      </c>
      <c r="G454">
        <f>IF(E454="","",IFERROR(VLOOKUP(E454,'CATEGORY MAP'!$A$2:$B$20,2,FALSE()),"REVIEW"))</f>
        <v/>
      </c>
      <c r="H454">
        <f>IF(E454="","",IFERROR(VALUE(SUBSTITUTE('MSR RAW'!P454,",","")),0))</f>
        <v/>
      </c>
      <c r="I454">
        <f>IF(E454="","",IFERROR(VALUE(SUBSTITUTE('MSR RAW'!S454,",","")),0))</f>
        <v/>
      </c>
    </row>
    <row r="455" ht="68.65000000000001" customHeight="1" s="126">
      <c r="A455" t="n">
        <v>455</v>
      </c>
      <c r="B455" s="30">
        <f>IF('MSR RAW'!$A$3="","",'MSR RAW'!$A$3)</f>
        <v/>
      </c>
      <c r="C455">
        <f>IF(LEFT(TRIM('MSR RAW'!A455),11)="Department:",TRIM('MSR RAW'!A455),C454)</f>
        <v/>
      </c>
      <c r="D455">
        <f>IF(LEFT(TRIM('MSR RAW'!B455),9)="Location:",TRIM(MID('MSR RAW'!B455,10,999)),D454)</f>
        <v/>
      </c>
      <c r="E455">
        <f>IF(AND(ISNUMBER(SEARCH(" - ",TRIM('MSR RAW'!C455))),RIGHT(TRIM('MSR RAW'!C455),6)="Total:"),LEFT(TRIM('MSR RAW'!C455),SEARCH(" - ",TRIM('MSR RAW'!C455))-1),"")</f>
        <v/>
      </c>
      <c r="F455">
        <f>IF(E455="","",TRIM(MID(TRIM('MSR RAW'!C455),SEARCH(" - ",TRIM('MSR RAW'!C455))+3,LEN(TRIM('MSR RAW'!C455))-SEARCH(" - ",TRIM('MSR RAW'!C455))-9)))</f>
        <v/>
      </c>
      <c r="G455">
        <f>IF(E455="","",IFERROR(VLOOKUP(E455,'CATEGORY MAP'!$A$2:$B$20,2,FALSE()),"REVIEW"))</f>
        <v/>
      </c>
      <c r="H455">
        <f>IF(E455="","",IFERROR(VALUE(SUBSTITUTE('MSR RAW'!P455,",","")),0))</f>
        <v/>
      </c>
      <c r="I455">
        <f>IF(E455="","",IFERROR(VALUE(SUBSTITUTE('MSR RAW'!S455,",","")),0))</f>
        <v/>
      </c>
    </row>
    <row r="456" ht="68.65000000000001" customHeight="1" s="126">
      <c r="A456" t="n">
        <v>456</v>
      </c>
      <c r="B456" s="30">
        <f>IF('MSR RAW'!$A$3="","",'MSR RAW'!$A$3)</f>
        <v/>
      </c>
      <c r="C456">
        <f>IF(LEFT(TRIM('MSR RAW'!A456),11)="Department:",TRIM('MSR RAW'!A456),C455)</f>
        <v/>
      </c>
      <c r="D456">
        <f>IF(LEFT(TRIM('MSR RAW'!B456),9)="Location:",TRIM(MID('MSR RAW'!B456,10,999)),D455)</f>
        <v/>
      </c>
      <c r="E456">
        <f>IF(AND(ISNUMBER(SEARCH(" - ",TRIM('MSR RAW'!C456))),RIGHT(TRIM('MSR RAW'!C456),6)="Total:"),LEFT(TRIM('MSR RAW'!C456),SEARCH(" - ",TRIM('MSR RAW'!C456))-1),"")</f>
        <v/>
      </c>
      <c r="F456">
        <f>IF(E456="","",TRIM(MID(TRIM('MSR RAW'!C456),SEARCH(" - ",TRIM('MSR RAW'!C456))+3,LEN(TRIM('MSR RAW'!C456))-SEARCH(" - ",TRIM('MSR RAW'!C456))-9)))</f>
        <v/>
      </c>
      <c r="G456">
        <f>IF(E456="","",IFERROR(VLOOKUP(E456,'CATEGORY MAP'!$A$2:$B$20,2,FALSE()),"REVIEW"))</f>
        <v/>
      </c>
      <c r="H456">
        <f>IF(E456="","",IFERROR(VALUE(SUBSTITUTE('MSR RAW'!P456,",","")),0))</f>
        <v/>
      </c>
      <c r="I456">
        <f>IF(E456="","",IFERROR(VALUE(SUBSTITUTE('MSR RAW'!S456,",","")),0))</f>
        <v/>
      </c>
    </row>
    <row r="457" ht="68.65000000000001" customHeight="1" s="126">
      <c r="A457" t="n">
        <v>457</v>
      </c>
      <c r="B457" s="30">
        <f>IF('MSR RAW'!$A$3="","",'MSR RAW'!$A$3)</f>
        <v/>
      </c>
      <c r="C457">
        <f>IF(LEFT(TRIM('MSR RAW'!A457),11)="Department:",TRIM('MSR RAW'!A457),C456)</f>
        <v/>
      </c>
      <c r="D457">
        <f>IF(LEFT(TRIM('MSR RAW'!B457),9)="Location:",TRIM(MID('MSR RAW'!B457,10,999)),D456)</f>
        <v/>
      </c>
      <c r="E457">
        <f>IF(AND(ISNUMBER(SEARCH(" - ",TRIM('MSR RAW'!C457))),RIGHT(TRIM('MSR RAW'!C457),6)="Total:"),LEFT(TRIM('MSR RAW'!C457),SEARCH(" - ",TRIM('MSR RAW'!C457))-1),"")</f>
        <v/>
      </c>
      <c r="F457">
        <f>IF(E457="","",TRIM(MID(TRIM('MSR RAW'!C457),SEARCH(" - ",TRIM('MSR RAW'!C457))+3,LEN(TRIM('MSR RAW'!C457))-SEARCH(" - ",TRIM('MSR RAW'!C457))-9)))</f>
        <v/>
      </c>
      <c r="G457">
        <f>IF(E457="","",IFERROR(VLOOKUP(E457,'CATEGORY MAP'!$A$2:$B$20,2,FALSE()),"REVIEW"))</f>
        <v/>
      </c>
      <c r="H457">
        <f>IF(E457="","",IFERROR(VALUE(SUBSTITUTE('MSR RAW'!P457,",","")),0))</f>
        <v/>
      </c>
      <c r="I457">
        <f>IF(E457="","",IFERROR(VALUE(SUBSTITUTE('MSR RAW'!S457,",","")),0))</f>
        <v/>
      </c>
    </row>
    <row r="458" ht="68.65000000000001" customHeight="1" s="126">
      <c r="A458" t="n">
        <v>458</v>
      </c>
      <c r="B458" s="30">
        <f>IF('MSR RAW'!$A$3="","",'MSR RAW'!$A$3)</f>
        <v/>
      </c>
      <c r="C458">
        <f>IF(LEFT(TRIM('MSR RAW'!A458),11)="Department:",TRIM('MSR RAW'!A458),C457)</f>
        <v/>
      </c>
      <c r="D458">
        <f>IF(LEFT(TRIM('MSR RAW'!B458),9)="Location:",TRIM(MID('MSR RAW'!B458,10,999)),D457)</f>
        <v/>
      </c>
      <c r="E458">
        <f>IF(AND(ISNUMBER(SEARCH(" - ",TRIM('MSR RAW'!C458))),RIGHT(TRIM('MSR RAW'!C458),6)="Total:"),LEFT(TRIM('MSR RAW'!C458),SEARCH(" - ",TRIM('MSR RAW'!C458))-1),"")</f>
        <v/>
      </c>
      <c r="F458">
        <f>IF(E458="","",TRIM(MID(TRIM('MSR RAW'!C458),SEARCH(" - ",TRIM('MSR RAW'!C458))+3,LEN(TRIM('MSR RAW'!C458))-SEARCH(" - ",TRIM('MSR RAW'!C458))-9)))</f>
        <v/>
      </c>
      <c r="G458">
        <f>IF(E458="","",IFERROR(VLOOKUP(E458,'CATEGORY MAP'!$A$2:$B$20,2,FALSE()),"REVIEW"))</f>
        <v/>
      </c>
      <c r="H458">
        <f>IF(E458="","",IFERROR(VALUE(SUBSTITUTE('MSR RAW'!P458,",","")),0))</f>
        <v/>
      </c>
      <c r="I458">
        <f>IF(E458="","",IFERROR(VALUE(SUBSTITUTE('MSR RAW'!S458,",","")),0))</f>
        <v/>
      </c>
    </row>
    <row r="459" ht="68.65000000000001" customHeight="1" s="126">
      <c r="A459" t="n">
        <v>459</v>
      </c>
      <c r="B459" s="30">
        <f>IF('MSR RAW'!$A$3="","",'MSR RAW'!$A$3)</f>
        <v/>
      </c>
      <c r="C459">
        <f>IF(LEFT(TRIM('MSR RAW'!A459),11)="Department:",TRIM('MSR RAW'!A459),C458)</f>
        <v/>
      </c>
      <c r="D459">
        <f>IF(LEFT(TRIM('MSR RAW'!B459),9)="Location:",TRIM(MID('MSR RAW'!B459,10,999)),D458)</f>
        <v/>
      </c>
      <c r="E459">
        <f>IF(AND(ISNUMBER(SEARCH(" - ",TRIM('MSR RAW'!C459))),RIGHT(TRIM('MSR RAW'!C459),6)="Total:"),LEFT(TRIM('MSR RAW'!C459),SEARCH(" - ",TRIM('MSR RAW'!C459))-1),"")</f>
        <v/>
      </c>
      <c r="F459">
        <f>IF(E459="","",TRIM(MID(TRIM('MSR RAW'!C459),SEARCH(" - ",TRIM('MSR RAW'!C459))+3,LEN(TRIM('MSR RAW'!C459))-SEARCH(" - ",TRIM('MSR RAW'!C459))-9)))</f>
        <v/>
      </c>
      <c r="G459">
        <f>IF(E459="","",IFERROR(VLOOKUP(E459,'CATEGORY MAP'!$A$2:$B$20,2,FALSE()),"REVIEW"))</f>
        <v/>
      </c>
      <c r="H459">
        <f>IF(E459="","",IFERROR(VALUE(SUBSTITUTE('MSR RAW'!P459,",","")),0))</f>
        <v/>
      </c>
      <c r="I459">
        <f>IF(E459="","",IFERROR(VALUE(SUBSTITUTE('MSR RAW'!S459,",","")),0))</f>
        <v/>
      </c>
    </row>
    <row r="460" ht="68.65000000000001" customHeight="1" s="126">
      <c r="A460" t="n">
        <v>460</v>
      </c>
      <c r="B460" s="30">
        <f>IF('MSR RAW'!$A$3="","",'MSR RAW'!$A$3)</f>
        <v/>
      </c>
      <c r="C460">
        <f>IF(LEFT(TRIM('MSR RAW'!A460),11)="Department:",TRIM('MSR RAW'!A460),C459)</f>
        <v/>
      </c>
      <c r="D460">
        <f>IF(LEFT(TRIM('MSR RAW'!B460),9)="Location:",TRIM(MID('MSR RAW'!B460,10,999)),D459)</f>
        <v/>
      </c>
      <c r="E460">
        <f>IF(AND(ISNUMBER(SEARCH(" - ",TRIM('MSR RAW'!C460))),RIGHT(TRIM('MSR RAW'!C460),6)="Total:"),LEFT(TRIM('MSR RAW'!C460),SEARCH(" - ",TRIM('MSR RAW'!C460))-1),"")</f>
        <v/>
      </c>
      <c r="F460">
        <f>IF(E460="","",TRIM(MID(TRIM('MSR RAW'!C460),SEARCH(" - ",TRIM('MSR RAW'!C460))+3,LEN(TRIM('MSR RAW'!C460))-SEARCH(" - ",TRIM('MSR RAW'!C460))-9)))</f>
        <v/>
      </c>
      <c r="G460">
        <f>IF(E460="","",IFERROR(VLOOKUP(E460,'CATEGORY MAP'!$A$2:$B$20,2,FALSE()),"REVIEW"))</f>
        <v/>
      </c>
      <c r="H460">
        <f>IF(E460="","",IFERROR(VALUE(SUBSTITUTE('MSR RAW'!P460,",","")),0))</f>
        <v/>
      </c>
      <c r="I460">
        <f>IF(E460="","",IFERROR(VALUE(SUBSTITUTE('MSR RAW'!S460,",","")),0))</f>
        <v/>
      </c>
    </row>
    <row r="461" ht="68.65000000000001" customHeight="1" s="126">
      <c r="A461" t="n">
        <v>461</v>
      </c>
      <c r="B461" s="30">
        <f>IF('MSR RAW'!$A$3="","",'MSR RAW'!$A$3)</f>
        <v/>
      </c>
      <c r="C461">
        <f>IF(LEFT(TRIM('MSR RAW'!A461),11)="Department:",TRIM('MSR RAW'!A461),C460)</f>
        <v/>
      </c>
      <c r="D461">
        <f>IF(LEFT(TRIM('MSR RAW'!B461),9)="Location:",TRIM(MID('MSR RAW'!B461,10,999)),D460)</f>
        <v/>
      </c>
      <c r="E461">
        <f>IF(AND(ISNUMBER(SEARCH(" - ",TRIM('MSR RAW'!C461))),RIGHT(TRIM('MSR RAW'!C461),6)="Total:"),LEFT(TRIM('MSR RAW'!C461),SEARCH(" - ",TRIM('MSR RAW'!C461))-1),"")</f>
        <v/>
      </c>
      <c r="F461">
        <f>IF(E461="","",TRIM(MID(TRIM('MSR RAW'!C461),SEARCH(" - ",TRIM('MSR RAW'!C461))+3,LEN(TRIM('MSR RAW'!C461))-SEARCH(" - ",TRIM('MSR RAW'!C461))-9)))</f>
        <v/>
      </c>
      <c r="G461">
        <f>IF(E461="","",IFERROR(VLOOKUP(E461,'CATEGORY MAP'!$A$2:$B$20,2,FALSE()),"REVIEW"))</f>
        <v/>
      </c>
      <c r="H461">
        <f>IF(E461="","",IFERROR(VALUE(SUBSTITUTE('MSR RAW'!P461,",","")),0))</f>
        <v/>
      </c>
      <c r="I461">
        <f>IF(E461="","",IFERROR(VALUE(SUBSTITUTE('MSR RAW'!S461,",","")),0))</f>
        <v/>
      </c>
    </row>
    <row r="462" ht="68.65000000000001" customHeight="1" s="126">
      <c r="A462" t="n">
        <v>462</v>
      </c>
      <c r="B462" s="30">
        <f>IF('MSR RAW'!$A$3="","",'MSR RAW'!$A$3)</f>
        <v/>
      </c>
      <c r="C462">
        <f>IF(LEFT(TRIM('MSR RAW'!A462),11)="Department:",TRIM('MSR RAW'!A462),C461)</f>
        <v/>
      </c>
      <c r="D462">
        <f>IF(LEFT(TRIM('MSR RAW'!B462),9)="Location:",TRIM(MID('MSR RAW'!B462,10,999)),D461)</f>
        <v/>
      </c>
      <c r="E462">
        <f>IF(AND(ISNUMBER(SEARCH(" - ",TRIM('MSR RAW'!C462))),RIGHT(TRIM('MSR RAW'!C462),6)="Total:"),LEFT(TRIM('MSR RAW'!C462),SEARCH(" - ",TRIM('MSR RAW'!C462))-1),"")</f>
        <v/>
      </c>
      <c r="F462">
        <f>IF(E462="","",TRIM(MID(TRIM('MSR RAW'!C462),SEARCH(" - ",TRIM('MSR RAW'!C462))+3,LEN(TRIM('MSR RAW'!C462))-SEARCH(" - ",TRIM('MSR RAW'!C462))-9)))</f>
        <v/>
      </c>
      <c r="G462">
        <f>IF(E462="","",IFERROR(VLOOKUP(E462,'CATEGORY MAP'!$A$2:$B$20,2,FALSE()),"REVIEW"))</f>
        <v/>
      </c>
      <c r="H462">
        <f>IF(E462="","",IFERROR(VALUE(SUBSTITUTE('MSR RAW'!P462,",","")),0))</f>
        <v/>
      </c>
      <c r="I462">
        <f>IF(E462="","",IFERROR(VALUE(SUBSTITUTE('MSR RAW'!S462,",","")),0))</f>
        <v/>
      </c>
    </row>
    <row r="463" ht="68.65000000000001" customHeight="1" s="126">
      <c r="A463" t="n">
        <v>463</v>
      </c>
      <c r="B463" s="30">
        <f>IF('MSR RAW'!$A$3="","",'MSR RAW'!$A$3)</f>
        <v/>
      </c>
      <c r="C463">
        <f>IF(LEFT(TRIM('MSR RAW'!A463),11)="Department:",TRIM('MSR RAW'!A463),C462)</f>
        <v/>
      </c>
      <c r="D463">
        <f>IF(LEFT(TRIM('MSR RAW'!B463),9)="Location:",TRIM(MID('MSR RAW'!B463,10,999)),D462)</f>
        <v/>
      </c>
      <c r="E463">
        <f>IF(AND(ISNUMBER(SEARCH(" - ",TRIM('MSR RAW'!C463))),RIGHT(TRIM('MSR RAW'!C463),6)="Total:"),LEFT(TRIM('MSR RAW'!C463),SEARCH(" - ",TRIM('MSR RAW'!C463))-1),"")</f>
        <v/>
      </c>
      <c r="F463">
        <f>IF(E463="","",TRIM(MID(TRIM('MSR RAW'!C463),SEARCH(" - ",TRIM('MSR RAW'!C463))+3,LEN(TRIM('MSR RAW'!C463))-SEARCH(" - ",TRIM('MSR RAW'!C463))-9)))</f>
        <v/>
      </c>
      <c r="G463">
        <f>IF(E463="","",IFERROR(VLOOKUP(E463,'CATEGORY MAP'!$A$2:$B$20,2,FALSE()),"REVIEW"))</f>
        <v/>
      </c>
      <c r="H463">
        <f>IF(E463="","",IFERROR(VALUE(SUBSTITUTE('MSR RAW'!P463,",","")),0))</f>
        <v/>
      </c>
      <c r="I463">
        <f>IF(E463="","",IFERROR(VALUE(SUBSTITUTE('MSR RAW'!S463,",","")),0))</f>
        <v/>
      </c>
    </row>
    <row r="464" ht="68.65000000000001" customHeight="1" s="126">
      <c r="A464" t="n">
        <v>464</v>
      </c>
      <c r="B464" s="30">
        <f>IF('MSR RAW'!$A$3="","",'MSR RAW'!$A$3)</f>
        <v/>
      </c>
      <c r="C464">
        <f>IF(LEFT(TRIM('MSR RAW'!A464),11)="Department:",TRIM('MSR RAW'!A464),C463)</f>
        <v/>
      </c>
      <c r="D464">
        <f>IF(LEFT(TRIM('MSR RAW'!B464),9)="Location:",TRIM(MID('MSR RAW'!B464,10,999)),D463)</f>
        <v/>
      </c>
      <c r="E464">
        <f>IF(AND(ISNUMBER(SEARCH(" - ",TRIM('MSR RAW'!C464))),RIGHT(TRIM('MSR RAW'!C464),6)="Total:"),LEFT(TRIM('MSR RAW'!C464),SEARCH(" - ",TRIM('MSR RAW'!C464))-1),"")</f>
        <v/>
      </c>
      <c r="F464">
        <f>IF(E464="","",TRIM(MID(TRIM('MSR RAW'!C464),SEARCH(" - ",TRIM('MSR RAW'!C464))+3,LEN(TRIM('MSR RAW'!C464))-SEARCH(" - ",TRIM('MSR RAW'!C464))-9)))</f>
        <v/>
      </c>
      <c r="G464">
        <f>IF(E464="","",IFERROR(VLOOKUP(E464,'CATEGORY MAP'!$A$2:$B$20,2,FALSE()),"REVIEW"))</f>
        <v/>
      </c>
      <c r="H464">
        <f>IF(E464="","",IFERROR(VALUE(SUBSTITUTE('MSR RAW'!P464,",","")),0))</f>
        <v/>
      </c>
      <c r="I464">
        <f>IF(E464="","",IFERROR(VALUE(SUBSTITUTE('MSR RAW'!S464,",","")),0))</f>
        <v/>
      </c>
    </row>
    <row r="465" ht="68.65000000000001" customHeight="1" s="126">
      <c r="A465" t="n">
        <v>465</v>
      </c>
      <c r="B465" s="30">
        <f>IF('MSR RAW'!$A$3="","",'MSR RAW'!$A$3)</f>
        <v/>
      </c>
      <c r="C465">
        <f>IF(LEFT(TRIM('MSR RAW'!A465),11)="Department:",TRIM('MSR RAW'!A465),C464)</f>
        <v/>
      </c>
      <c r="D465">
        <f>IF(LEFT(TRIM('MSR RAW'!B465),9)="Location:",TRIM(MID('MSR RAW'!B465,10,999)),D464)</f>
        <v/>
      </c>
      <c r="E465">
        <f>IF(AND(ISNUMBER(SEARCH(" - ",TRIM('MSR RAW'!C465))),RIGHT(TRIM('MSR RAW'!C465),6)="Total:"),LEFT(TRIM('MSR RAW'!C465),SEARCH(" - ",TRIM('MSR RAW'!C465))-1),"")</f>
        <v/>
      </c>
      <c r="F465">
        <f>IF(E465="","",TRIM(MID(TRIM('MSR RAW'!C465),SEARCH(" - ",TRIM('MSR RAW'!C465))+3,LEN(TRIM('MSR RAW'!C465))-SEARCH(" - ",TRIM('MSR RAW'!C465))-9)))</f>
        <v/>
      </c>
      <c r="G465">
        <f>IF(E465="","",IFERROR(VLOOKUP(E465,'CATEGORY MAP'!$A$2:$B$20,2,FALSE()),"REVIEW"))</f>
        <v/>
      </c>
      <c r="H465">
        <f>IF(E465="","",IFERROR(VALUE(SUBSTITUTE('MSR RAW'!P465,",","")),0))</f>
        <v/>
      </c>
      <c r="I465">
        <f>IF(E465="","",IFERROR(VALUE(SUBSTITUTE('MSR RAW'!S465,",","")),0))</f>
        <v/>
      </c>
    </row>
    <row r="466" ht="68.65000000000001" customHeight="1" s="126">
      <c r="A466" t="n">
        <v>466</v>
      </c>
      <c r="B466" s="30">
        <f>IF('MSR RAW'!$A$3="","",'MSR RAW'!$A$3)</f>
        <v/>
      </c>
      <c r="C466">
        <f>IF(LEFT(TRIM('MSR RAW'!A466),11)="Department:",TRIM('MSR RAW'!A466),C465)</f>
        <v/>
      </c>
      <c r="D466">
        <f>IF(LEFT(TRIM('MSR RAW'!B466),9)="Location:",TRIM(MID('MSR RAW'!B466,10,999)),D465)</f>
        <v/>
      </c>
      <c r="E466">
        <f>IF(AND(ISNUMBER(SEARCH(" - ",TRIM('MSR RAW'!C466))),RIGHT(TRIM('MSR RAW'!C466),6)="Total:"),LEFT(TRIM('MSR RAW'!C466),SEARCH(" - ",TRIM('MSR RAW'!C466))-1),"")</f>
        <v/>
      </c>
      <c r="F466">
        <f>IF(E466="","",TRIM(MID(TRIM('MSR RAW'!C466),SEARCH(" - ",TRIM('MSR RAW'!C466))+3,LEN(TRIM('MSR RAW'!C466))-SEARCH(" - ",TRIM('MSR RAW'!C466))-9)))</f>
        <v/>
      </c>
      <c r="G466">
        <f>IF(E466="","",IFERROR(VLOOKUP(E466,'CATEGORY MAP'!$A$2:$B$20,2,FALSE()),"REVIEW"))</f>
        <v/>
      </c>
      <c r="H466">
        <f>IF(E466="","",IFERROR(VALUE(SUBSTITUTE('MSR RAW'!P466,",","")),0))</f>
        <v/>
      </c>
      <c r="I466">
        <f>IF(E466="","",IFERROR(VALUE(SUBSTITUTE('MSR RAW'!S466,",","")),0))</f>
        <v/>
      </c>
    </row>
    <row r="467" ht="68.65000000000001" customHeight="1" s="126">
      <c r="A467" t="n">
        <v>467</v>
      </c>
      <c r="B467" s="30">
        <f>IF('MSR RAW'!$A$3="","",'MSR RAW'!$A$3)</f>
        <v/>
      </c>
      <c r="C467">
        <f>IF(LEFT(TRIM('MSR RAW'!A467),11)="Department:",TRIM('MSR RAW'!A467),C466)</f>
        <v/>
      </c>
      <c r="D467">
        <f>IF(LEFT(TRIM('MSR RAW'!B467),9)="Location:",TRIM(MID('MSR RAW'!B467,10,999)),D466)</f>
        <v/>
      </c>
      <c r="E467">
        <f>IF(AND(ISNUMBER(SEARCH(" - ",TRIM('MSR RAW'!C467))),RIGHT(TRIM('MSR RAW'!C467),6)="Total:"),LEFT(TRIM('MSR RAW'!C467),SEARCH(" - ",TRIM('MSR RAW'!C467))-1),"")</f>
        <v/>
      </c>
      <c r="F467">
        <f>IF(E467="","",TRIM(MID(TRIM('MSR RAW'!C467),SEARCH(" - ",TRIM('MSR RAW'!C467))+3,LEN(TRIM('MSR RAW'!C467))-SEARCH(" - ",TRIM('MSR RAW'!C467))-9)))</f>
        <v/>
      </c>
      <c r="G467">
        <f>IF(E467="","",IFERROR(VLOOKUP(E467,'CATEGORY MAP'!$A$2:$B$20,2,FALSE()),"REVIEW"))</f>
        <v/>
      </c>
      <c r="H467">
        <f>IF(E467="","",IFERROR(VALUE(SUBSTITUTE('MSR RAW'!P467,",","")),0))</f>
        <v/>
      </c>
      <c r="I467">
        <f>IF(E467="","",IFERROR(VALUE(SUBSTITUTE('MSR RAW'!S467,",","")),0))</f>
        <v/>
      </c>
    </row>
    <row r="468" ht="68.65000000000001" customHeight="1" s="126">
      <c r="A468" t="n">
        <v>468</v>
      </c>
      <c r="B468" s="30">
        <f>IF('MSR RAW'!$A$3="","",'MSR RAW'!$A$3)</f>
        <v/>
      </c>
      <c r="C468">
        <f>IF(LEFT(TRIM('MSR RAW'!A468),11)="Department:",TRIM('MSR RAW'!A468),C467)</f>
        <v/>
      </c>
      <c r="D468">
        <f>IF(LEFT(TRIM('MSR RAW'!B468),9)="Location:",TRIM(MID('MSR RAW'!B468,10,999)),D467)</f>
        <v/>
      </c>
      <c r="E468">
        <f>IF(AND(ISNUMBER(SEARCH(" - ",TRIM('MSR RAW'!C468))),RIGHT(TRIM('MSR RAW'!C468),6)="Total:"),LEFT(TRIM('MSR RAW'!C468),SEARCH(" - ",TRIM('MSR RAW'!C468))-1),"")</f>
        <v/>
      </c>
      <c r="F468">
        <f>IF(E468="","",TRIM(MID(TRIM('MSR RAW'!C468),SEARCH(" - ",TRIM('MSR RAW'!C468))+3,LEN(TRIM('MSR RAW'!C468))-SEARCH(" - ",TRIM('MSR RAW'!C468))-9)))</f>
        <v/>
      </c>
      <c r="G468">
        <f>IF(E468="","",IFERROR(VLOOKUP(E468,'CATEGORY MAP'!$A$2:$B$20,2,FALSE()),"REVIEW"))</f>
        <v/>
      </c>
      <c r="H468">
        <f>IF(E468="","",IFERROR(VALUE(SUBSTITUTE('MSR RAW'!P468,",","")),0))</f>
        <v/>
      </c>
      <c r="I468">
        <f>IF(E468="","",IFERROR(VALUE(SUBSTITUTE('MSR RAW'!S468,",","")),0))</f>
        <v/>
      </c>
    </row>
    <row r="469" ht="68.65000000000001" customHeight="1" s="126">
      <c r="A469" t="n">
        <v>469</v>
      </c>
      <c r="B469" s="30">
        <f>IF('MSR RAW'!$A$3="","",'MSR RAW'!$A$3)</f>
        <v/>
      </c>
      <c r="C469">
        <f>IF(LEFT(TRIM('MSR RAW'!A469),11)="Department:",TRIM('MSR RAW'!A469),C468)</f>
        <v/>
      </c>
      <c r="D469">
        <f>IF(LEFT(TRIM('MSR RAW'!B469),9)="Location:",TRIM(MID('MSR RAW'!B469,10,999)),D468)</f>
        <v/>
      </c>
      <c r="E469">
        <f>IF(AND(ISNUMBER(SEARCH(" - ",TRIM('MSR RAW'!C469))),RIGHT(TRIM('MSR RAW'!C469),6)="Total:"),LEFT(TRIM('MSR RAW'!C469),SEARCH(" - ",TRIM('MSR RAW'!C469))-1),"")</f>
        <v/>
      </c>
      <c r="F469">
        <f>IF(E469="","",TRIM(MID(TRIM('MSR RAW'!C469),SEARCH(" - ",TRIM('MSR RAW'!C469))+3,LEN(TRIM('MSR RAW'!C469))-SEARCH(" - ",TRIM('MSR RAW'!C469))-9)))</f>
        <v/>
      </c>
      <c r="G469">
        <f>IF(E469="","",IFERROR(VLOOKUP(E469,'CATEGORY MAP'!$A$2:$B$20,2,FALSE()),"REVIEW"))</f>
        <v/>
      </c>
      <c r="H469">
        <f>IF(E469="","",IFERROR(VALUE(SUBSTITUTE('MSR RAW'!P469,",","")),0))</f>
        <v/>
      </c>
      <c r="I469">
        <f>IF(E469="","",IFERROR(VALUE(SUBSTITUTE('MSR RAW'!S469,",","")),0))</f>
        <v/>
      </c>
    </row>
    <row r="470" ht="68.65000000000001" customHeight="1" s="126">
      <c r="A470" t="n">
        <v>470</v>
      </c>
      <c r="B470" s="30">
        <f>IF('MSR RAW'!$A$3="","",'MSR RAW'!$A$3)</f>
        <v/>
      </c>
      <c r="C470">
        <f>IF(LEFT(TRIM('MSR RAW'!A470),11)="Department:",TRIM('MSR RAW'!A470),C469)</f>
        <v/>
      </c>
      <c r="D470">
        <f>IF(LEFT(TRIM('MSR RAW'!B470),9)="Location:",TRIM(MID('MSR RAW'!B470,10,999)),D469)</f>
        <v/>
      </c>
      <c r="E470">
        <f>IF(AND(ISNUMBER(SEARCH(" - ",TRIM('MSR RAW'!C470))),RIGHT(TRIM('MSR RAW'!C470),6)="Total:"),LEFT(TRIM('MSR RAW'!C470),SEARCH(" - ",TRIM('MSR RAW'!C470))-1),"")</f>
        <v/>
      </c>
      <c r="F470">
        <f>IF(E470="","",TRIM(MID(TRIM('MSR RAW'!C470),SEARCH(" - ",TRIM('MSR RAW'!C470))+3,LEN(TRIM('MSR RAW'!C470))-SEARCH(" - ",TRIM('MSR RAW'!C470))-9)))</f>
        <v/>
      </c>
      <c r="G470">
        <f>IF(E470="","",IFERROR(VLOOKUP(E470,'CATEGORY MAP'!$A$2:$B$20,2,FALSE()),"REVIEW"))</f>
        <v/>
      </c>
      <c r="H470">
        <f>IF(E470="","",IFERROR(VALUE(SUBSTITUTE('MSR RAW'!P470,",","")),0))</f>
        <v/>
      </c>
      <c r="I470">
        <f>IF(E470="","",IFERROR(VALUE(SUBSTITUTE('MSR RAW'!S470,",","")),0))</f>
        <v/>
      </c>
    </row>
    <row r="471" ht="68.65000000000001" customHeight="1" s="126">
      <c r="A471" t="n">
        <v>471</v>
      </c>
      <c r="B471" s="30">
        <f>IF('MSR RAW'!$A$3="","",'MSR RAW'!$A$3)</f>
        <v/>
      </c>
      <c r="C471">
        <f>IF(LEFT(TRIM('MSR RAW'!A471),11)="Department:",TRIM('MSR RAW'!A471),C470)</f>
        <v/>
      </c>
      <c r="D471">
        <f>IF(LEFT(TRIM('MSR RAW'!B471),9)="Location:",TRIM(MID('MSR RAW'!B471,10,999)),D470)</f>
        <v/>
      </c>
      <c r="E471">
        <f>IF(AND(ISNUMBER(SEARCH(" - ",TRIM('MSR RAW'!C471))),RIGHT(TRIM('MSR RAW'!C471),6)="Total:"),LEFT(TRIM('MSR RAW'!C471),SEARCH(" - ",TRIM('MSR RAW'!C471))-1),"")</f>
        <v/>
      </c>
      <c r="F471">
        <f>IF(E471="","",TRIM(MID(TRIM('MSR RAW'!C471),SEARCH(" - ",TRIM('MSR RAW'!C471))+3,LEN(TRIM('MSR RAW'!C471))-SEARCH(" - ",TRIM('MSR RAW'!C471))-9)))</f>
        <v/>
      </c>
      <c r="G471">
        <f>IF(E471="","",IFERROR(VLOOKUP(E471,'CATEGORY MAP'!$A$2:$B$20,2,FALSE()),"REVIEW"))</f>
        <v/>
      </c>
      <c r="H471">
        <f>IF(E471="","",IFERROR(VALUE(SUBSTITUTE('MSR RAW'!P471,",","")),0))</f>
        <v/>
      </c>
      <c r="I471">
        <f>IF(E471="","",IFERROR(VALUE(SUBSTITUTE('MSR RAW'!S471,",","")),0))</f>
        <v/>
      </c>
    </row>
    <row r="472" ht="68.65000000000001" customHeight="1" s="126">
      <c r="A472" t="n">
        <v>472</v>
      </c>
      <c r="B472" s="30">
        <f>IF('MSR RAW'!$A$3="","",'MSR RAW'!$A$3)</f>
        <v/>
      </c>
      <c r="C472">
        <f>IF(LEFT(TRIM('MSR RAW'!A472),11)="Department:",TRIM('MSR RAW'!A472),C471)</f>
        <v/>
      </c>
      <c r="D472">
        <f>IF(LEFT(TRIM('MSR RAW'!B472),9)="Location:",TRIM(MID('MSR RAW'!B472,10,999)),D471)</f>
        <v/>
      </c>
      <c r="E472">
        <f>IF(AND(ISNUMBER(SEARCH(" - ",TRIM('MSR RAW'!C472))),RIGHT(TRIM('MSR RAW'!C472),6)="Total:"),LEFT(TRIM('MSR RAW'!C472),SEARCH(" - ",TRIM('MSR RAW'!C472))-1),"")</f>
        <v/>
      </c>
      <c r="F472">
        <f>IF(E472="","",TRIM(MID(TRIM('MSR RAW'!C472),SEARCH(" - ",TRIM('MSR RAW'!C472))+3,LEN(TRIM('MSR RAW'!C472))-SEARCH(" - ",TRIM('MSR RAW'!C472))-9)))</f>
        <v/>
      </c>
      <c r="G472">
        <f>IF(E472="","",IFERROR(VLOOKUP(E472,'CATEGORY MAP'!$A$2:$B$20,2,FALSE()),"REVIEW"))</f>
        <v/>
      </c>
      <c r="H472">
        <f>IF(E472="","",IFERROR(VALUE(SUBSTITUTE('MSR RAW'!P472,",","")),0))</f>
        <v/>
      </c>
      <c r="I472">
        <f>IF(E472="","",IFERROR(VALUE(SUBSTITUTE('MSR RAW'!S472,",","")),0))</f>
        <v/>
      </c>
    </row>
    <row r="473" ht="68.65000000000001" customHeight="1" s="126">
      <c r="A473" t="n">
        <v>473</v>
      </c>
      <c r="B473" s="30">
        <f>IF('MSR RAW'!$A$3="","",'MSR RAW'!$A$3)</f>
        <v/>
      </c>
      <c r="C473">
        <f>IF(LEFT(TRIM('MSR RAW'!A473),11)="Department:",TRIM('MSR RAW'!A473),C472)</f>
        <v/>
      </c>
      <c r="D473">
        <f>IF(LEFT(TRIM('MSR RAW'!B473),9)="Location:",TRIM(MID('MSR RAW'!B473,10,999)),D472)</f>
        <v/>
      </c>
      <c r="E473">
        <f>IF(AND(ISNUMBER(SEARCH(" - ",TRIM('MSR RAW'!C473))),RIGHT(TRIM('MSR RAW'!C473),6)="Total:"),LEFT(TRIM('MSR RAW'!C473),SEARCH(" - ",TRIM('MSR RAW'!C473))-1),"")</f>
        <v/>
      </c>
      <c r="F473">
        <f>IF(E473="","",TRIM(MID(TRIM('MSR RAW'!C473),SEARCH(" - ",TRIM('MSR RAW'!C473))+3,LEN(TRIM('MSR RAW'!C473))-SEARCH(" - ",TRIM('MSR RAW'!C473))-9)))</f>
        <v/>
      </c>
      <c r="G473">
        <f>IF(E473="","",IFERROR(VLOOKUP(E473,'CATEGORY MAP'!$A$2:$B$20,2,FALSE()),"REVIEW"))</f>
        <v/>
      </c>
      <c r="H473">
        <f>IF(E473="","",IFERROR(VALUE(SUBSTITUTE('MSR RAW'!P473,",","")),0))</f>
        <v/>
      </c>
      <c r="I473">
        <f>IF(E473="","",IFERROR(VALUE(SUBSTITUTE('MSR RAW'!S473,",","")),0))</f>
        <v/>
      </c>
    </row>
    <row r="474" ht="68.65000000000001" customHeight="1" s="126">
      <c r="A474" t="n">
        <v>474</v>
      </c>
      <c r="B474" s="30">
        <f>IF('MSR RAW'!$A$3="","",'MSR RAW'!$A$3)</f>
        <v/>
      </c>
      <c r="C474">
        <f>IF(LEFT(TRIM('MSR RAW'!A474),11)="Department:",TRIM('MSR RAW'!A474),C473)</f>
        <v/>
      </c>
      <c r="D474">
        <f>IF(LEFT(TRIM('MSR RAW'!B474),9)="Location:",TRIM(MID('MSR RAW'!B474,10,999)),D473)</f>
        <v/>
      </c>
      <c r="E474">
        <f>IF(AND(ISNUMBER(SEARCH(" - ",TRIM('MSR RAW'!C474))),RIGHT(TRIM('MSR RAW'!C474),6)="Total:"),LEFT(TRIM('MSR RAW'!C474),SEARCH(" - ",TRIM('MSR RAW'!C474))-1),"")</f>
        <v/>
      </c>
      <c r="F474">
        <f>IF(E474="","",TRIM(MID(TRIM('MSR RAW'!C474),SEARCH(" - ",TRIM('MSR RAW'!C474))+3,LEN(TRIM('MSR RAW'!C474))-SEARCH(" - ",TRIM('MSR RAW'!C474))-9)))</f>
        <v/>
      </c>
      <c r="G474">
        <f>IF(E474="","",IFERROR(VLOOKUP(E474,'CATEGORY MAP'!$A$2:$B$20,2,FALSE()),"REVIEW"))</f>
        <v/>
      </c>
      <c r="H474">
        <f>IF(E474="","",IFERROR(VALUE(SUBSTITUTE('MSR RAW'!P474,",","")),0))</f>
        <v/>
      </c>
      <c r="I474">
        <f>IF(E474="","",IFERROR(VALUE(SUBSTITUTE('MSR RAW'!S474,",","")),0))</f>
        <v/>
      </c>
    </row>
    <row r="475" ht="68.65000000000001" customHeight="1" s="126">
      <c r="A475" t="n">
        <v>475</v>
      </c>
      <c r="B475" s="30">
        <f>IF('MSR RAW'!$A$3="","",'MSR RAW'!$A$3)</f>
        <v/>
      </c>
      <c r="C475">
        <f>IF(LEFT(TRIM('MSR RAW'!A475),11)="Department:",TRIM('MSR RAW'!A475),C474)</f>
        <v/>
      </c>
      <c r="D475">
        <f>IF(LEFT(TRIM('MSR RAW'!B475),9)="Location:",TRIM(MID('MSR RAW'!B475,10,999)),D474)</f>
        <v/>
      </c>
      <c r="E475">
        <f>IF(AND(ISNUMBER(SEARCH(" - ",TRIM('MSR RAW'!C475))),RIGHT(TRIM('MSR RAW'!C475),6)="Total:"),LEFT(TRIM('MSR RAW'!C475),SEARCH(" - ",TRIM('MSR RAW'!C475))-1),"")</f>
        <v/>
      </c>
      <c r="F475">
        <f>IF(E475="","",TRIM(MID(TRIM('MSR RAW'!C475),SEARCH(" - ",TRIM('MSR RAW'!C475))+3,LEN(TRIM('MSR RAW'!C475))-SEARCH(" - ",TRIM('MSR RAW'!C475))-9)))</f>
        <v/>
      </c>
      <c r="G475">
        <f>IF(E475="","",IFERROR(VLOOKUP(E475,'CATEGORY MAP'!$A$2:$B$20,2,FALSE()),"REVIEW"))</f>
        <v/>
      </c>
      <c r="H475">
        <f>IF(E475="","",IFERROR(VALUE(SUBSTITUTE('MSR RAW'!P475,",","")),0))</f>
        <v/>
      </c>
      <c r="I475">
        <f>IF(E475="","",IFERROR(VALUE(SUBSTITUTE('MSR RAW'!S475,",","")),0))</f>
        <v/>
      </c>
    </row>
    <row r="476" ht="68.65000000000001" customHeight="1" s="126">
      <c r="A476" t="n">
        <v>476</v>
      </c>
      <c r="B476" s="30">
        <f>IF('MSR RAW'!$A$3="","",'MSR RAW'!$A$3)</f>
        <v/>
      </c>
      <c r="C476">
        <f>IF(LEFT(TRIM('MSR RAW'!A476),11)="Department:",TRIM('MSR RAW'!A476),C475)</f>
        <v/>
      </c>
      <c r="D476">
        <f>IF(LEFT(TRIM('MSR RAW'!B476),9)="Location:",TRIM(MID('MSR RAW'!B476,10,999)),D475)</f>
        <v/>
      </c>
      <c r="E476">
        <f>IF(AND(ISNUMBER(SEARCH(" - ",TRIM('MSR RAW'!C476))),RIGHT(TRIM('MSR RAW'!C476),6)="Total:"),LEFT(TRIM('MSR RAW'!C476),SEARCH(" - ",TRIM('MSR RAW'!C476))-1),"")</f>
        <v/>
      </c>
      <c r="F476">
        <f>IF(E476="","",TRIM(MID(TRIM('MSR RAW'!C476),SEARCH(" - ",TRIM('MSR RAW'!C476))+3,LEN(TRIM('MSR RAW'!C476))-SEARCH(" - ",TRIM('MSR RAW'!C476))-9)))</f>
        <v/>
      </c>
      <c r="G476">
        <f>IF(E476="","",IFERROR(VLOOKUP(E476,'CATEGORY MAP'!$A$2:$B$20,2,FALSE()),"REVIEW"))</f>
        <v/>
      </c>
      <c r="H476">
        <f>IF(E476="","",IFERROR(VALUE(SUBSTITUTE('MSR RAW'!P476,",","")),0))</f>
        <v/>
      </c>
      <c r="I476">
        <f>IF(E476="","",IFERROR(VALUE(SUBSTITUTE('MSR RAW'!S476,",","")),0))</f>
        <v/>
      </c>
    </row>
    <row r="477" ht="68.65000000000001" customHeight="1" s="126">
      <c r="A477" t="n">
        <v>477</v>
      </c>
      <c r="B477" s="30">
        <f>IF('MSR RAW'!$A$3="","",'MSR RAW'!$A$3)</f>
        <v/>
      </c>
      <c r="C477">
        <f>IF(LEFT(TRIM('MSR RAW'!A477),11)="Department:",TRIM('MSR RAW'!A477),C476)</f>
        <v/>
      </c>
      <c r="D477">
        <f>IF(LEFT(TRIM('MSR RAW'!B477),9)="Location:",TRIM(MID('MSR RAW'!B477,10,999)),D476)</f>
        <v/>
      </c>
      <c r="E477">
        <f>IF(AND(ISNUMBER(SEARCH(" - ",TRIM('MSR RAW'!C477))),RIGHT(TRIM('MSR RAW'!C477),6)="Total:"),LEFT(TRIM('MSR RAW'!C477),SEARCH(" - ",TRIM('MSR RAW'!C477))-1),"")</f>
        <v/>
      </c>
      <c r="F477">
        <f>IF(E477="","",TRIM(MID(TRIM('MSR RAW'!C477),SEARCH(" - ",TRIM('MSR RAW'!C477))+3,LEN(TRIM('MSR RAW'!C477))-SEARCH(" - ",TRIM('MSR RAW'!C477))-9)))</f>
        <v/>
      </c>
      <c r="G477">
        <f>IF(E477="","",IFERROR(VLOOKUP(E477,'CATEGORY MAP'!$A$2:$B$20,2,FALSE()),"REVIEW"))</f>
        <v/>
      </c>
      <c r="H477">
        <f>IF(E477="","",IFERROR(VALUE(SUBSTITUTE('MSR RAW'!P477,",","")),0))</f>
        <v/>
      </c>
      <c r="I477">
        <f>IF(E477="","",IFERROR(VALUE(SUBSTITUTE('MSR RAW'!S477,",","")),0))</f>
        <v/>
      </c>
    </row>
    <row r="478" ht="68.65000000000001" customHeight="1" s="126">
      <c r="A478" t="n">
        <v>478</v>
      </c>
      <c r="B478" s="30">
        <f>IF('MSR RAW'!$A$3="","",'MSR RAW'!$A$3)</f>
        <v/>
      </c>
      <c r="C478">
        <f>IF(LEFT(TRIM('MSR RAW'!A478),11)="Department:",TRIM('MSR RAW'!A478),C477)</f>
        <v/>
      </c>
      <c r="D478">
        <f>IF(LEFT(TRIM('MSR RAW'!B478),9)="Location:",TRIM(MID('MSR RAW'!B478,10,999)),D477)</f>
        <v/>
      </c>
      <c r="E478">
        <f>IF(AND(ISNUMBER(SEARCH(" - ",TRIM('MSR RAW'!C478))),RIGHT(TRIM('MSR RAW'!C478),6)="Total:"),LEFT(TRIM('MSR RAW'!C478),SEARCH(" - ",TRIM('MSR RAW'!C478))-1),"")</f>
        <v/>
      </c>
      <c r="F478">
        <f>IF(E478="","",TRIM(MID(TRIM('MSR RAW'!C478),SEARCH(" - ",TRIM('MSR RAW'!C478))+3,LEN(TRIM('MSR RAW'!C478))-SEARCH(" - ",TRIM('MSR RAW'!C478))-9)))</f>
        <v/>
      </c>
      <c r="G478">
        <f>IF(E478="","",IFERROR(VLOOKUP(E478,'CATEGORY MAP'!$A$2:$B$20,2,FALSE()),"REVIEW"))</f>
        <v/>
      </c>
      <c r="H478">
        <f>IF(E478="","",IFERROR(VALUE(SUBSTITUTE('MSR RAW'!P478,",","")),0))</f>
        <v/>
      </c>
      <c r="I478">
        <f>IF(E478="","",IFERROR(VALUE(SUBSTITUTE('MSR RAW'!S478,",","")),0))</f>
        <v/>
      </c>
    </row>
    <row r="479" ht="68.65000000000001" customHeight="1" s="126">
      <c r="A479" t="n">
        <v>479</v>
      </c>
      <c r="B479" s="30">
        <f>IF('MSR RAW'!$A$3="","",'MSR RAW'!$A$3)</f>
        <v/>
      </c>
      <c r="C479">
        <f>IF(LEFT(TRIM('MSR RAW'!A479),11)="Department:",TRIM('MSR RAW'!A479),C478)</f>
        <v/>
      </c>
      <c r="D479">
        <f>IF(LEFT(TRIM('MSR RAW'!B479),9)="Location:",TRIM(MID('MSR RAW'!B479,10,999)),D478)</f>
        <v/>
      </c>
      <c r="E479">
        <f>IF(AND(ISNUMBER(SEARCH(" - ",TRIM('MSR RAW'!C479))),RIGHT(TRIM('MSR RAW'!C479),6)="Total:"),LEFT(TRIM('MSR RAW'!C479),SEARCH(" - ",TRIM('MSR RAW'!C479))-1),"")</f>
        <v/>
      </c>
      <c r="F479">
        <f>IF(E479="","",TRIM(MID(TRIM('MSR RAW'!C479),SEARCH(" - ",TRIM('MSR RAW'!C479))+3,LEN(TRIM('MSR RAW'!C479))-SEARCH(" - ",TRIM('MSR RAW'!C479))-9)))</f>
        <v/>
      </c>
      <c r="G479">
        <f>IF(E479="","",IFERROR(VLOOKUP(E479,'CATEGORY MAP'!$A$2:$B$20,2,FALSE()),"REVIEW"))</f>
        <v/>
      </c>
      <c r="H479">
        <f>IF(E479="","",IFERROR(VALUE(SUBSTITUTE('MSR RAW'!P479,",","")),0))</f>
        <v/>
      </c>
      <c r="I479">
        <f>IF(E479="","",IFERROR(VALUE(SUBSTITUTE('MSR RAW'!S479,",","")),0))</f>
        <v/>
      </c>
    </row>
    <row r="480" ht="68.65000000000001" customHeight="1" s="126">
      <c r="A480" t="n">
        <v>480</v>
      </c>
      <c r="B480" s="30">
        <f>IF('MSR RAW'!$A$3="","",'MSR RAW'!$A$3)</f>
        <v/>
      </c>
      <c r="C480">
        <f>IF(LEFT(TRIM('MSR RAW'!A480),11)="Department:",TRIM('MSR RAW'!A480),C479)</f>
        <v/>
      </c>
      <c r="D480">
        <f>IF(LEFT(TRIM('MSR RAW'!B480),9)="Location:",TRIM(MID('MSR RAW'!B480,10,999)),D479)</f>
        <v/>
      </c>
      <c r="E480">
        <f>IF(AND(ISNUMBER(SEARCH(" - ",TRIM('MSR RAW'!C480))),RIGHT(TRIM('MSR RAW'!C480),6)="Total:"),LEFT(TRIM('MSR RAW'!C480),SEARCH(" - ",TRIM('MSR RAW'!C480))-1),"")</f>
        <v/>
      </c>
      <c r="F480">
        <f>IF(E480="","",TRIM(MID(TRIM('MSR RAW'!C480),SEARCH(" - ",TRIM('MSR RAW'!C480))+3,LEN(TRIM('MSR RAW'!C480))-SEARCH(" - ",TRIM('MSR RAW'!C480))-9)))</f>
        <v/>
      </c>
      <c r="G480">
        <f>IF(E480="","",IFERROR(VLOOKUP(E480,'CATEGORY MAP'!$A$2:$B$20,2,FALSE()),"REVIEW"))</f>
        <v/>
      </c>
      <c r="H480">
        <f>IF(E480="","",IFERROR(VALUE(SUBSTITUTE('MSR RAW'!P480,",","")),0))</f>
        <v/>
      </c>
      <c r="I480">
        <f>IF(E480="","",IFERROR(VALUE(SUBSTITUTE('MSR RAW'!S480,",","")),0))</f>
        <v/>
      </c>
    </row>
    <row r="481" ht="68.65000000000001" customHeight="1" s="126">
      <c r="A481" t="n">
        <v>481</v>
      </c>
      <c r="B481" s="30">
        <f>IF('MSR RAW'!$A$3="","",'MSR RAW'!$A$3)</f>
        <v/>
      </c>
      <c r="C481">
        <f>IF(LEFT(TRIM('MSR RAW'!A481),11)="Department:",TRIM('MSR RAW'!A481),C480)</f>
        <v/>
      </c>
      <c r="D481">
        <f>IF(LEFT(TRIM('MSR RAW'!B481),9)="Location:",TRIM(MID('MSR RAW'!B481,10,999)),D480)</f>
        <v/>
      </c>
      <c r="E481">
        <f>IF(AND(ISNUMBER(SEARCH(" - ",TRIM('MSR RAW'!C481))),RIGHT(TRIM('MSR RAW'!C481),6)="Total:"),LEFT(TRIM('MSR RAW'!C481),SEARCH(" - ",TRIM('MSR RAW'!C481))-1),"")</f>
        <v/>
      </c>
      <c r="F481">
        <f>IF(E481="","",TRIM(MID(TRIM('MSR RAW'!C481),SEARCH(" - ",TRIM('MSR RAW'!C481))+3,LEN(TRIM('MSR RAW'!C481))-SEARCH(" - ",TRIM('MSR RAW'!C481))-9)))</f>
        <v/>
      </c>
      <c r="G481">
        <f>IF(E481="","",IFERROR(VLOOKUP(E481,'CATEGORY MAP'!$A$2:$B$20,2,FALSE()),"REVIEW"))</f>
        <v/>
      </c>
      <c r="H481">
        <f>IF(E481="","",IFERROR(VALUE(SUBSTITUTE('MSR RAW'!P481,",","")),0))</f>
        <v/>
      </c>
      <c r="I481">
        <f>IF(E481="","",IFERROR(VALUE(SUBSTITUTE('MSR RAW'!S481,",","")),0))</f>
        <v/>
      </c>
    </row>
    <row r="482" ht="68.65000000000001" customHeight="1" s="126">
      <c r="A482" t="n">
        <v>482</v>
      </c>
      <c r="B482" s="30">
        <f>IF('MSR RAW'!$A$3="","",'MSR RAW'!$A$3)</f>
        <v/>
      </c>
      <c r="C482">
        <f>IF(LEFT(TRIM('MSR RAW'!A482),11)="Department:",TRIM('MSR RAW'!A482),C481)</f>
        <v/>
      </c>
      <c r="D482">
        <f>IF(LEFT(TRIM('MSR RAW'!B482),9)="Location:",TRIM(MID('MSR RAW'!B482,10,999)),D481)</f>
        <v/>
      </c>
      <c r="E482">
        <f>IF(AND(ISNUMBER(SEARCH(" - ",TRIM('MSR RAW'!C482))),RIGHT(TRIM('MSR RAW'!C482),6)="Total:"),LEFT(TRIM('MSR RAW'!C482),SEARCH(" - ",TRIM('MSR RAW'!C482))-1),"")</f>
        <v/>
      </c>
      <c r="F482">
        <f>IF(E482="","",TRIM(MID(TRIM('MSR RAW'!C482),SEARCH(" - ",TRIM('MSR RAW'!C482))+3,LEN(TRIM('MSR RAW'!C482))-SEARCH(" - ",TRIM('MSR RAW'!C482))-9)))</f>
        <v/>
      </c>
      <c r="G482">
        <f>IF(E482="","",IFERROR(VLOOKUP(E482,'CATEGORY MAP'!$A$2:$B$20,2,FALSE()),"REVIEW"))</f>
        <v/>
      </c>
      <c r="H482">
        <f>IF(E482="","",IFERROR(VALUE(SUBSTITUTE('MSR RAW'!P482,",","")),0))</f>
        <v/>
      </c>
      <c r="I482">
        <f>IF(E482="","",IFERROR(VALUE(SUBSTITUTE('MSR RAW'!S482,",","")),0))</f>
        <v/>
      </c>
    </row>
    <row r="483" ht="68.65000000000001" customHeight="1" s="126">
      <c r="A483" t="n">
        <v>483</v>
      </c>
      <c r="B483" s="30">
        <f>IF('MSR RAW'!$A$3="","",'MSR RAW'!$A$3)</f>
        <v/>
      </c>
      <c r="C483">
        <f>IF(LEFT(TRIM('MSR RAW'!A483),11)="Department:",TRIM('MSR RAW'!A483),C482)</f>
        <v/>
      </c>
      <c r="D483">
        <f>IF(LEFT(TRIM('MSR RAW'!B483),9)="Location:",TRIM(MID('MSR RAW'!B483,10,999)),D482)</f>
        <v/>
      </c>
      <c r="E483">
        <f>IF(AND(ISNUMBER(SEARCH(" - ",TRIM('MSR RAW'!C483))),RIGHT(TRIM('MSR RAW'!C483),6)="Total:"),LEFT(TRIM('MSR RAW'!C483),SEARCH(" - ",TRIM('MSR RAW'!C483))-1),"")</f>
        <v/>
      </c>
      <c r="F483">
        <f>IF(E483="","",TRIM(MID(TRIM('MSR RAW'!C483),SEARCH(" - ",TRIM('MSR RAW'!C483))+3,LEN(TRIM('MSR RAW'!C483))-SEARCH(" - ",TRIM('MSR RAW'!C483))-9)))</f>
        <v/>
      </c>
      <c r="G483">
        <f>IF(E483="","",IFERROR(VLOOKUP(E483,'CATEGORY MAP'!$A$2:$B$20,2,FALSE()),"REVIEW"))</f>
        <v/>
      </c>
      <c r="H483">
        <f>IF(E483="","",IFERROR(VALUE(SUBSTITUTE('MSR RAW'!P483,",","")),0))</f>
        <v/>
      </c>
      <c r="I483">
        <f>IF(E483="","",IFERROR(VALUE(SUBSTITUTE('MSR RAW'!S483,",","")),0))</f>
        <v/>
      </c>
    </row>
    <row r="484" ht="68.65000000000001" customHeight="1" s="126">
      <c r="A484" t="n">
        <v>484</v>
      </c>
      <c r="B484" s="30">
        <f>IF('MSR RAW'!$A$3="","",'MSR RAW'!$A$3)</f>
        <v/>
      </c>
      <c r="C484">
        <f>IF(LEFT(TRIM('MSR RAW'!A484),11)="Department:",TRIM('MSR RAW'!A484),C483)</f>
        <v/>
      </c>
      <c r="D484">
        <f>IF(LEFT(TRIM('MSR RAW'!B484),9)="Location:",TRIM(MID('MSR RAW'!B484,10,999)),D483)</f>
        <v/>
      </c>
      <c r="E484">
        <f>IF(AND(ISNUMBER(SEARCH(" - ",TRIM('MSR RAW'!C484))),RIGHT(TRIM('MSR RAW'!C484),6)="Total:"),LEFT(TRIM('MSR RAW'!C484),SEARCH(" - ",TRIM('MSR RAW'!C484))-1),"")</f>
        <v/>
      </c>
      <c r="F484">
        <f>IF(E484="","",TRIM(MID(TRIM('MSR RAW'!C484),SEARCH(" - ",TRIM('MSR RAW'!C484))+3,LEN(TRIM('MSR RAW'!C484))-SEARCH(" - ",TRIM('MSR RAW'!C484))-9)))</f>
        <v/>
      </c>
      <c r="G484">
        <f>IF(E484="","",IFERROR(VLOOKUP(E484,'CATEGORY MAP'!$A$2:$B$20,2,FALSE()),"REVIEW"))</f>
        <v/>
      </c>
      <c r="H484">
        <f>IF(E484="","",IFERROR(VALUE(SUBSTITUTE('MSR RAW'!P484,",","")),0))</f>
        <v/>
      </c>
      <c r="I484">
        <f>IF(E484="","",IFERROR(VALUE(SUBSTITUTE('MSR RAW'!S484,",","")),0))</f>
        <v/>
      </c>
    </row>
    <row r="485" ht="68.65000000000001" customHeight="1" s="126">
      <c r="A485" t="n">
        <v>485</v>
      </c>
      <c r="B485" s="30">
        <f>IF('MSR RAW'!$A$3="","",'MSR RAW'!$A$3)</f>
        <v/>
      </c>
      <c r="C485">
        <f>IF(LEFT(TRIM('MSR RAW'!A485),11)="Department:",TRIM('MSR RAW'!A485),C484)</f>
        <v/>
      </c>
      <c r="D485">
        <f>IF(LEFT(TRIM('MSR RAW'!B485),9)="Location:",TRIM(MID('MSR RAW'!B485,10,999)),D484)</f>
        <v/>
      </c>
      <c r="E485">
        <f>IF(AND(ISNUMBER(SEARCH(" - ",TRIM('MSR RAW'!C485))),RIGHT(TRIM('MSR RAW'!C485),6)="Total:"),LEFT(TRIM('MSR RAW'!C485),SEARCH(" - ",TRIM('MSR RAW'!C485))-1),"")</f>
        <v/>
      </c>
      <c r="F485">
        <f>IF(E485="","",TRIM(MID(TRIM('MSR RAW'!C485),SEARCH(" - ",TRIM('MSR RAW'!C485))+3,LEN(TRIM('MSR RAW'!C485))-SEARCH(" - ",TRIM('MSR RAW'!C485))-9)))</f>
        <v/>
      </c>
      <c r="G485">
        <f>IF(E485="","",IFERROR(VLOOKUP(E485,'CATEGORY MAP'!$A$2:$B$20,2,FALSE()),"REVIEW"))</f>
        <v/>
      </c>
      <c r="H485">
        <f>IF(E485="","",IFERROR(VALUE(SUBSTITUTE('MSR RAW'!P485,",","")),0))</f>
        <v/>
      </c>
      <c r="I485">
        <f>IF(E485="","",IFERROR(VALUE(SUBSTITUTE('MSR RAW'!S485,",","")),0))</f>
        <v/>
      </c>
    </row>
    <row r="486" ht="68.65000000000001" customHeight="1" s="126">
      <c r="A486" t="n">
        <v>486</v>
      </c>
      <c r="B486" s="30">
        <f>IF('MSR RAW'!$A$3="","",'MSR RAW'!$A$3)</f>
        <v/>
      </c>
      <c r="C486">
        <f>IF(LEFT(TRIM('MSR RAW'!A486),11)="Department:",TRIM('MSR RAW'!A486),C485)</f>
        <v/>
      </c>
      <c r="D486">
        <f>IF(LEFT(TRIM('MSR RAW'!B486),9)="Location:",TRIM(MID('MSR RAW'!B486,10,999)),D485)</f>
        <v/>
      </c>
      <c r="E486">
        <f>IF(AND(ISNUMBER(SEARCH(" - ",TRIM('MSR RAW'!C486))),RIGHT(TRIM('MSR RAW'!C486),6)="Total:"),LEFT(TRIM('MSR RAW'!C486),SEARCH(" - ",TRIM('MSR RAW'!C486))-1),"")</f>
        <v/>
      </c>
      <c r="F486">
        <f>IF(E486="","",TRIM(MID(TRIM('MSR RAW'!C486),SEARCH(" - ",TRIM('MSR RAW'!C486))+3,LEN(TRIM('MSR RAW'!C486))-SEARCH(" - ",TRIM('MSR RAW'!C486))-9)))</f>
        <v/>
      </c>
      <c r="G486">
        <f>IF(E486="","",IFERROR(VLOOKUP(E486,'CATEGORY MAP'!$A$2:$B$20,2,FALSE()),"REVIEW"))</f>
        <v/>
      </c>
      <c r="H486">
        <f>IF(E486="","",IFERROR(VALUE(SUBSTITUTE('MSR RAW'!P486,",","")),0))</f>
        <v/>
      </c>
      <c r="I486">
        <f>IF(E486="","",IFERROR(VALUE(SUBSTITUTE('MSR RAW'!S486,",","")),0))</f>
        <v/>
      </c>
    </row>
    <row r="487" ht="68.65000000000001" customHeight="1" s="126">
      <c r="A487" t="n">
        <v>487</v>
      </c>
      <c r="B487" s="30">
        <f>IF('MSR RAW'!$A$3="","",'MSR RAW'!$A$3)</f>
        <v/>
      </c>
      <c r="C487">
        <f>IF(LEFT(TRIM('MSR RAW'!A487),11)="Department:",TRIM('MSR RAW'!A487),C486)</f>
        <v/>
      </c>
      <c r="D487">
        <f>IF(LEFT(TRIM('MSR RAW'!B487),9)="Location:",TRIM(MID('MSR RAW'!B487,10,999)),D486)</f>
        <v/>
      </c>
      <c r="E487">
        <f>IF(AND(ISNUMBER(SEARCH(" - ",TRIM('MSR RAW'!C487))),RIGHT(TRIM('MSR RAW'!C487),6)="Total:"),LEFT(TRIM('MSR RAW'!C487),SEARCH(" - ",TRIM('MSR RAW'!C487))-1),"")</f>
        <v/>
      </c>
      <c r="F487">
        <f>IF(E487="","",TRIM(MID(TRIM('MSR RAW'!C487),SEARCH(" - ",TRIM('MSR RAW'!C487))+3,LEN(TRIM('MSR RAW'!C487))-SEARCH(" - ",TRIM('MSR RAW'!C487))-9)))</f>
        <v/>
      </c>
      <c r="G487">
        <f>IF(E487="","",IFERROR(VLOOKUP(E487,'CATEGORY MAP'!$A$2:$B$20,2,FALSE()),"REVIEW"))</f>
        <v/>
      </c>
      <c r="H487">
        <f>IF(E487="","",IFERROR(VALUE(SUBSTITUTE('MSR RAW'!P487,",","")),0))</f>
        <v/>
      </c>
      <c r="I487">
        <f>IF(E487="","",IFERROR(VALUE(SUBSTITUTE('MSR RAW'!S487,",","")),0))</f>
        <v/>
      </c>
    </row>
    <row r="488" ht="68.65000000000001" customHeight="1" s="126">
      <c r="A488" t="n">
        <v>488</v>
      </c>
      <c r="B488" s="30">
        <f>IF('MSR RAW'!$A$3="","",'MSR RAW'!$A$3)</f>
        <v/>
      </c>
      <c r="C488">
        <f>IF(LEFT(TRIM('MSR RAW'!A488),11)="Department:",TRIM('MSR RAW'!A488),C487)</f>
        <v/>
      </c>
      <c r="D488">
        <f>IF(LEFT(TRIM('MSR RAW'!B488),9)="Location:",TRIM(MID('MSR RAW'!B488,10,999)),D487)</f>
        <v/>
      </c>
      <c r="E488">
        <f>IF(AND(ISNUMBER(SEARCH(" - ",TRIM('MSR RAW'!C488))),RIGHT(TRIM('MSR RAW'!C488),6)="Total:"),LEFT(TRIM('MSR RAW'!C488),SEARCH(" - ",TRIM('MSR RAW'!C488))-1),"")</f>
        <v/>
      </c>
      <c r="F488">
        <f>IF(E488="","",TRIM(MID(TRIM('MSR RAW'!C488),SEARCH(" - ",TRIM('MSR RAW'!C488))+3,LEN(TRIM('MSR RAW'!C488))-SEARCH(" - ",TRIM('MSR RAW'!C488))-9)))</f>
        <v/>
      </c>
      <c r="G488">
        <f>IF(E488="","",IFERROR(VLOOKUP(E488,'CATEGORY MAP'!$A$2:$B$20,2,FALSE()),"REVIEW"))</f>
        <v/>
      </c>
      <c r="H488">
        <f>IF(E488="","",IFERROR(VALUE(SUBSTITUTE('MSR RAW'!P488,",","")),0))</f>
        <v/>
      </c>
      <c r="I488">
        <f>IF(E488="","",IFERROR(VALUE(SUBSTITUTE('MSR RAW'!S488,",","")),0))</f>
        <v/>
      </c>
    </row>
    <row r="489" ht="68.65000000000001" customHeight="1" s="126">
      <c r="A489" t="n">
        <v>489</v>
      </c>
      <c r="B489" s="30">
        <f>IF('MSR RAW'!$A$3="","",'MSR RAW'!$A$3)</f>
        <v/>
      </c>
      <c r="C489">
        <f>IF(LEFT(TRIM('MSR RAW'!A489),11)="Department:",TRIM('MSR RAW'!A489),C488)</f>
        <v/>
      </c>
      <c r="D489">
        <f>IF(LEFT(TRIM('MSR RAW'!B489),9)="Location:",TRIM(MID('MSR RAW'!B489,10,999)),D488)</f>
        <v/>
      </c>
      <c r="E489">
        <f>IF(AND(ISNUMBER(SEARCH(" - ",TRIM('MSR RAW'!C489))),RIGHT(TRIM('MSR RAW'!C489),6)="Total:"),LEFT(TRIM('MSR RAW'!C489),SEARCH(" - ",TRIM('MSR RAW'!C489))-1),"")</f>
        <v/>
      </c>
      <c r="F489">
        <f>IF(E489="","",TRIM(MID(TRIM('MSR RAW'!C489),SEARCH(" - ",TRIM('MSR RAW'!C489))+3,LEN(TRIM('MSR RAW'!C489))-SEARCH(" - ",TRIM('MSR RAW'!C489))-9)))</f>
        <v/>
      </c>
      <c r="G489">
        <f>IF(E489="","",IFERROR(VLOOKUP(E489,'CATEGORY MAP'!$A$2:$B$20,2,FALSE()),"REVIEW"))</f>
        <v/>
      </c>
      <c r="H489">
        <f>IF(E489="","",IFERROR(VALUE(SUBSTITUTE('MSR RAW'!P489,",","")),0))</f>
        <v/>
      </c>
      <c r="I489">
        <f>IF(E489="","",IFERROR(VALUE(SUBSTITUTE('MSR RAW'!S489,",","")),0))</f>
        <v/>
      </c>
    </row>
    <row r="490" ht="68.65000000000001" customHeight="1" s="126">
      <c r="A490" t="n">
        <v>490</v>
      </c>
      <c r="B490" s="30">
        <f>IF('MSR RAW'!$A$3="","",'MSR RAW'!$A$3)</f>
        <v/>
      </c>
      <c r="C490">
        <f>IF(LEFT(TRIM('MSR RAW'!A490),11)="Department:",TRIM('MSR RAW'!A490),C489)</f>
        <v/>
      </c>
      <c r="D490">
        <f>IF(LEFT(TRIM('MSR RAW'!B490),9)="Location:",TRIM(MID('MSR RAW'!B490,10,999)),D489)</f>
        <v/>
      </c>
      <c r="E490">
        <f>IF(AND(ISNUMBER(SEARCH(" - ",TRIM('MSR RAW'!C490))),RIGHT(TRIM('MSR RAW'!C490),6)="Total:"),LEFT(TRIM('MSR RAW'!C490),SEARCH(" - ",TRIM('MSR RAW'!C490))-1),"")</f>
        <v/>
      </c>
      <c r="F490">
        <f>IF(E490="","",TRIM(MID(TRIM('MSR RAW'!C490),SEARCH(" - ",TRIM('MSR RAW'!C490))+3,LEN(TRIM('MSR RAW'!C490))-SEARCH(" - ",TRIM('MSR RAW'!C490))-9)))</f>
        <v/>
      </c>
      <c r="G490">
        <f>IF(E490="","",IFERROR(VLOOKUP(E490,'CATEGORY MAP'!$A$2:$B$20,2,FALSE()),"REVIEW"))</f>
        <v/>
      </c>
      <c r="H490">
        <f>IF(E490="","",IFERROR(VALUE(SUBSTITUTE('MSR RAW'!P490,",","")),0))</f>
        <v/>
      </c>
      <c r="I490">
        <f>IF(E490="","",IFERROR(VALUE(SUBSTITUTE('MSR RAW'!S490,",","")),0))</f>
        <v/>
      </c>
    </row>
    <row r="491" ht="68.65000000000001" customHeight="1" s="126">
      <c r="A491" t="n">
        <v>491</v>
      </c>
      <c r="B491" s="30">
        <f>IF('MSR RAW'!$A$3="","",'MSR RAW'!$A$3)</f>
        <v/>
      </c>
      <c r="C491">
        <f>IF(LEFT(TRIM('MSR RAW'!A491),11)="Department:",TRIM('MSR RAW'!A491),C490)</f>
        <v/>
      </c>
      <c r="D491">
        <f>IF(LEFT(TRIM('MSR RAW'!B491),9)="Location:",TRIM(MID('MSR RAW'!B491,10,999)),D490)</f>
        <v/>
      </c>
      <c r="E491">
        <f>IF(AND(ISNUMBER(SEARCH(" - ",TRIM('MSR RAW'!C491))),RIGHT(TRIM('MSR RAW'!C491),6)="Total:"),LEFT(TRIM('MSR RAW'!C491),SEARCH(" - ",TRIM('MSR RAW'!C491))-1),"")</f>
        <v/>
      </c>
      <c r="F491">
        <f>IF(E491="","",TRIM(MID(TRIM('MSR RAW'!C491),SEARCH(" - ",TRIM('MSR RAW'!C491))+3,LEN(TRIM('MSR RAW'!C491))-SEARCH(" - ",TRIM('MSR RAW'!C491))-9)))</f>
        <v/>
      </c>
      <c r="G491">
        <f>IF(E491="","",IFERROR(VLOOKUP(E491,'CATEGORY MAP'!$A$2:$B$20,2,FALSE()),"REVIEW"))</f>
        <v/>
      </c>
      <c r="H491">
        <f>IF(E491="","",IFERROR(VALUE(SUBSTITUTE('MSR RAW'!P491,",","")),0))</f>
        <v/>
      </c>
      <c r="I491">
        <f>IF(E491="","",IFERROR(VALUE(SUBSTITUTE('MSR RAW'!S491,",","")),0))</f>
        <v/>
      </c>
    </row>
    <row r="492" ht="68.65000000000001" customHeight="1" s="126">
      <c r="A492" t="n">
        <v>492</v>
      </c>
      <c r="B492" s="30">
        <f>IF('MSR RAW'!$A$3="","",'MSR RAW'!$A$3)</f>
        <v/>
      </c>
      <c r="C492">
        <f>IF(LEFT(TRIM('MSR RAW'!A492),11)="Department:",TRIM('MSR RAW'!A492),C491)</f>
        <v/>
      </c>
      <c r="D492">
        <f>IF(LEFT(TRIM('MSR RAW'!B492),9)="Location:",TRIM(MID('MSR RAW'!B492,10,999)),D491)</f>
        <v/>
      </c>
      <c r="E492">
        <f>IF(AND(ISNUMBER(SEARCH(" - ",TRIM('MSR RAW'!C492))),RIGHT(TRIM('MSR RAW'!C492),6)="Total:"),LEFT(TRIM('MSR RAW'!C492),SEARCH(" - ",TRIM('MSR RAW'!C492))-1),"")</f>
        <v/>
      </c>
      <c r="F492">
        <f>IF(E492="","",TRIM(MID(TRIM('MSR RAW'!C492),SEARCH(" - ",TRIM('MSR RAW'!C492))+3,LEN(TRIM('MSR RAW'!C492))-SEARCH(" - ",TRIM('MSR RAW'!C492))-9)))</f>
        <v/>
      </c>
      <c r="G492">
        <f>IF(E492="","",IFERROR(VLOOKUP(E492,'CATEGORY MAP'!$A$2:$B$20,2,FALSE()),"REVIEW"))</f>
        <v/>
      </c>
      <c r="H492">
        <f>IF(E492="","",IFERROR(VALUE(SUBSTITUTE('MSR RAW'!P492,",","")),0))</f>
        <v/>
      </c>
      <c r="I492">
        <f>IF(E492="","",IFERROR(VALUE(SUBSTITUTE('MSR RAW'!S492,",","")),0))</f>
        <v/>
      </c>
    </row>
    <row r="493" ht="68.65000000000001" customHeight="1" s="126">
      <c r="A493" t="n">
        <v>493</v>
      </c>
      <c r="B493" s="30">
        <f>IF('MSR RAW'!$A$3="","",'MSR RAW'!$A$3)</f>
        <v/>
      </c>
      <c r="C493">
        <f>IF(LEFT(TRIM('MSR RAW'!A493),11)="Department:",TRIM('MSR RAW'!A493),C492)</f>
        <v/>
      </c>
      <c r="D493">
        <f>IF(LEFT(TRIM('MSR RAW'!B493),9)="Location:",TRIM(MID('MSR RAW'!B493,10,999)),D492)</f>
        <v/>
      </c>
      <c r="E493">
        <f>IF(AND(ISNUMBER(SEARCH(" - ",TRIM('MSR RAW'!C493))),RIGHT(TRIM('MSR RAW'!C493),6)="Total:"),LEFT(TRIM('MSR RAW'!C493),SEARCH(" - ",TRIM('MSR RAW'!C493))-1),"")</f>
        <v/>
      </c>
      <c r="F493">
        <f>IF(E493="","",TRIM(MID(TRIM('MSR RAW'!C493),SEARCH(" - ",TRIM('MSR RAW'!C493))+3,LEN(TRIM('MSR RAW'!C493))-SEARCH(" - ",TRIM('MSR RAW'!C493))-9)))</f>
        <v/>
      </c>
      <c r="G493">
        <f>IF(E493="","",IFERROR(VLOOKUP(E493,'CATEGORY MAP'!$A$2:$B$20,2,FALSE()),"REVIEW"))</f>
        <v/>
      </c>
      <c r="H493">
        <f>IF(E493="","",IFERROR(VALUE(SUBSTITUTE('MSR RAW'!P493,",","")),0))</f>
        <v/>
      </c>
      <c r="I493">
        <f>IF(E493="","",IFERROR(VALUE(SUBSTITUTE('MSR RAW'!S493,",","")),0))</f>
        <v/>
      </c>
    </row>
    <row r="494" ht="68.65000000000001" customHeight="1" s="126">
      <c r="A494" t="n">
        <v>494</v>
      </c>
      <c r="B494" s="30">
        <f>IF('MSR RAW'!$A$3="","",'MSR RAW'!$A$3)</f>
        <v/>
      </c>
      <c r="C494">
        <f>IF(LEFT(TRIM('MSR RAW'!A494),11)="Department:",TRIM('MSR RAW'!A494),C493)</f>
        <v/>
      </c>
      <c r="D494">
        <f>IF(LEFT(TRIM('MSR RAW'!B494),9)="Location:",TRIM(MID('MSR RAW'!B494,10,999)),D493)</f>
        <v/>
      </c>
      <c r="E494">
        <f>IF(AND(ISNUMBER(SEARCH(" - ",TRIM('MSR RAW'!C494))),RIGHT(TRIM('MSR RAW'!C494),6)="Total:"),LEFT(TRIM('MSR RAW'!C494),SEARCH(" - ",TRIM('MSR RAW'!C494))-1),"")</f>
        <v/>
      </c>
      <c r="F494">
        <f>IF(E494="","",TRIM(MID(TRIM('MSR RAW'!C494),SEARCH(" - ",TRIM('MSR RAW'!C494))+3,LEN(TRIM('MSR RAW'!C494))-SEARCH(" - ",TRIM('MSR RAW'!C494))-9)))</f>
        <v/>
      </c>
      <c r="G494">
        <f>IF(E494="","",IFERROR(VLOOKUP(E494,'CATEGORY MAP'!$A$2:$B$20,2,FALSE()),"REVIEW"))</f>
        <v/>
      </c>
      <c r="H494">
        <f>IF(E494="","",IFERROR(VALUE(SUBSTITUTE('MSR RAW'!P494,",","")),0))</f>
        <v/>
      </c>
      <c r="I494">
        <f>IF(E494="","",IFERROR(VALUE(SUBSTITUTE('MSR RAW'!S494,",","")),0))</f>
        <v/>
      </c>
    </row>
    <row r="495" ht="68.65000000000001" customHeight="1" s="126">
      <c r="A495" t="n">
        <v>495</v>
      </c>
      <c r="B495" s="30">
        <f>IF('MSR RAW'!$A$3="","",'MSR RAW'!$A$3)</f>
        <v/>
      </c>
      <c r="C495">
        <f>IF(LEFT(TRIM('MSR RAW'!A495),11)="Department:",TRIM('MSR RAW'!A495),C494)</f>
        <v/>
      </c>
      <c r="D495">
        <f>IF(LEFT(TRIM('MSR RAW'!B495),9)="Location:",TRIM(MID('MSR RAW'!B495,10,999)),D494)</f>
        <v/>
      </c>
      <c r="E495">
        <f>IF(AND(ISNUMBER(SEARCH(" - ",TRIM('MSR RAW'!C495))),RIGHT(TRIM('MSR RAW'!C495),6)="Total:"),LEFT(TRIM('MSR RAW'!C495),SEARCH(" - ",TRIM('MSR RAW'!C495))-1),"")</f>
        <v/>
      </c>
      <c r="F495">
        <f>IF(E495="","",TRIM(MID(TRIM('MSR RAW'!C495),SEARCH(" - ",TRIM('MSR RAW'!C495))+3,LEN(TRIM('MSR RAW'!C495))-SEARCH(" - ",TRIM('MSR RAW'!C495))-9)))</f>
        <v/>
      </c>
      <c r="G495">
        <f>IF(E495="","",IFERROR(VLOOKUP(E495,'CATEGORY MAP'!$A$2:$B$20,2,FALSE()),"REVIEW"))</f>
        <v/>
      </c>
      <c r="H495">
        <f>IF(E495="","",IFERROR(VALUE(SUBSTITUTE('MSR RAW'!P495,",","")),0))</f>
        <v/>
      </c>
      <c r="I495">
        <f>IF(E495="","",IFERROR(VALUE(SUBSTITUTE('MSR RAW'!S495,",","")),0))</f>
        <v/>
      </c>
    </row>
    <row r="496" ht="68.65000000000001" customHeight="1" s="126">
      <c r="A496" t="n">
        <v>496</v>
      </c>
      <c r="B496" s="30">
        <f>IF('MSR RAW'!$A$3="","",'MSR RAW'!$A$3)</f>
        <v/>
      </c>
      <c r="C496">
        <f>IF(LEFT(TRIM('MSR RAW'!A496),11)="Department:",TRIM('MSR RAW'!A496),C495)</f>
        <v/>
      </c>
      <c r="D496">
        <f>IF(LEFT(TRIM('MSR RAW'!B496),9)="Location:",TRIM(MID('MSR RAW'!B496,10,999)),D495)</f>
        <v/>
      </c>
      <c r="E496">
        <f>IF(AND(ISNUMBER(SEARCH(" - ",TRIM('MSR RAW'!C496))),RIGHT(TRIM('MSR RAW'!C496),6)="Total:"),LEFT(TRIM('MSR RAW'!C496),SEARCH(" - ",TRIM('MSR RAW'!C496))-1),"")</f>
        <v/>
      </c>
      <c r="F496">
        <f>IF(E496="","",TRIM(MID(TRIM('MSR RAW'!C496),SEARCH(" - ",TRIM('MSR RAW'!C496))+3,LEN(TRIM('MSR RAW'!C496))-SEARCH(" - ",TRIM('MSR RAW'!C496))-9)))</f>
        <v/>
      </c>
      <c r="G496">
        <f>IF(E496="","",IFERROR(VLOOKUP(E496,'CATEGORY MAP'!$A$2:$B$20,2,FALSE()),"REVIEW"))</f>
        <v/>
      </c>
      <c r="H496">
        <f>IF(E496="","",IFERROR(VALUE(SUBSTITUTE('MSR RAW'!P496,",","")),0))</f>
        <v/>
      </c>
      <c r="I496">
        <f>IF(E496="","",IFERROR(VALUE(SUBSTITUTE('MSR RAW'!S496,",","")),0))</f>
        <v/>
      </c>
    </row>
    <row r="497" ht="68.65000000000001" customHeight="1" s="126">
      <c r="A497" t="n">
        <v>497</v>
      </c>
      <c r="B497" s="30">
        <f>IF('MSR RAW'!$A$3="","",'MSR RAW'!$A$3)</f>
        <v/>
      </c>
      <c r="C497">
        <f>IF(LEFT(TRIM('MSR RAW'!A497),11)="Department:",TRIM('MSR RAW'!A497),C496)</f>
        <v/>
      </c>
      <c r="D497">
        <f>IF(LEFT(TRIM('MSR RAW'!B497),9)="Location:",TRIM(MID('MSR RAW'!B497,10,999)),D496)</f>
        <v/>
      </c>
      <c r="E497">
        <f>IF(AND(ISNUMBER(SEARCH(" - ",TRIM('MSR RAW'!C497))),RIGHT(TRIM('MSR RAW'!C497),6)="Total:"),LEFT(TRIM('MSR RAW'!C497),SEARCH(" - ",TRIM('MSR RAW'!C497))-1),"")</f>
        <v/>
      </c>
      <c r="F497">
        <f>IF(E497="","",TRIM(MID(TRIM('MSR RAW'!C497),SEARCH(" - ",TRIM('MSR RAW'!C497))+3,LEN(TRIM('MSR RAW'!C497))-SEARCH(" - ",TRIM('MSR RAW'!C497))-9)))</f>
        <v/>
      </c>
      <c r="G497">
        <f>IF(E497="","",IFERROR(VLOOKUP(E497,'CATEGORY MAP'!$A$2:$B$20,2,FALSE()),"REVIEW"))</f>
        <v/>
      </c>
      <c r="H497">
        <f>IF(E497="","",IFERROR(VALUE(SUBSTITUTE('MSR RAW'!P497,",","")),0))</f>
        <v/>
      </c>
      <c r="I497">
        <f>IF(E497="","",IFERROR(VALUE(SUBSTITUTE('MSR RAW'!S497,",","")),0))</f>
        <v/>
      </c>
    </row>
    <row r="498" ht="68.65000000000001" customHeight="1" s="126">
      <c r="A498" t="n">
        <v>498</v>
      </c>
      <c r="B498" s="30">
        <f>IF('MSR RAW'!$A$3="","",'MSR RAW'!$A$3)</f>
        <v/>
      </c>
      <c r="C498">
        <f>IF(LEFT(TRIM('MSR RAW'!A498),11)="Department:",TRIM('MSR RAW'!A498),C497)</f>
        <v/>
      </c>
      <c r="D498">
        <f>IF(LEFT(TRIM('MSR RAW'!B498),9)="Location:",TRIM(MID('MSR RAW'!B498,10,999)),D497)</f>
        <v/>
      </c>
      <c r="E498">
        <f>IF(AND(ISNUMBER(SEARCH(" - ",TRIM('MSR RAW'!C498))),RIGHT(TRIM('MSR RAW'!C498),6)="Total:"),LEFT(TRIM('MSR RAW'!C498),SEARCH(" - ",TRIM('MSR RAW'!C498))-1),"")</f>
        <v/>
      </c>
      <c r="F498">
        <f>IF(E498="","",TRIM(MID(TRIM('MSR RAW'!C498),SEARCH(" - ",TRIM('MSR RAW'!C498))+3,LEN(TRIM('MSR RAW'!C498))-SEARCH(" - ",TRIM('MSR RAW'!C498))-9)))</f>
        <v/>
      </c>
      <c r="G498">
        <f>IF(E498="","",IFERROR(VLOOKUP(E498,'CATEGORY MAP'!$A$2:$B$20,2,FALSE()),"REVIEW"))</f>
        <v/>
      </c>
      <c r="H498">
        <f>IF(E498="","",IFERROR(VALUE(SUBSTITUTE('MSR RAW'!P498,",","")),0))</f>
        <v/>
      </c>
      <c r="I498">
        <f>IF(E498="","",IFERROR(VALUE(SUBSTITUTE('MSR RAW'!S498,",","")),0))</f>
        <v/>
      </c>
    </row>
    <row r="499" ht="68.65000000000001" customHeight="1" s="126">
      <c r="A499" t="n">
        <v>499</v>
      </c>
      <c r="B499" s="30">
        <f>IF('MSR RAW'!$A$3="","",'MSR RAW'!$A$3)</f>
        <v/>
      </c>
      <c r="C499">
        <f>IF(LEFT(TRIM('MSR RAW'!A499),11)="Department:",TRIM('MSR RAW'!A499),C498)</f>
        <v/>
      </c>
      <c r="D499">
        <f>IF(LEFT(TRIM('MSR RAW'!B499),9)="Location:",TRIM(MID('MSR RAW'!B499,10,999)),D498)</f>
        <v/>
      </c>
      <c r="E499">
        <f>IF(AND(ISNUMBER(SEARCH(" - ",TRIM('MSR RAW'!C499))),RIGHT(TRIM('MSR RAW'!C499),6)="Total:"),LEFT(TRIM('MSR RAW'!C499),SEARCH(" - ",TRIM('MSR RAW'!C499))-1),"")</f>
        <v/>
      </c>
      <c r="F499">
        <f>IF(E499="","",TRIM(MID(TRIM('MSR RAW'!C499),SEARCH(" - ",TRIM('MSR RAW'!C499))+3,LEN(TRIM('MSR RAW'!C499))-SEARCH(" - ",TRIM('MSR RAW'!C499))-9)))</f>
        <v/>
      </c>
      <c r="G499">
        <f>IF(E499="","",IFERROR(VLOOKUP(E499,'CATEGORY MAP'!$A$2:$B$20,2,FALSE()),"REVIEW"))</f>
        <v/>
      </c>
      <c r="H499">
        <f>IF(E499="","",IFERROR(VALUE(SUBSTITUTE('MSR RAW'!P499,",","")),0))</f>
        <v/>
      </c>
      <c r="I499">
        <f>IF(E499="","",IFERROR(VALUE(SUBSTITUTE('MSR RAW'!S499,",","")),0))</f>
        <v/>
      </c>
    </row>
    <row r="500" ht="68.65000000000001" customHeight="1" s="126">
      <c r="A500" t="n">
        <v>500</v>
      </c>
      <c r="B500" s="30">
        <f>IF('MSR RAW'!$A$3="","",'MSR RAW'!$A$3)</f>
        <v/>
      </c>
      <c r="C500">
        <f>IF(LEFT(TRIM('MSR RAW'!A500),11)="Department:",TRIM('MSR RAW'!A500),C499)</f>
        <v/>
      </c>
      <c r="D500">
        <f>IF(LEFT(TRIM('MSR RAW'!B500),9)="Location:",TRIM(MID('MSR RAW'!B500,10,999)),D499)</f>
        <v/>
      </c>
      <c r="E500">
        <f>IF(AND(ISNUMBER(SEARCH(" - ",TRIM('MSR RAW'!C500))),RIGHT(TRIM('MSR RAW'!C500),6)="Total:"),LEFT(TRIM('MSR RAW'!C500),SEARCH(" - ",TRIM('MSR RAW'!C500))-1),"")</f>
        <v/>
      </c>
      <c r="F500">
        <f>IF(E500="","",TRIM(MID(TRIM('MSR RAW'!C500),SEARCH(" - ",TRIM('MSR RAW'!C500))+3,LEN(TRIM('MSR RAW'!C500))-SEARCH(" - ",TRIM('MSR RAW'!C500))-9)))</f>
        <v/>
      </c>
      <c r="G500">
        <f>IF(E500="","",IFERROR(VLOOKUP(E500,'CATEGORY MAP'!$A$2:$B$20,2,FALSE()),"REVIEW"))</f>
        <v/>
      </c>
      <c r="H500">
        <f>IF(E500="","",IFERROR(VALUE(SUBSTITUTE('MSR RAW'!P500,",","")),0))</f>
        <v/>
      </c>
      <c r="I500">
        <f>IF(E500="","",IFERROR(VALUE(SUBSTITUTE('MSR RAW'!S500,",","")),0))</f>
        <v/>
      </c>
    </row>
    <row r="501" ht="68.65000000000001" customHeight="1" s="126">
      <c r="A501" t="n">
        <v>501</v>
      </c>
      <c r="B501" s="30">
        <f>IF('MSR RAW'!$A$3="","",'MSR RAW'!$A$3)</f>
        <v/>
      </c>
      <c r="C501">
        <f>IF(LEFT(TRIM('MSR RAW'!A501),11)="Department:",TRIM('MSR RAW'!A501),C500)</f>
        <v/>
      </c>
      <c r="D501">
        <f>IF(LEFT(TRIM('MSR RAW'!B501),9)="Location:",TRIM(MID('MSR RAW'!B501,10,999)),D500)</f>
        <v/>
      </c>
      <c r="E501">
        <f>IF(AND(ISNUMBER(SEARCH(" - ",TRIM('MSR RAW'!C501))),RIGHT(TRIM('MSR RAW'!C501),6)="Total:"),LEFT(TRIM('MSR RAW'!C501),SEARCH(" - ",TRIM('MSR RAW'!C501))-1),"")</f>
        <v/>
      </c>
      <c r="F501">
        <f>IF(E501="","",TRIM(MID(TRIM('MSR RAW'!C501),SEARCH(" - ",TRIM('MSR RAW'!C501))+3,LEN(TRIM('MSR RAW'!C501))-SEARCH(" - ",TRIM('MSR RAW'!C501))-9)))</f>
        <v/>
      </c>
      <c r="G501">
        <f>IF(E501="","",IFERROR(VLOOKUP(E501,'CATEGORY MAP'!$A$2:$B$20,2,FALSE()),"REVIEW"))</f>
        <v/>
      </c>
      <c r="H501">
        <f>IF(E501="","",IFERROR(VALUE(SUBSTITUTE('MSR RAW'!P501,",","")),0))</f>
        <v/>
      </c>
      <c r="I501">
        <f>IF(E501="","",IFERROR(VALUE(SUBSTITUTE('MSR RAW'!S501,",","")),0))</f>
        <v/>
      </c>
    </row>
    <row r="502" ht="68.65000000000001" customHeight="1" s="126">
      <c r="A502" t="n">
        <v>502</v>
      </c>
      <c r="B502" s="30">
        <f>IF('MSR RAW'!$A$3="","",'MSR RAW'!$A$3)</f>
        <v/>
      </c>
      <c r="C502">
        <f>IF(LEFT(TRIM('MSR RAW'!A502),11)="Department:",TRIM('MSR RAW'!A502),C501)</f>
        <v/>
      </c>
      <c r="D502">
        <f>IF(LEFT(TRIM('MSR RAW'!B502),9)="Location:",TRIM(MID('MSR RAW'!B502,10,999)),D501)</f>
        <v/>
      </c>
      <c r="E502">
        <f>IF(AND(ISNUMBER(SEARCH(" - ",TRIM('MSR RAW'!C502))),RIGHT(TRIM('MSR RAW'!C502),6)="Total:"),LEFT(TRIM('MSR RAW'!C502),SEARCH(" - ",TRIM('MSR RAW'!C502))-1),"")</f>
        <v/>
      </c>
      <c r="F502">
        <f>IF(E502="","",TRIM(MID(TRIM('MSR RAW'!C502),SEARCH(" - ",TRIM('MSR RAW'!C502))+3,LEN(TRIM('MSR RAW'!C502))-SEARCH(" - ",TRIM('MSR RAW'!C502))-9)))</f>
        <v/>
      </c>
      <c r="G502">
        <f>IF(E502="","",IFERROR(VLOOKUP(E502,'CATEGORY MAP'!$A$2:$B$20,2,FALSE()),"REVIEW"))</f>
        <v/>
      </c>
      <c r="H502">
        <f>IF(E502="","",IFERROR(VALUE(SUBSTITUTE('MSR RAW'!P502,",","")),0))</f>
        <v/>
      </c>
      <c r="I502">
        <f>IF(E502="","",IFERROR(VALUE(SUBSTITUTE('MSR RAW'!S502,",","")),0))</f>
        <v/>
      </c>
    </row>
    <row r="503" ht="68.65000000000001" customHeight="1" s="126">
      <c r="A503" t="n">
        <v>503</v>
      </c>
      <c r="B503" s="30">
        <f>IF('MSR RAW'!$A$3="","",'MSR RAW'!$A$3)</f>
        <v/>
      </c>
      <c r="C503">
        <f>IF(LEFT(TRIM('MSR RAW'!A503),11)="Department:",TRIM('MSR RAW'!A503),C502)</f>
        <v/>
      </c>
      <c r="D503">
        <f>IF(LEFT(TRIM('MSR RAW'!B503),9)="Location:",TRIM(MID('MSR RAW'!B503,10,999)),D502)</f>
        <v/>
      </c>
      <c r="E503">
        <f>IF(AND(ISNUMBER(SEARCH(" - ",TRIM('MSR RAW'!C503))),RIGHT(TRIM('MSR RAW'!C503),6)="Total:"),LEFT(TRIM('MSR RAW'!C503),SEARCH(" - ",TRIM('MSR RAW'!C503))-1),"")</f>
        <v/>
      </c>
      <c r="F503">
        <f>IF(E503="","",TRIM(MID(TRIM('MSR RAW'!C503),SEARCH(" - ",TRIM('MSR RAW'!C503))+3,LEN(TRIM('MSR RAW'!C503))-SEARCH(" - ",TRIM('MSR RAW'!C503))-9)))</f>
        <v/>
      </c>
      <c r="G503">
        <f>IF(E503="","",IFERROR(VLOOKUP(E503,'CATEGORY MAP'!$A$2:$B$20,2,FALSE()),"REVIEW"))</f>
        <v/>
      </c>
      <c r="H503">
        <f>IF(E503="","",IFERROR(VALUE(SUBSTITUTE('MSR RAW'!P503,",","")),0))</f>
        <v/>
      </c>
      <c r="I503">
        <f>IF(E503="","",IFERROR(VALUE(SUBSTITUTE('MSR RAW'!S503,",","")),0))</f>
        <v/>
      </c>
    </row>
    <row r="504" ht="68.65000000000001" customHeight="1" s="126">
      <c r="A504" t="n">
        <v>504</v>
      </c>
      <c r="B504" s="30">
        <f>IF('MSR RAW'!$A$3="","",'MSR RAW'!$A$3)</f>
        <v/>
      </c>
      <c r="C504">
        <f>IF(LEFT(TRIM('MSR RAW'!A504),11)="Department:",TRIM('MSR RAW'!A504),C503)</f>
        <v/>
      </c>
      <c r="D504">
        <f>IF(LEFT(TRIM('MSR RAW'!B504),9)="Location:",TRIM(MID('MSR RAW'!B504,10,999)),D503)</f>
        <v/>
      </c>
      <c r="E504">
        <f>IF(AND(ISNUMBER(SEARCH(" - ",TRIM('MSR RAW'!C504))),RIGHT(TRIM('MSR RAW'!C504),6)="Total:"),LEFT(TRIM('MSR RAW'!C504),SEARCH(" - ",TRIM('MSR RAW'!C504))-1),"")</f>
        <v/>
      </c>
      <c r="F504">
        <f>IF(E504="","",TRIM(MID(TRIM('MSR RAW'!C504),SEARCH(" - ",TRIM('MSR RAW'!C504))+3,LEN(TRIM('MSR RAW'!C504))-SEARCH(" - ",TRIM('MSR RAW'!C504))-9)))</f>
        <v/>
      </c>
      <c r="G504">
        <f>IF(E504="","",IFERROR(VLOOKUP(E504,'CATEGORY MAP'!$A$2:$B$20,2,FALSE()),"REVIEW"))</f>
        <v/>
      </c>
      <c r="H504">
        <f>IF(E504="","",IFERROR(VALUE(SUBSTITUTE('MSR RAW'!P504,",","")),0))</f>
        <v/>
      </c>
      <c r="I504">
        <f>IF(E504="","",IFERROR(VALUE(SUBSTITUTE('MSR RAW'!S504,",","")),0))</f>
        <v/>
      </c>
    </row>
    <row r="505" ht="68.65000000000001" customHeight="1" s="126">
      <c r="A505" t="n">
        <v>505</v>
      </c>
      <c r="B505" s="30">
        <f>IF('MSR RAW'!$A$3="","",'MSR RAW'!$A$3)</f>
        <v/>
      </c>
      <c r="C505">
        <f>IF(LEFT(TRIM('MSR RAW'!A505),11)="Department:",TRIM('MSR RAW'!A505),C504)</f>
        <v/>
      </c>
      <c r="D505">
        <f>IF(LEFT(TRIM('MSR RAW'!B505),9)="Location:",TRIM(MID('MSR RAW'!B505,10,999)),D504)</f>
        <v/>
      </c>
      <c r="E505">
        <f>IF(AND(ISNUMBER(SEARCH(" - ",TRIM('MSR RAW'!C505))),RIGHT(TRIM('MSR RAW'!C505),6)="Total:"),LEFT(TRIM('MSR RAW'!C505),SEARCH(" - ",TRIM('MSR RAW'!C505))-1),"")</f>
        <v/>
      </c>
      <c r="F505">
        <f>IF(E505="","",TRIM(MID(TRIM('MSR RAW'!C505),SEARCH(" - ",TRIM('MSR RAW'!C505))+3,LEN(TRIM('MSR RAW'!C505))-SEARCH(" - ",TRIM('MSR RAW'!C505))-9)))</f>
        <v/>
      </c>
      <c r="G505">
        <f>IF(E505="","",IFERROR(VLOOKUP(E505,'CATEGORY MAP'!$A$2:$B$20,2,FALSE()),"REVIEW"))</f>
        <v/>
      </c>
      <c r="H505">
        <f>IF(E505="","",IFERROR(VALUE(SUBSTITUTE('MSR RAW'!P505,",","")),0))</f>
        <v/>
      </c>
      <c r="I505">
        <f>IF(E505="","",IFERROR(VALUE(SUBSTITUTE('MSR RAW'!S505,",","")),0))</f>
        <v/>
      </c>
    </row>
    <row r="506" ht="68.65000000000001" customHeight="1" s="126">
      <c r="A506" t="n">
        <v>506</v>
      </c>
      <c r="B506" s="30">
        <f>IF('MSR RAW'!$A$3="","",'MSR RAW'!$A$3)</f>
        <v/>
      </c>
      <c r="C506">
        <f>IF(LEFT(TRIM('MSR RAW'!A506),11)="Department:",TRIM('MSR RAW'!A506),C505)</f>
        <v/>
      </c>
      <c r="D506">
        <f>IF(LEFT(TRIM('MSR RAW'!B506),9)="Location:",TRIM(MID('MSR RAW'!B506,10,999)),D505)</f>
        <v/>
      </c>
      <c r="E506">
        <f>IF(AND(ISNUMBER(SEARCH(" - ",TRIM('MSR RAW'!C506))),RIGHT(TRIM('MSR RAW'!C506),6)="Total:"),LEFT(TRIM('MSR RAW'!C506),SEARCH(" - ",TRIM('MSR RAW'!C506))-1),"")</f>
        <v/>
      </c>
      <c r="F506">
        <f>IF(E506="","",TRIM(MID(TRIM('MSR RAW'!C506),SEARCH(" - ",TRIM('MSR RAW'!C506))+3,LEN(TRIM('MSR RAW'!C506))-SEARCH(" - ",TRIM('MSR RAW'!C506))-9)))</f>
        <v/>
      </c>
      <c r="G506">
        <f>IF(E506="","",IFERROR(VLOOKUP(E506,'CATEGORY MAP'!$A$2:$B$20,2,FALSE()),"REVIEW"))</f>
        <v/>
      </c>
      <c r="H506">
        <f>IF(E506="","",IFERROR(VALUE(SUBSTITUTE('MSR RAW'!P506,",","")),0))</f>
        <v/>
      </c>
      <c r="I506">
        <f>IF(E506="","",IFERROR(VALUE(SUBSTITUTE('MSR RAW'!S506,",","")),0))</f>
        <v/>
      </c>
    </row>
    <row r="507" ht="68.65000000000001" customHeight="1" s="126">
      <c r="A507" t="n">
        <v>507</v>
      </c>
      <c r="B507" s="30">
        <f>IF('MSR RAW'!$A$3="","",'MSR RAW'!$A$3)</f>
        <v/>
      </c>
      <c r="C507">
        <f>IF(LEFT(TRIM('MSR RAW'!A507),11)="Department:",TRIM('MSR RAW'!A507),C506)</f>
        <v/>
      </c>
      <c r="D507">
        <f>IF(LEFT(TRIM('MSR RAW'!B507),9)="Location:",TRIM(MID('MSR RAW'!B507,10,999)),D506)</f>
        <v/>
      </c>
      <c r="E507">
        <f>IF(AND(ISNUMBER(SEARCH(" - ",TRIM('MSR RAW'!C507))),RIGHT(TRIM('MSR RAW'!C507),6)="Total:"),LEFT(TRIM('MSR RAW'!C507),SEARCH(" - ",TRIM('MSR RAW'!C507))-1),"")</f>
        <v/>
      </c>
      <c r="F507">
        <f>IF(E507="","",TRIM(MID(TRIM('MSR RAW'!C507),SEARCH(" - ",TRIM('MSR RAW'!C507))+3,LEN(TRIM('MSR RAW'!C507))-SEARCH(" - ",TRIM('MSR RAW'!C507))-9)))</f>
        <v/>
      </c>
      <c r="G507">
        <f>IF(E507="","",IFERROR(VLOOKUP(E507,'CATEGORY MAP'!$A$2:$B$20,2,FALSE()),"REVIEW"))</f>
        <v/>
      </c>
      <c r="H507">
        <f>IF(E507="","",IFERROR(VALUE(SUBSTITUTE('MSR RAW'!P507,",","")),0))</f>
        <v/>
      </c>
      <c r="I507">
        <f>IF(E507="","",IFERROR(VALUE(SUBSTITUTE('MSR RAW'!S507,",","")),0))</f>
        <v/>
      </c>
    </row>
    <row r="508" ht="68.65000000000001" customHeight="1" s="126">
      <c r="A508" t="n">
        <v>508</v>
      </c>
      <c r="B508" s="30">
        <f>IF('MSR RAW'!$A$3="","",'MSR RAW'!$A$3)</f>
        <v/>
      </c>
      <c r="C508">
        <f>IF(LEFT(TRIM('MSR RAW'!A508),11)="Department:",TRIM('MSR RAW'!A508),C507)</f>
        <v/>
      </c>
      <c r="D508">
        <f>IF(LEFT(TRIM('MSR RAW'!B508),9)="Location:",TRIM(MID('MSR RAW'!B508,10,999)),D507)</f>
        <v/>
      </c>
      <c r="E508">
        <f>IF(AND(ISNUMBER(SEARCH(" - ",TRIM('MSR RAW'!C508))),RIGHT(TRIM('MSR RAW'!C508),6)="Total:"),LEFT(TRIM('MSR RAW'!C508),SEARCH(" - ",TRIM('MSR RAW'!C508))-1),"")</f>
        <v/>
      </c>
      <c r="F508">
        <f>IF(E508="","",TRIM(MID(TRIM('MSR RAW'!C508),SEARCH(" - ",TRIM('MSR RAW'!C508))+3,LEN(TRIM('MSR RAW'!C508))-SEARCH(" - ",TRIM('MSR RAW'!C508))-9)))</f>
        <v/>
      </c>
      <c r="G508">
        <f>IF(E508="","",IFERROR(VLOOKUP(E508,'CATEGORY MAP'!$A$2:$B$20,2,FALSE()),"REVIEW"))</f>
        <v/>
      </c>
      <c r="H508">
        <f>IF(E508="","",IFERROR(VALUE(SUBSTITUTE('MSR RAW'!P508,",","")),0))</f>
        <v/>
      </c>
      <c r="I508">
        <f>IF(E508="","",IFERROR(VALUE(SUBSTITUTE('MSR RAW'!S508,",","")),0))</f>
        <v/>
      </c>
    </row>
    <row r="509" ht="68.65000000000001" customHeight="1" s="126">
      <c r="A509" t="n">
        <v>509</v>
      </c>
      <c r="B509" s="30">
        <f>IF('MSR RAW'!$A$3="","",'MSR RAW'!$A$3)</f>
        <v/>
      </c>
      <c r="C509">
        <f>IF(LEFT(TRIM('MSR RAW'!A509),11)="Department:",TRIM('MSR RAW'!A509),C508)</f>
        <v/>
      </c>
      <c r="D509">
        <f>IF(LEFT(TRIM('MSR RAW'!B509),9)="Location:",TRIM(MID('MSR RAW'!B509,10,999)),D508)</f>
        <v/>
      </c>
      <c r="E509">
        <f>IF(AND(ISNUMBER(SEARCH(" - ",TRIM('MSR RAW'!C509))),RIGHT(TRIM('MSR RAW'!C509),6)="Total:"),LEFT(TRIM('MSR RAW'!C509),SEARCH(" - ",TRIM('MSR RAW'!C509))-1),"")</f>
        <v/>
      </c>
      <c r="F509">
        <f>IF(E509="","",TRIM(MID(TRIM('MSR RAW'!C509),SEARCH(" - ",TRIM('MSR RAW'!C509))+3,LEN(TRIM('MSR RAW'!C509))-SEARCH(" - ",TRIM('MSR RAW'!C509))-9)))</f>
        <v/>
      </c>
      <c r="G509">
        <f>IF(E509="","",IFERROR(VLOOKUP(E509,'CATEGORY MAP'!$A$2:$B$20,2,FALSE()),"REVIEW"))</f>
        <v/>
      </c>
      <c r="H509">
        <f>IF(E509="","",IFERROR(VALUE(SUBSTITUTE('MSR RAW'!P509,",","")),0))</f>
        <v/>
      </c>
      <c r="I509">
        <f>IF(E509="","",IFERROR(VALUE(SUBSTITUTE('MSR RAW'!S509,",","")),0))</f>
        <v/>
      </c>
    </row>
    <row r="510" ht="68.65000000000001" customHeight="1" s="126">
      <c r="A510" t="n">
        <v>510</v>
      </c>
      <c r="B510" s="30">
        <f>IF('MSR RAW'!$A$3="","",'MSR RAW'!$A$3)</f>
        <v/>
      </c>
      <c r="C510">
        <f>IF(LEFT(TRIM('MSR RAW'!A510),11)="Department:",TRIM('MSR RAW'!A510),C509)</f>
        <v/>
      </c>
      <c r="D510">
        <f>IF(LEFT(TRIM('MSR RAW'!B510),9)="Location:",TRIM(MID('MSR RAW'!B510,10,999)),D509)</f>
        <v/>
      </c>
      <c r="E510">
        <f>IF(AND(ISNUMBER(SEARCH(" - ",TRIM('MSR RAW'!C510))),RIGHT(TRIM('MSR RAW'!C510),6)="Total:"),LEFT(TRIM('MSR RAW'!C510),SEARCH(" - ",TRIM('MSR RAW'!C510))-1),"")</f>
        <v/>
      </c>
      <c r="F510">
        <f>IF(E510="","",TRIM(MID(TRIM('MSR RAW'!C510),SEARCH(" - ",TRIM('MSR RAW'!C510))+3,LEN(TRIM('MSR RAW'!C510))-SEARCH(" - ",TRIM('MSR RAW'!C510))-9)))</f>
        <v/>
      </c>
      <c r="G510">
        <f>IF(E510="","",IFERROR(VLOOKUP(E510,'CATEGORY MAP'!$A$2:$B$20,2,FALSE()),"REVIEW"))</f>
        <v/>
      </c>
      <c r="H510">
        <f>IF(E510="","",IFERROR(VALUE(SUBSTITUTE('MSR RAW'!P510,",","")),0))</f>
        <v/>
      </c>
      <c r="I510">
        <f>IF(E510="","",IFERROR(VALUE(SUBSTITUTE('MSR RAW'!S510,",","")),0))</f>
        <v/>
      </c>
    </row>
    <row r="511" ht="68.65000000000001" customHeight="1" s="126">
      <c r="A511" t="n">
        <v>511</v>
      </c>
      <c r="B511" s="30">
        <f>IF('MSR RAW'!$A$3="","",'MSR RAW'!$A$3)</f>
        <v/>
      </c>
      <c r="C511">
        <f>IF(LEFT(TRIM('MSR RAW'!A511),11)="Department:",TRIM('MSR RAW'!A511),C510)</f>
        <v/>
      </c>
      <c r="D511">
        <f>IF(LEFT(TRIM('MSR RAW'!B511),9)="Location:",TRIM(MID('MSR RAW'!B511,10,999)),D510)</f>
        <v/>
      </c>
      <c r="E511">
        <f>IF(AND(ISNUMBER(SEARCH(" - ",TRIM('MSR RAW'!C511))),RIGHT(TRIM('MSR RAW'!C511),6)="Total:"),LEFT(TRIM('MSR RAW'!C511),SEARCH(" - ",TRIM('MSR RAW'!C511))-1),"")</f>
        <v/>
      </c>
      <c r="F511">
        <f>IF(E511="","",TRIM(MID(TRIM('MSR RAW'!C511),SEARCH(" - ",TRIM('MSR RAW'!C511))+3,LEN(TRIM('MSR RAW'!C511))-SEARCH(" - ",TRIM('MSR RAW'!C511))-9)))</f>
        <v/>
      </c>
      <c r="G511">
        <f>IF(E511="","",IFERROR(VLOOKUP(E511,'CATEGORY MAP'!$A$2:$B$20,2,FALSE()),"REVIEW"))</f>
        <v/>
      </c>
      <c r="H511">
        <f>IF(E511="","",IFERROR(VALUE(SUBSTITUTE('MSR RAW'!P511,",","")),0))</f>
        <v/>
      </c>
      <c r="I511">
        <f>IF(E511="","",IFERROR(VALUE(SUBSTITUTE('MSR RAW'!S511,",","")),0))</f>
        <v/>
      </c>
    </row>
    <row r="512" ht="68.65000000000001" customHeight="1" s="126">
      <c r="A512" t="n">
        <v>512</v>
      </c>
      <c r="B512" s="30">
        <f>IF('MSR RAW'!$A$3="","",'MSR RAW'!$A$3)</f>
        <v/>
      </c>
      <c r="C512">
        <f>IF(LEFT(TRIM('MSR RAW'!A512),11)="Department:",TRIM('MSR RAW'!A512),C511)</f>
        <v/>
      </c>
      <c r="D512">
        <f>IF(LEFT(TRIM('MSR RAW'!B512),9)="Location:",TRIM(MID('MSR RAW'!B512,10,999)),D511)</f>
        <v/>
      </c>
      <c r="E512">
        <f>IF(AND(ISNUMBER(SEARCH(" - ",TRIM('MSR RAW'!C512))),RIGHT(TRIM('MSR RAW'!C512),6)="Total:"),LEFT(TRIM('MSR RAW'!C512),SEARCH(" - ",TRIM('MSR RAW'!C512))-1),"")</f>
        <v/>
      </c>
      <c r="F512">
        <f>IF(E512="","",TRIM(MID(TRIM('MSR RAW'!C512),SEARCH(" - ",TRIM('MSR RAW'!C512))+3,LEN(TRIM('MSR RAW'!C512))-SEARCH(" - ",TRIM('MSR RAW'!C512))-9)))</f>
        <v/>
      </c>
      <c r="G512">
        <f>IF(E512="","",IFERROR(VLOOKUP(E512,'CATEGORY MAP'!$A$2:$B$20,2,FALSE()),"REVIEW"))</f>
        <v/>
      </c>
      <c r="H512">
        <f>IF(E512="","",IFERROR(VALUE(SUBSTITUTE('MSR RAW'!P512,",","")),0))</f>
        <v/>
      </c>
      <c r="I512">
        <f>IF(E512="","",IFERROR(VALUE(SUBSTITUTE('MSR RAW'!S512,",","")),0))</f>
        <v/>
      </c>
    </row>
    <row r="513" ht="68.65000000000001" customHeight="1" s="126">
      <c r="A513" t="n">
        <v>513</v>
      </c>
      <c r="B513" s="30">
        <f>IF('MSR RAW'!$A$3="","",'MSR RAW'!$A$3)</f>
        <v/>
      </c>
      <c r="C513">
        <f>IF(LEFT(TRIM('MSR RAW'!A513),11)="Department:",TRIM('MSR RAW'!A513),C512)</f>
        <v/>
      </c>
      <c r="D513">
        <f>IF(LEFT(TRIM('MSR RAW'!B513),9)="Location:",TRIM(MID('MSR RAW'!B513,10,999)),D512)</f>
        <v/>
      </c>
      <c r="E513">
        <f>IF(AND(ISNUMBER(SEARCH(" - ",TRIM('MSR RAW'!C513))),RIGHT(TRIM('MSR RAW'!C513),6)="Total:"),LEFT(TRIM('MSR RAW'!C513),SEARCH(" - ",TRIM('MSR RAW'!C513))-1),"")</f>
        <v/>
      </c>
      <c r="F513">
        <f>IF(E513="","",TRIM(MID(TRIM('MSR RAW'!C513),SEARCH(" - ",TRIM('MSR RAW'!C513))+3,LEN(TRIM('MSR RAW'!C513))-SEARCH(" - ",TRIM('MSR RAW'!C513))-9)))</f>
        <v/>
      </c>
      <c r="G513">
        <f>IF(E513="","",IFERROR(VLOOKUP(E513,'CATEGORY MAP'!$A$2:$B$20,2,FALSE()),"REVIEW"))</f>
        <v/>
      </c>
      <c r="H513">
        <f>IF(E513="","",IFERROR(VALUE(SUBSTITUTE('MSR RAW'!P513,",","")),0))</f>
        <v/>
      </c>
      <c r="I513">
        <f>IF(E513="","",IFERROR(VALUE(SUBSTITUTE('MSR RAW'!S513,",","")),0))</f>
        <v/>
      </c>
    </row>
    <row r="514" ht="68.65000000000001" customHeight="1" s="126">
      <c r="A514" t="n">
        <v>514</v>
      </c>
      <c r="B514" s="30">
        <f>IF('MSR RAW'!$A$3="","",'MSR RAW'!$A$3)</f>
        <v/>
      </c>
      <c r="C514">
        <f>IF(LEFT(TRIM('MSR RAW'!A514),11)="Department:",TRIM('MSR RAW'!A514),C513)</f>
        <v/>
      </c>
      <c r="D514">
        <f>IF(LEFT(TRIM('MSR RAW'!B514),9)="Location:",TRIM(MID('MSR RAW'!B514,10,999)),D513)</f>
        <v/>
      </c>
      <c r="E514">
        <f>IF(AND(ISNUMBER(SEARCH(" - ",TRIM('MSR RAW'!C514))),RIGHT(TRIM('MSR RAW'!C514),6)="Total:"),LEFT(TRIM('MSR RAW'!C514),SEARCH(" - ",TRIM('MSR RAW'!C514))-1),"")</f>
        <v/>
      </c>
      <c r="F514">
        <f>IF(E514="","",TRIM(MID(TRIM('MSR RAW'!C514),SEARCH(" - ",TRIM('MSR RAW'!C514))+3,LEN(TRIM('MSR RAW'!C514))-SEARCH(" - ",TRIM('MSR RAW'!C514))-9)))</f>
        <v/>
      </c>
      <c r="G514">
        <f>IF(E514="","",IFERROR(VLOOKUP(E514,'CATEGORY MAP'!$A$2:$B$20,2,FALSE()),"REVIEW"))</f>
        <v/>
      </c>
      <c r="H514">
        <f>IF(E514="","",IFERROR(VALUE(SUBSTITUTE('MSR RAW'!P514,",","")),0))</f>
        <v/>
      </c>
      <c r="I514">
        <f>IF(E514="","",IFERROR(VALUE(SUBSTITUTE('MSR RAW'!S514,",","")),0))</f>
        <v/>
      </c>
    </row>
    <row r="515" ht="68.65000000000001" customHeight="1" s="126">
      <c r="A515" t="n">
        <v>515</v>
      </c>
      <c r="B515" s="30">
        <f>IF('MSR RAW'!$A$3="","",'MSR RAW'!$A$3)</f>
        <v/>
      </c>
      <c r="C515">
        <f>IF(LEFT(TRIM('MSR RAW'!A515),11)="Department:",TRIM('MSR RAW'!A515),C514)</f>
        <v/>
      </c>
      <c r="D515">
        <f>IF(LEFT(TRIM('MSR RAW'!B515),9)="Location:",TRIM(MID('MSR RAW'!B515,10,999)),D514)</f>
        <v/>
      </c>
      <c r="E515">
        <f>IF(AND(ISNUMBER(SEARCH(" - ",TRIM('MSR RAW'!C515))),RIGHT(TRIM('MSR RAW'!C515),6)="Total:"),LEFT(TRIM('MSR RAW'!C515),SEARCH(" - ",TRIM('MSR RAW'!C515))-1),"")</f>
        <v/>
      </c>
      <c r="F515">
        <f>IF(E515="","",TRIM(MID(TRIM('MSR RAW'!C515),SEARCH(" - ",TRIM('MSR RAW'!C515))+3,LEN(TRIM('MSR RAW'!C515))-SEARCH(" - ",TRIM('MSR RAW'!C515))-9)))</f>
        <v/>
      </c>
      <c r="G515">
        <f>IF(E515="","",IFERROR(VLOOKUP(E515,'CATEGORY MAP'!$A$2:$B$20,2,FALSE()),"REVIEW"))</f>
        <v/>
      </c>
      <c r="H515">
        <f>IF(E515="","",IFERROR(VALUE(SUBSTITUTE('MSR RAW'!P515,",","")),0))</f>
        <v/>
      </c>
      <c r="I515">
        <f>IF(E515="","",IFERROR(VALUE(SUBSTITUTE('MSR RAW'!S515,",","")),0))</f>
        <v/>
      </c>
    </row>
    <row r="516" ht="68.65000000000001" customHeight="1" s="126">
      <c r="A516" t="n">
        <v>516</v>
      </c>
      <c r="B516" s="30">
        <f>IF('MSR RAW'!$A$3="","",'MSR RAW'!$A$3)</f>
        <v/>
      </c>
      <c r="C516">
        <f>IF(LEFT(TRIM('MSR RAW'!A516),11)="Department:",TRIM('MSR RAW'!A516),C515)</f>
        <v/>
      </c>
      <c r="D516">
        <f>IF(LEFT(TRIM('MSR RAW'!B516),9)="Location:",TRIM(MID('MSR RAW'!B516,10,999)),D515)</f>
        <v/>
      </c>
      <c r="E516">
        <f>IF(AND(ISNUMBER(SEARCH(" - ",TRIM('MSR RAW'!C516))),RIGHT(TRIM('MSR RAW'!C516),6)="Total:"),LEFT(TRIM('MSR RAW'!C516),SEARCH(" - ",TRIM('MSR RAW'!C516))-1),"")</f>
        <v/>
      </c>
      <c r="F516">
        <f>IF(E516="","",TRIM(MID(TRIM('MSR RAW'!C516),SEARCH(" - ",TRIM('MSR RAW'!C516))+3,LEN(TRIM('MSR RAW'!C516))-SEARCH(" - ",TRIM('MSR RAW'!C516))-9)))</f>
        <v/>
      </c>
      <c r="G516">
        <f>IF(E516="","",IFERROR(VLOOKUP(E516,'CATEGORY MAP'!$A$2:$B$20,2,FALSE()),"REVIEW"))</f>
        <v/>
      </c>
      <c r="H516">
        <f>IF(E516="","",IFERROR(VALUE(SUBSTITUTE('MSR RAW'!P516,",","")),0))</f>
        <v/>
      </c>
      <c r="I516">
        <f>IF(E516="","",IFERROR(VALUE(SUBSTITUTE('MSR RAW'!S516,",","")),0))</f>
        <v/>
      </c>
    </row>
    <row r="517" ht="68.65000000000001" customHeight="1" s="126">
      <c r="A517" t="n">
        <v>517</v>
      </c>
      <c r="B517" s="30">
        <f>IF('MSR RAW'!$A$3="","",'MSR RAW'!$A$3)</f>
        <v/>
      </c>
      <c r="C517">
        <f>IF(LEFT(TRIM('MSR RAW'!A517),11)="Department:",TRIM('MSR RAW'!A517),C516)</f>
        <v/>
      </c>
      <c r="D517">
        <f>IF(LEFT(TRIM('MSR RAW'!B517),9)="Location:",TRIM(MID('MSR RAW'!B517,10,999)),D516)</f>
        <v/>
      </c>
      <c r="E517">
        <f>IF(AND(ISNUMBER(SEARCH(" - ",TRIM('MSR RAW'!C517))),RIGHT(TRIM('MSR RAW'!C517),6)="Total:"),LEFT(TRIM('MSR RAW'!C517),SEARCH(" - ",TRIM('MSR RAW'!C517))-1),"")</f>
        <v/>
      </c>
      <c r="F517">
        <f>IF(E517="","",TRIM(MID(TRIM('MSR RAW'!C517),SEARCH(" - ",TRIM('MSR RAW'!C517))+3,LEN(TRIM('MSR RAW'!C517))-SEARCH(" - ",TRIM('MSR RAW'!C517))-9)))</f>
        <v/>
      </c>
      <c r="G517">
        <f>IF(E517="","",IFERROR(VLOOKUP(E517,'CATEGORY MAP'!$A$2:$B$20,2,FALSE()),"REVIEW"))</f>
        <v/>
      </c>
      <c r="H517">
        <f>IF(E517="","",IFERROR(VALUE(SUBSTITUTE('MSR RAW'!P517,",","")),0))</f>
        <v/>
      </c>
      <c r="I517">
        <f>IF(E517="","",IFERROR(VALUE(SUBSTITUTE('MSR RAW'!S517,",","")),0))</f>
        <v/>
      </c>
    </row>
    <row r="518" ht="68.65000000000001" customHeight="1" s="126">
      <c r="A518" t="n">
        <v>518</v>
      </c>
      <c r="B518" s="30">
        <f>IF('MSR RAW'!$A$3="","",'MSR RAW'!$A$3)</f>
        <v/>
      </c>
      <c r="C518">
        <f>IF(LEFT(TRIM('MSR RAW'!A518),11)="Department:",TRIM('MSR RAW'!A518),C517)</f>
        <v/>
      </c>
      <c r="D518">
        <f>IF(LEFT(TRIM('MSR RAW'!B518),9)="Location:",TRIM(MID('MSR RAW'!B518,10,999)),D517)</f>
        <v/>
      </c>
      <c r="E518">
        <f>IF(AND(ISNUMBER(SEARCH(" - ",TRIM('MSR RAW'!C518))),RIGHT(TRIM('MSR RAW'!C518),6)="Total:"),LEFT(TRIM('MSR RAW'!C518),SEARCH(" - ",TRIM('MSR RAW'!C518))-1),"")</f>
        <v/>
      </c>
      <c r="F518">
        <f>IF(E518="","",TRIM(MID(TRIM('MSR RAW'!C518),SEARCH(" - ",TRIM('MSR RAW'!C518))+3,LEN(TRIM('MSR RAW'!C518))-SEARCH(" - ",TRIM('MSR RAW'!C518))-9)))</f>
        <v/>
      </c>
      <c r="G518">
        <f>IF(E518="","",IFERROR(VLOOKUP(E518,'CATEGORY MAP'!$A$2:$B$20,2,FALSE()),"REVIEW"))</f>
        <v/>
      </c>
      <c r="H518">
        <f>IF(E518="","",IFERROR(VALUE(SUBSTITUTE('MSR RAW'!P518,",","")),0))</f>
        <v/>
      </c>
      <c r="I518">
        <f>IF(E518="","",IFERROR(VALUE(SUBSTITUTE('MSR RAW'!S518,",","")),0))</f>
        <v/>
      </c>
    </row>
    <row r="519" ht="68.65000000000001" customHeight="1" s="126">
      <c r="A519" t="n">
        <v>519</v>
      </c>
      <c r="B519" s="30">
        <f>IF('MSR RAW'!$A$3="","",'MSR RAW'!$A$3)</f>
        <v/>
      </c>
      <c r="C519">
        <f>IF(LEFT(TRIM('MSR RAW'!A519),11)="Department:",TRIM('MSR RAW'!A519),C518)</f>
        <v/>
      </c>
      <c r="D519">
        <f>IF(LEFT(TRIM('MSR RAW'!B519),9)="Location:",TRIM(MID('MSR RAW'!B519,10,999)),D518)</f>
        <v/>
      </c>
      <c r="E519">
        <f>IF(AND(ISNUMBER(SEARCH(" - ",TRIM('MSR RAW'!C519))),RIGHT(TRIM('MSR RAW'!C519),6)="Total:"),LEFT(TRIM('MSR RAW'!C519),SEARCH(" - ",TRIM('MSR RAW'!C519))-1),"")</f>
        <v/>
      </c>
      <c r="F519">
        <f>IF(E519="","",TRIM(MID(TRIM('MSR RAW'!C519),SEARCH(" - ",TRIM('MSR RAW'!C519))+3,LEN(TRIM('MSR RAW'!C519))-SEARCH(" - ",TRIM('MSR RAW'!C519))-9)))</f>
        <v/>
      </c>
      <c r="G519">
        <f>IF(E519="","",IFERROR(VLOOKUP(E519,'CATEGORY MAP'!$A$2:$B$20,2,FALSE()),"REVIEW"))</f>
        <v/>
      </c>
      <c r="H519">
        <f>IF(E519="","",IFERROR(VALUE(SUBSTITUTE('MSR RAW'!P519,",","")),0))</f>
        <v/>
      </c>
      <c r="I519">
        <f>IF(E519="","",IFERROR(VALUE(SUBSTITUTE('MSR RAW'!S519,",","")),0))</f>
        <v/>
      </c>
    </row>
    <row r="520" ht="68.65000000000001" customHeight="1" s="126">
      <c r="A520" t="n">
        <v>520</v>
      </c>
      <c r="B520" s="30">
        <f>IF('MSR RAW'!$A$3="","",'MSR RAW'!$A$3)</f>
        <v/>
      </c>
      <c r="C520">
        <f>IF(LEFT(TRIM('MSR RAW'!A520),11)="Department:",TRIM('MSR RAW'!A520),C519)</f>
        <v/>
      </c>
      <c r="D520">
        <f>IF(LEFT(TRIM('MSR RAW'!B520),9)="Location:",TRIM(MID('MSR RAW'!B520,10,999)),D519)</f>
        <v/>
      </c>
      <c r="E520">
        <f>IF(AND(ISNUMBER(SEARCH(" - ",TRIM('MSR RAW'!C520))),RIGHT(TRIM('MSR RAW'!C520),6)="Total:"),LEFT(TRIM('MSR RAW'!C520),SEARCH(" - ",TRIM('MSR RAW'!C520))-1),"")</f>
        <v/>
      </c>
      <c r="F520">
        <f>IF(E520="","",TRIM(MID(TRIM('MSR RAW'!C520),SEARCH(" - ",TRIM('MSR RAW'!C520))+3,LEN(TRIM('MSR RAW'!C520))-SEARCH(" - ",TRIM('MSR RAW'!C520))-9)))</f>
        <v/>
      </c>
      <c r="G520">
        <f>IF(E520="","",IFERROR(VLOOKUP(E520,'CATEGORY MAP'!$A$2:$B$20,2,FALSE()),"REVIEW"))</f>
        <v/>
      </c>
      <c r="H520">
        <f>IF(E520="","",IFERROR(VALUE(SUBSTITUTE('MSR RAW'!P520,",","")),0))</f>
        <v/>
      </c>
      <c r="I520">
        <f>IF(E520="","",IFERROR(VALUE(SUBSTITUTE('MSR RAW'!S520,",","")),0))</f>
        <v/>
      </c>
    </row>
    <row r="521" ht="68.65000000000001" customHeight="1" s="126">
      <c r="A521" t="n">
        <v>521</v>
      </c>
      <c r="B521" s="30">
        <f>IF('MSR RAW'!$A$3="","",'MSR RAW'!$A$3)</f>
        <v/>
      </c>
      <c r="C521">
        <f>IF(LEFT(TRIM('MSR RAW'!A521),11)="Department:",TRIM('MSR RAW'!A521),C520)</f>
        <v/>
      </c>
      <c r="D521">
        <f>IF(LEFT(TRIM('MSR RAW'!B521),9)="Location:",TRIM(MID('MSR RAW'!B521,10,999)),D520)</f>
        <v/>
      </c>
      <c r="E521">
        <f>IF(AND(ISNUMBER(SEARCH(" - ",TRIM('MSR RAW'!C521))),RIGHT(TRIM('MSR RAW'!C521),6)="Total:"),LEFT(TRIM('MSR RAW'!C521),SEARCH(" - ",TRIM('MSR RAW'!C521))-1),"")</f>
        <v/>
      </c>
      <c r="F521">
        <f>IF(E521="","",TRIM(MID(TRIM('MSR RAW'!C521),SEARCH(" - ",TRIM('MSR RAW'!C521))+3,LEN(TRIM('MSR RAW'!C521))-SEARCH(" - ",TRIM('MSR RAW'!C521))-9)))</f>
        <v/>
      </c>
      <c r="G521">
        <f>IF(E521="","",IFERROR(VLOOKUP(E521,'CATEGORY MAP'!$A$2:$B$20,2,FALSE()),"REVIEW"))</f>
        <v/>
      </c>
      <c r="H521">
        <f>IF(E521="","",IFERROR(VALUE(SUBSTITUTE('MSR RAW'!P521,",","")),0))</f>
        <v/>
      </c>
      <c r="I521">
        <f>IF(E521="","",IFERROR(VALUE(SUBSTITUTE('MSR RAW'!S521,",","")),0))</f>
        <v/>
      </c>
    </row>
    <row r="522" ht="68.65000000000001" customHeight="1" s="126">
      <c r="A522" t="n">
        <v>522</v>
      </c>
      <c r="B522" s="30">
        <f>IF('MSR RAW'!$A$3="","",'MSR RAW'!$A$3)</f>
        <v/>
      </c>
      <c r="C522">
        <f>IF(LEFT(TRIM('MSR RAW'!A522),11)="Department:",TRIM('MSR RAW'!A522),C521)</f>
        <v/>
      </c>
      <c r="D522">
        <f>IF(LEFT(TRIM('MSR RAW'!B522),9)="Location:",TRIM(MID('MSR RAW'!B522,10,999)),D521)</f>
        <v/>
      </c>
      <c r="E522">
        <f>IF(AND(ISNUMBER(SEARCH(" - ",TRIM('MSR RAW'!C522))),RIGHT(TRIM('MSR RAW'!C522),6)="Total:"),LEFT(TRIM('MSR RAW'!C522),SEARCH(" - ",TRIM('MSR RAW'!C522))-1),"")</f>
        <v/>
      </c>
      <c r="F522">
        <f>IF(E522="","",TRIM(MID(TRIM('MSR RAW'!C522),SEARCH(" - ",TRIM('MSR RAW'!C522))+3,LEN(TRIM('MSR RAW'!C522))-SEARCH(" - ",TRIM('MSR RAW'!C522))-9)))</f>
        <v/>
      </c>
      <c r="G522">
        <f>IF(E522="","",IFERROR(VLOOKUP(E522,'CATEGORY MAP'!$A$2:$B$20,2,FALSE()),"REVIEW"))</f>
        <v/>
      </c>
      <c r="H522">
        <f>IF(E522="","",IFERROR(VALUE(SUBSTITUTE('MSR RAW'!P522,",","")),0))</f>
        <v/>
      </c>
      <c r="I522">
        <f>IF(E522="","",IFERROR(VALUE(SUBSTITUTE('MSR RAW'!S522,",","")),0))</f>
        <v/>
      </c>
    </row>
    <row r="523" ht="68.65000000000001" customHeight="1" s="126">
      <c r="A523" t="n">
        <v>523</v>
      </c>
      <c r="B523" s="30">
        <f>IF('MSR RAW'!$A$3="","",'MSR RAW'!$A$3)</f>
        <v/>
      </c>
      <c r="C523">
        <f>IF(LEFT(TRIM('MSR RAW'!A523),11)="Department:",TRIM('MSR RAW'!A523),C522)</f>
        <v/>
      </c>
      <c r="D523">
        <f>IF(LEFT(TRIM('MSR RAW'!B523),9)="Location:",TRIM(MID('MSR RAW'!B523,10,999)),D522)</f>
        <v/>
      </c>
      <c r="E523">
        <f>IF(AND(ISNUMBER(SEARCH(" - ",TRIM('MSR RAW'!C523))),RIGHT(TRIM('MSR RAW'!C523),6)="Total:"),LEFT(TRIM('MSR RAW'!C523),SEARCH(" - ",TRIM('MSR RAW'!C523))-1),"")</f>
        <v/>
      </c>
      <c r="F523">
        <f>IF(E523="","",TRIM(MID(TRIM('MSR RAW'!C523),SEARCH(" - ",TRIM('MSR RAW'!C523))+3,LEN(TRIM('MSR RAW'!C523))-SEARCH(" - ",TRIM('MSR RAW'!C523))-9)))</f>
        <v/>
      </c>
      <c r="G523">
        <f>IF(E523="","",IFERROR(VLOOKUP(E523,'CATEGORY MAP'!$A$2:$B$20,2,FALSE()),"REVIEW"))</f>
        <v/>
      </c>
      <c r="H523">
        <f>IF(E523="","",IFERROR(VALUE(SUBSTITUTE('MSR RAW'!P523,",","")),0))</f>
        <v/>
      </c>
      <c r="I523">
        <f>IF(E523="","",IFERROR(VALUE(SUBSTITUTE('MSR RAW'!S523,",","")),0))</f>
        <v/>
      </c>
    </row>
    <row r="524" ht="68.65000000000001" customHeight="1" s="126">
      <c r="A524" t="n">
        <v>524</v>
      </c>
      <c r="B524" s="30">
        <f>IF('MSR RAW'!$A$3="","",'MSR RAW'!$A$3)</f>
        <v/>
      </c>
      <c r="C524">
        <f>IF(LEFT(TRIM('MSR RAW'!A524),11)="Department:",TRIM('MSR RAW'!A524),C523)</f>
        <v/>
      </c>
      <c r="D524">
        <f>IF(LEFT(TRIM('MSR RAW'!B524),9)="Location:",TRIM(MID('MSR RAW'!B524,10,999)),D523)</f>
        <v/>
      </c>
      <c r="E524">
        <f>IF(AND(ISNUMBER(SEARCH(" - ",TRIM('MSR RAW'!C524))),RIGHT(TRIM('MSR RAW'!C524),6)="Total:"),LEFT(TRIM('MSR RAW'!C524),SEARCH(" - ",TRIM('MSR RAW'!C524))-1),"")</f>
        <v/>
      </c>
      <c r="F524">
        <f>IF(E524="","",TRIM(MID(TRIM('MSR RAW'!C524),SEARCH(" - ",TRIM('MSR RAW'!C524))+3,LEN(TRIM('MSR RAW'!C524))-SEARCH(" - ",TRIM('MSR RAW'!C524))-9)))</f>
        <v/>
      </c>
      <c r="G524">
        <f>IF(E524="","",IFERROR(VLOOKUP(E524,'CATEGORY MAP'!$A$2:$B$20,2,FALSE()),"REVIEW"))</f>
        <v/>
      </c>
      <c r="H524">
        <f>IF(E524="","",IFERROR(VALUE(SUBSTITUTE('MSR RAW'!P524,",","")),0))</f>
        <v/>
      </c>
      <c r="I524">
        <f>IF(E524="","",IFERROR(VALUE(SUBSTITUTE('MSR RAW'!S524,",","")),0))</f>
        <v/>
      </c>
    </row>
    <row r="525" ht="68.65000000000001" customHeight="1" s="126">
      <c r="A525" t="n">
        <v>525</v>
      </c>
      <c r="B525" s="30">
        <f>IF('MSR RAW'!$A$3="","",'MSR RAW'!$A$3)</f>
        <v/>
      </c>
      <c r="C525">
        <f>IF(LEFT(TRIM('MSR RAW'!A525),11)="Department:",TRIM('MSR RAW'!A525),C524)</f>
        <v/>
      </c>
      <c r="D525">
        <f>IF(LEFT(TRIM('MSR RAW'!B525),9)="Location:",TRIM(MID('MSR RAW'!B525,10,999)),D524)</f>
        <v/>
      </c>
      <c r="E525">
        <f>IF(AND(ISNUMBER(SEARCH(" - ",TRIM('MSR RAW'!C525))),RIGHT(TRIM('MSR RAW'!C525),6)="Total:"),LEFT(TRIM('MSR RAW'!C525),SEARCH(" - ",TRIM('MSR RAW'!C525))-1),"")</f>
        <v/>
      </c>
      <c r="F525">
        <f>IF(E525="","",TRIM(MID(TRIM('MSR RAW'!C525),SEARCH(" - ",TRIM('MSR RAW'!C525))+3,LEN(TRIM('MSR RAW'!C525))-SEARCH(" - ",TRIM('MSR RAW'!C525))-9)))</f>
        <v/>
      </c>
      <c r="G525">
        <f>IF(E525="","",IFERROR(VLOOKUP(E525,'CATEGORY MAP'!$A$2:$B$20,2,FALSE()),"REVIEW"))</f>
        <v/>
      </c>
      <c r="H525">
        <f>IF(E525="","",IFERROR(VALUE(SUBSTITUTE('MSR RAW'!P525,",","")),0))</f>
        <v/>
      </c>
      <c r="I525">
        <f>IF(E525="","",IFERROR(VALUE(SUBSTITUTE('MSR RAW'!S525,",","")),0))</f>
        <v/>
      </c>
    </row>
    <row r="526" ht="68.65000000000001" customHeight="1" s="126">
      <c r="A526" t="n">
        <v>526</v>
      </c>
      <c r="B526" s="30">
        <f>IF('MSR RAW'!$A$3="","",'MSR RAW'!$A$3)</f>
        <v/>
      </c>
      <c r="C526">
        <f>IF(LEFT(TRIM('MSR RAW'!A526),11)="Department:",TRIM('MSR RAW'!A526),C525)</f>
        <v/>
      </c>
      <c r="D526">
        <f>IF(LEFT(TRIM('MSR RAW'!B526),9)="Location:",TRIM(MID('MSR RAW'!B526,10,999)),D525)</f>
        <v/>
      </c>
      <c r="E526">
        <f>IF(AND(ISNUMBER(SEARCH(" - ",TRIM('MSR RAW'!C526))),RIGHT(TRIM('MSR RAW'!C526),6)="Total:"),LEFT(TRIM('MSR RAW'!C526),SEARCH(" - ",TRIM('MSR RAW'!C526))-1),"")</f>
        <v/>
      </c>
      <c r="F526">
        <f>IF(E526="","",TRIM(MID(TRIM('MSR RAW'!C526),SEARCH(" - ",TRIM('MSR RAW'!C526))+3,LEN(TRIM('MSR RAW'!C526))-SEARCH(" - ",TRIM('MSR RAW'!C526))-9)))</f>
        <v/>
      </c>
      <c r="G526">
        <f>IF(E526="","",IFERROR(VLOOKUP(E526,'CATEGORY MAP'!$A$2:$B$20,2,FALSE()),"REVIEW"))</f>
        <v/>
      </c>
      <c r="H526">
        <f>IF(E526="","",IFERROR(VALUE(SUBSTITUTE('MSR RAW'!P526,",","")),0))</f>
        <v/>
      </c>
      <c r="I526">
        <f>IF(E526="","",IFERROR(VALUE(SUBSTITUTE('MSR RAW'!S526,",","")),0))</f>
        <v/>
      </c>
    </row>
    <row r="527" ht="68.65000000000001" customHeight="1" s="126">
      <c r="A527" t="n">
        <v>527</v>
      </c>
      <c r="B527" s="30">
        <f>IF('MSR RAW'!$A$3="","",'MSR RAW'!$A$3)</f>
        <v/>
      </c>
      <c r="C527">
        <f>IF(LEFT(TRIM('MSR RAW'!A527),11)="Department:",TRIM('MSR RAW'!A527),C526)</f>
        <v/>
      </c>
      <c r="D527">
        <f>IF(LEFT(TRIM('MSR RAW'!B527),9)="Location:",TRIM(MID('MSR RAW'!B527,10,999)),D526)</f>
        <v/>
      </c>
      <c r="E527">
        <f>IF(AND(ISNUMBER(SEARCH(" - ",TRIM('MSR RAW'!C527))),RIGHT(TRIM('MSR RAW'!C527),6)="Total:"),LEFT(TRIM('MSR RAW'!C527),SEARCH(" - ",TRIM('MSR RAW'!C527))-1),"")</f>
        <v/>
      </c>
      <c r="F527">
        <f>IF(E527="","",TRIM(MID(TRIM('MSR RAW'!C527),SEARCH(" - ",TRIM('MSR RAW'!C527))+3,LEN(TRIM('MSR RAW'!C527))-SEARCH(" - ",TRIM('MSR RAW'!C527))-9)))</f>
        <v/>
      </c>
      <c r="G527">
        <f>IF(E527="","",IFERROR(VLOOKUP(E527,'CATEGORY MAP'!$A$2:$B$20,2,FALSE()),"REVIEW"))</f>
        <v/>
      </c>
      <c r="H527">
        <f>IF(E527="","",IFERROR(VALUE(SUBSTITUTE('MSR RAW'!P527,",","")),0))</f>
        <v/>
      </c>
      <c r="I527">
        <f>IF(E527="","",IFERROR(VALUE(SUBSTITUTE('MSR RAW'!S527,",","")),0))</f>
        <v/>
      </c>
    </row>
    <row r="528" ht="68.65000000000001" customHeight="1" s="126">
      <c r="A528" t="n">
        <v>528</v>
      </c>
      <c r="B528" s="30">
        <f>IF('MSR RAW'!$A$3="","",'MSR RAW'!$A$3)</f>
        <v/>
      </c>
      <c r="C528">
        <f>IF(LEFT(TRIM('MSR RAW'!A528),11)="Department:",TRIM('MSR RAW'!A528),C527)</f>
        <v/>
      </c>
      <c r="D528">
        <f>IF(LEFT(TRIM('MSR RAW'!B528),9)="Location:",TRIM(MID('MSR RAW'!B528,10,999)),D527)</f>
        <v/>
      </c>
      <c r="E528">
        <f>IF(AND(ISNUMBER(SEARCH(" - ",TRIM('MSR RAW'!C528))),RIGHT(TRIM('MSR RAW'!C528),6)="Total:"),LEFT(TRIM('MSR RAW'!C528),SEARCH(" - ",TRIM('MSR RAW'!C528))-1),"")</f>
        <v/>
      </c>
      <c r="F528">
        <f>IF(E528="","",TRIM(MID(TRIM('MSR RAW'!C528),SEARCH(" - ",TRIM('MSR RAW'!C528))+3,LEN(TRIM('MSR RAW'!C528))-SEARCH(" - ",TRIM('MSR RAW'!C528))-9)))</f>
        <v/>
      </c>
      <c r="G528">
        <f>IF(E528="","",IFERROR(VLOOKUP(E528,'CATEGORY MAP'!$A$2:$B$20,2,FALSE()),"REVIEW"))</f>
        <v/>
      </c>
      <c r="H528">
        <f>IF(E528="","",IFERROR(VALUE(SUBSTITUTE('MSR RAW'!P528,",","")),0))</f>
        <v/>
      </c>
      <c r="I528">
        <f>IF(E528="","",IFERROR(VALUE(SUBSTITUTE('MSR RAW'!S528,",","")),0))</f>
        <v/>
      </c>
    </row>
    <row r="529" ht="68.65000000000001" customHeight="1" s="126">
      <c r="A529" t="n">
        <v>529</v>
      </c>
      <c r="B529" s="30">
        <f>IF('MSR RAW'!$A$3="","",'MSR RAW'!$A$3)</f>
        <v/>
      </c>
      <c r="C529">
        <f>IF(LEFT(TRIM('MSR RAW'!A529),11)="Department:",TRIM('MSR RAW'!A529),C528)</f>
        <v/>
      </c>
      <c r="D529">
        <f>IF(LEFT(TRIM('MSR RAW'!B529),9)="Location:",TRIM(MID('MSR RAW'!B529,10,999)),D528)</f>
        <v/>
      </c>
      <c r="E529">
        <f>IF(AND(ISNUMBER(SEARCH(" - ",TRIM('MSR RAW'!C529))),RIGHT(TRIM('MSR RAW'!C529),6)="Total:"),LEFT(TRIM('MSR RAW'!C529),SEARCH(" - ",TRIM('MSR RAW'!C529))-1),"")</f>
        <v/>
      </c>
      <c r="F529">
        <f>IF(E529="","",TRIM(MID(TRIM('MSR RAW'!C529),SEARCH(" - ",TRIM('MSR RAW'!C529))+3,LEN(TRIM('MSR RAW'!C529))-SEARCH(" - ",TRIM('MSR RAW'!C529))-9)))</f>
        <v/>
      </c>
      <c r="G529">
        <f>IF(E529="","",IFERROR(VLOOKUP(E529,'CATEGORY MAP'!$A$2:$B$20,2,FALSE()),"REVIEW"))</f>
        <v/>
      </c>
      <c r="H529">
        <f>IF(E529="","",IFERROR(VALUE(SUBSTITUTE('MSR RAW'!P529,",","")),0))</f>
        <v/>
      </c>
      <c r="I529">
        <f>IF(E529="","",IFERROR(VALUE(SUBSTITUTE('MSR RAW'!S529,",","")),0))</f>
        <v/>
      </c>
    </row>
    <row r="530" ht="68.65000000000001" customHeight="1" s="126">
      <c r="A530" t="n">
        <v>530</v>
      </c>
      <c r="B530" s="30">
        <f>IF('MSR RAW'!$A$3="","",'MSR RAW'!$A$3)</f>
        <v/>
      </c>
      <c r="C530">
        <f>IF(LEFT(TRIM('MSR RAW'!A530),11)="Department:",TRIM('MSR RAW'!A530),C529)</f>
        <v/>
      </c>
      <c r="D530">
        <f>IF(LEFT(TRIM('MSR RAW'!B530),9)="Location:",TRIM(MID('MSR RAW'!B530,10,999)),D529)</f>
        <v/>
      </c>
      <c r="E530">
        <f>IF(AND(ISNUMBER(SEARCH(" - ",TRIM('MSR RAW'!C530))),RIGHT(TRIM('MSR RAW'!C530),6)="Total:"),LEFT(TRIM('MSR RAW'!C530),SEARCH(" - ",TRIM('MSR RAW'!C530))-1),"")</f>
        <v/>
      </c>
      <c r="F530">
        <f>IF(E530="","",TRIM(MID(TRIM('MSR RAW'!C530),SEARCH(" - ",TRIM('MSR RAW'!C530))+3,LEN(TRIM('MSR RAW'!C530))-SEARCH(" - ",TRIM('MSR RAW'!C530))-9)))</f>
        <v/>
      </c>
      <c r="G530">
        <f>IF(E530="","",IFERROR(VLOOKUP(E530,'CATEGORY MAP'!$A$2:$B$20,2,FALSE()),"REVIEW"))</f>
        <v/>
      </c>
      <c r="H530">
        <f>IF(E530="","",IFERROR(VALUE(SUBSTITUTE('MSR RAW'!P530,",","")),0))</f>
        <v/>
      </c>
      <c r="I530">
        <f>IF(E530="","",IFERROR(VALUE(SUBSTITUTE('MSR RAW'!S530,",","")),0))</f>
        <v/>
      </c>
    </row>
    <row r="531" ht="68.65000000000001" customHeight="1" s="126">
      <c r="A531" t="n">
        <v>531</v>
      </c>
      <c r="B531" s="30">
        <f>IF('MSR RAW'!$A$3="","",'MSR RAW'!$A$3)</f>
        <v/>
      </c>
      <c r="C531">
        <f>IF(LEFT(TRIM('MSR RAW'!A531),11)="Department:",TRIM('MSR RAW'!A531),C530)</f>
        <v/>
      </c>
      <c r="D531">
        <f>IF(LEFT(TRIM('MSR RAW'!B531),9)="Location:",TRIM(MID('MSR RAW'!B531,10,999)),D530)</f>
        <v/>
      </c>
      <c r="E531">
        <f>IF(AND(ISNUMBER(SEARCH(" - ",TRIM('MSR RAW'!C531))),RIGHT(TRIM('MSR RAW'!C531),6)="Total:"),LEFT(TRIM('MSR RAW'!C531),SEARCH(" - ",TRIM('MSR RAW'!C531))-1),"")</f>
        <v/>
      </c>
      <c r="F531">
        <f>IF(E531="","",TRIM(MID(TRIM('MSR RAW'!C531),SEARCH(" - ",TRIM('MSR RAW'!C531))+3,LEN(TRIM('MSR RAW'!C531))-SEARCH(" - ",TRIM('MSR RAW'!C531))-9)))</f>
        <v/>
      </c>
      <c r="G531">
        <f>IF(E531="","",IFERROR(VLOOKUP(E531,'CATEGORY MAP'!$A$2:$B$20,2,FALSE()),"REVIEW"))</f>
        <v/>
      </c>
      <c r="H531">
        <f>IF(E531="","",IFERROR(VALUE(SUBSTITUTE('MSR RAW'!P531,",","")),0))</f>
        <v/>
      </c>
      <c r="I531">
        <f>IF(E531="","",IFERROR(VALUE(SUBSTITUTE('MSR RAW'!S531,",","")),0))</f>
        <v/>
      </c>
    </row>
    <row r="532" ht="68.65000000000001" customHeight="1" s="126">
      <c r="A532" t="n">
        <v>532</v>
      </c>
      <c r="B532" s="30">
        <f>IF('MSR RAW'!$A$3="","",'MSR RAW'!$A$3)</f>
        <v/>
      </c>
      <c r="C532">
        <f>IF(LEFT(TRIM('MSR RAW'!A532),11)="Department:",TRIM('MSR RAW'!A532),C531)</f>
        <v/>
      </c>
      <c r="D532">
        <f>IF(LEFT(TRIM('MSR RAW'!B532),9)="Location:",TRIM(MID('MSR RAW'!B532,10,999)),D531)</f>
        <v/>
      </c>
      <c r="E532">
        <f>IF(AND(ISNUMBER(SEARCH(" - ",TRIM('MSR RAW'!C532))),RIGHT(TRIM('MSR RAW'!C532),6)="Total:"),LEFT(TRIM('MSR RAW'!C532),SEARCH(" - ",TRIM('MSR RAW'!C532))-1),"")</f>
        <v/>
      </c>
      <c r="F532">
        <f>IF(E532="","",TRIM(MID(TRIM('MSR RAW'!C532),SEARCH(" - ",TRIM('MSR RAW'!C532))+3,LEN(TRIM('MSR RAW'!C532))-SEARCH(" - ",TRIM('MSR RAW'!C532))-9)))</f>
        <v/>
      </c>
      <c r="G532">
        <f>IF(E532="","",IFERROR(VLOOKUP(E532,'CATEGORY MAP'!$A$2:$B$20,2,FALSE()),"REVIEW"))</f>
        <v/>
      </c>
      <c r="H532">
        <f>IF(E532="","",IFERROR(VALUE(SUBSTITUTE('MSR RAW'!P532,",","")),0))</f>
        <v/>
      </c>
      <c r="I532">
        <f>IF(E532="","",IFERROR(VALUE(SUBSTITUTE('MSR RAW'!S532,",","")),0))</f>
        <v/>
      </c>
    </row>
    <row r="533" ht="68.65000000000001" customHeight="1" s="126">
      <c r="A533" t="n">
        <v>533</v>
      </c>
      <c r="B533" s="30">
        <f>IF('MSR RAW'!$A$3="","",'MSR RAW'!$A$3)</f>
        <v/>
      </c>
      <c r="C533">
        <f>IF(LEFT(TRIM('MSR RAW'!A533),11)="Department:",TRIM('MSR RAW'!A533),C532)</f>
        <v/>
      </c>
      <c r="D533">
        <f>IF(LEFT(TRIM('MSR RAW'!B533),9)="Location:",TRIM(MID('MSR RAW'!B533,10,999)),D532)</f>
        <v/>
      </c>
      <c r="E533">
        <f>IF(AND(ISNUMBER(SEARCH(" - ",TRIM('MSR RAW'!C533))),RIGHT(TRIM('MSR RAW'!C533),6)="Total:"),LEFT(TRIM('MSR RAW'!C533),SEARCH(" - ",TRIM('MSR RAW'!C533))-1),"")</f>
        <v/>
      </c>
      <c r="F533">
        <f>IF(E533="","",TRIM(MID(TRIM('MSR RAW'!C533),SEARCH(" - ",TRIM('MSR RAW'!C533))+3,LEN(TRIM('MSR RAW'!C533))-SEARCH(" - ",TRIM('MSR RAW'!C533))-9)))</f>
        <v/>
      </c>
      <c r="G533">
        <f>IF(E533="","",IFERROR(VLOOKUP(E533,'CATEGORY MAP'!$A$2:$B$20,2,FALSE()),"REVIEW"))</f>
        <v/>
      </c>
      <c r="H533">
        <f>IF(E533="","",IFERROR(VALUE(SUBSTITUTE('MSR RAW'!P533,",","")),0))</f>
        <v/>
      </c>
      <c r="I533">
        <f>IF(E533="","",IFERROR(VALUE(SUBSTITUTE('MSR RAW'!S533,",","")),0))</f>
        <v/>
      </c>
    </row>
    <row r="534" ht="68.65000000000001" customHeight="1" s="126">
      <c r="A534" t="n">
        <v>534</v>
      </c>
      <c r="B534" s="30">
        <f>IF('MSR RAW'!$A$3="","",'MSR RAW'!$A$3)</f>
        <v/>
      </c>
      <c r="C534">
        <f>IF(LEFT(TRIM('MSR RAW'!A534),11)="Department:",TRIM('MSR RAW'!A534),C533)</f>
        <v/>
      </c>
      <c r="D534">
        <f>IF(LEFT(TRIM('MSR RAW'!B534),9)="Location:",TRIM(MID('MSR RAW'!B534,10,999)),D533)</f>
        <v/>
      </c>
      <c r="E534">
        <f>IF(AND(ISNUMBER(SEARCH(" - ",TRIM('MSR RAW'!C534))),RIGHT(TRIM('MSR RAW'!C534),6)="Total:"),LEFT(TRIM('MSR RAW'!C534),SEARCH(" - ",TRIM('MSR RAW'!C534))-1),"")</f>
        <v/>
      </c>
      <c r="F534">
        <f>IF(E534="","",TRIM(MID(TRIM('MSR RAW'!C534),SEARCH(" - ",TRIM('MSR RAW'!C534))+3,LEN(TRIM('MSR RAW'!C534))-SEARCH(" - ",TRIM('MSR RAW'!C534))-9)))</f>
        <v/>
      </c>
      <c r="G534">
        <f>IF(E534="","",IFERROR(VLOOKUP(E534,'CATEGORY MAP'!$A$2:$B$20,2,FALSE()),"REVIEW"))</f>
        <v/>
      </c>
      <c r="H534">
        <f>IF(E534="","",IFERROR(VALUE(SUBSTITUTE('MSR RAW'!P534,",","")),0))</f>
        <v/>
      </c>
      <c r="I534">
        <f>IF(E534="","",IFERROR(VALUE(SUBSTITUTE('MSR RAW'!S534,",","")),0))</f>
        <v/>
      </c>
    </row>
    <row r="535" ht="68.65000000000001" customHeight="1" s="126">
      <c r="A535" t="n">
        <v>535</v>
      </c>
      <c r="B535" s="30">
        <f>IF('MSR RAW'!$A$3="","",'MSR RAW'!$A$3)</f>
        <v/>
      </c>
      <c r="C535">
        <f>IF(LEFT(TRIM('MSR RAW'!A535),11)="Department:",TRIM('MSR RAW'!A535),C534)</f>
        <v/>
      </c>
      <c r="D535">
        <f>IF(LEFT(TRIM('MSR RAW'!B535),9)="Location:",TRIM(MID('MSR RAW'!B535,10,999)),D534)</f>
        <v/>
      </c>
      <c r="E535">
        <f>IF(AND(ISNUMBER(SEARCH(" - ",TRIM('MSR RAW'!C535))),RIGHT(TRIM('MSR RAW'!C535),6)="Total:"),LEFT(TRIM('MSR RAW'!C535),SEARCH(" - ",TRIM('MSR RAW'!C535))-1),"")</f>
        <v/>
      </c>
      <c r="F535">
        <f>IF(E535="","",TRIM(MID(TRIM('MSR RAW'!C535),SEARCH(" - ",TRIM('MSR RAW'!C535))+3,LEN(TRIM('MSR RAW'!C535))-SEARCH(" - ",TRIM('MSR RAW'!C535))-9)))</f>
        <v/>
      </c>
      <c r="G535">
        <f>IF(E535="","",IFERROR(VLOOKUP(E535,'CATEGORY MAP'!$A$2:$B$20,2,FALSE()),"REVIEW"))</f>
        <v/>
      </c>
      <c r="H535">
        <f>IF(E535="","",IFERROR(VALUE(SUBSTITUTE('MSR RAW'!P535,",","")),0))</f>
        <v/>
      </c>
      <c r="I535">
        <f>IF(E535="","",IFERROR(VALUE(SUBSTITUTE('MSR RAW'!S535,",","")),0))</f>
        <v/>
      </c>
    </row>
    <row r="536" ht="68.65000000000001" customHeight="1" s="126">
      <c r="A536" t="n">
        <v>536</v>
      </c>
      <c r="B536" s="30">
        <f>IF('MSR RAW'!$A$3="","",'MSR RAW'!$A$3)</f>
        <v/>
      </c>
      <c r="C536">
        <f>IF(LEFT(TRIM('MSR RAW'!A536),11)="Department:",TRIM('MSR RAW'!A536),C535)</f>
        <v/>
      </c>
      <c r="D536">
        <f>IF(LEFT(TRIM('MSR RAW'!B536),9)="Location:",TRIM(MID('MSR RAW'!B536,10,999)),D535)</f>
        <v/>
      </c>
      <c r="E536">
        <f>IF(AND(ISNUMBER(SEARCH(" - ",TRIM('MSR RAW'!C536))),RIGHT(TRIM('MSR RAW'!C536),6)="Total:"),LEFT(TRIM('MSR RAW'!C536),SEARCH(" - ",TRIM('MSR RAW'!C536))-1),"")</f>
        <v/>
      </c>
      <c r="F536">
        <f>IF(E536="","",TRIM(MID(TRIM('MSR RAW'!C536),SEARCH(" - ",TRIM('MSR RAW'!C536))+3,LEN(TRIM('MSR RAW'!C536))-SEARCH(" - ",TRIM('MSR RAW'!C536))-9)))</f>
        <v/>
      </c>
      <c r="G536">
        <f>IF(E536="","",IFERROR(VLOOKUP(E536,'CATEGORY MAP'!$A$2:$B$20,2,FALSE()),"REVIEW"))</f>
        <v/>
      </c>
      <c r="H536">
        <f>IF(E536="","",IFERROR(VALUE(SUBSTITUTE('MSR RAW'!P536,",","")),0))</f>
        <v/>
      </c>
      <c r="I536">
        <f>IF(E536="","",IFERROR(VALUE(SUBSTITUTE('MSR RAW'!S536,",","")),0))</f>
        <v/>
      </c>
    </row>
    <row r="537" ht="68.65000000000001" customHeight="1" s="126">
      <c r="A537" t="n">
        <v>537</v>
      </c>
      <c r="B537" s="30">
        <f>IF('MSR RAW'!$A$3="","",'MSR RAW'!$A$3)</f>
        <v/>
      </c>
      <c r="C537">
        <f>IF(LEFT(TRIM('MSR RAW'!A537),11)="Department:",TRIM('MSR RAW'!A537),C536)</f>
        <v/>
      </c>
      <c r="D537">
        <f>IF(LEFT(TRIM('MSR RAW'!B537),9)="Location:",TRIM(MID('MSR RAW'!B537,10,999)),D536)</f>
        <v/>
      </c>
      <c r="E537">
        <f>IF(AND(ISNUMBER(SEARCH(" - ",TRIM('MSR RAW'!C537))),RIGHT(TRIM('MSR RAW'!C537),6)="Total:"),LEFT(TRIM('MSR RAW'!C537),SEARCH(" - ",TRIM('MSR RAW'!C537))-1),"")</f>
        <v/>
      </c>
      <c r="F537">
        <f>IF(E537="","",TRIM(MID(TRIM('MSR RAW'!C537),SEARCH(" - ",TRIM('MSR RAW'!C537))+3,LEN(TRIM('MSR RAW'!C537))-SEARCH(" - ",TRIM('MSR RAW'!C537))-9)))</f>
        <v/>
      </c>
      <c r="G537">
        <f>IF(E537="","",IFERROR(VLOOKUP(E537,'CATEGORY MAP'!$A$2:$B$20,2,FALSE()),"REVIEW"))</f>
        <v/>
      </c>
      <c r="H537">
        <f>IF(E537="","",IFERROR(VALUE(SUBSTITUTE('MSR RAW'!P537,",","")),0))</f>
        <v/>
      </c>
      <c r="I537">
        <f>IF(E537="","",IFERROR(VALUE(SUBSTITUTE('MSR RAW'!S537,",","")),0))</f>
        <v/>
      </c>
    </row>
    <row r="538" ht="68.65000000000001" customHeight="1" s="126">
      <c r="A538" t="n">
        <v>538</v>
      </c>
      <c r="B538" s="30">
        <f>IF('MSR RAW'!$A$3="","",'MSR RAW'!$A$3)</f>
        <v/>
      </c>
      <c r="C538">
        <f>IF(LEFT(TRIM('MSR RAW'!A538),11)="Department:",TRIM('MSR RAW'!A538),C537)</f>
        <v/>
      </c>
      <c r="D538">
        <f>IF(LEFT(TRIM('MSR RAW'!B538),9)="Location:",TRIM(MID('MSR RAW'!B538,10,999)),D537)</f>
        <v/>
      </c>
      <c r="E538">
        <f>IF(AND(ISNUMBER(SEARCH(" - ",TRIM('MSR RAW'!C538))),RIGHT(TRIM('MSR RAW'!C538),6)="Total:"),LEFT(TRIM('MSR RAW'!C538),SEARCH(" - ",TRIM('MSR RAW'!C538))-1),"")</f>
        <v/>
      </c>
      <c r="F538">
        <f>IF(E538="","",TRIM(MID(TRIM('MSR RAW'!C538),SEARCH(" - ",TRIM('MSR RAW'!C538))+3,LEN(TRIM('MSR RAW'!C538))-SEARCH(" - ",TRIM('MSR RAW'!C538))-9)))</f>
        <v/>
      </c>
      <c r="G538">
        <f>IF(E538="","",IFERROR(VLOOKUP(E538,'CATEGORY MAP'!$A$2:$B$20,2,FALSE()),"REVIEW"))</f>
        <v/>
      </c>
      <c r="H538">
        <f>IF(E538="","",IFERROR(VALUE(SUBSTITUTE('MSR RAW'!P538,",","")),0))</f>
        <v/>
      </c>
      <c r="I538">
        <f>IF(E538="","",IFERROR(VALUE(SUBSTITUTE('MSR RAW'!S538,",","")),0))</f>
        <v/>
      </c>
    </row>
    <row r="539" ht="68.65000000000001" customHeight="1" s="126">
      <c r="A539" t="n">
        <v>539</v>
      </c>
      <c r="B539" s="30">
        <f>IF('MSR RAW'!$A$3="","",'MSR RAW'!$A$3)</f>
        <v/>
      </c>
      <c r="C539">
        <f>IF(LEFT(TRIM('MSR RAW'!A539),11)="Department:",TRIM('MSR RAW'!A539),C538)</f>
        <v/>
      </c>
      <c r="D539">
        <f>IF(LEFT(TRIM('MSR RAW'!B539),9)="Location:",TRIM(MID('MSR RAW'!B539,10,999)),D538)</f>
        <v/>
      </c>
      <c r="E539">
        <f>IF(AND(ISNUMBER(SEARCH(" - ",TRIM('MSR RAW'!C539))),RIGHT(TRIM('MSR RAW'!C539),6)="Total:"),LEFT(TRIM('MSR RAW'!C539),SEARCH(" - ",TRIM('MSR RAW'!C539))-1),"")</f>
        <v/>
      </c>
      <c r="F539">
        <f>IF(E539="","",TRIM(MID(TRIM('MSR RAW'!C539),SEARCH(" - ",TRIM('MSR RAW'!C539))+3,LEN(TRIM('MSR RAW'!C539))-SEARCH(" - ",TRIM('MSR RAW'!C539))-9)))</f>
        <v/>
      </c>
      <c r="G539">
        <f>IF(E539="","",IFERROR(VLOOKUP(E539,'CATEGORY MAP'!$A$2:$B$20,2,FALSE()),"REVIEW"))</f>
        <v/>
      </c>
      <c r="H539">
        <f>IF(E539="","",IFERROR(VALUE(SUBSTITUTE('MSR RAW'!P539,",","")),0))</f>
        <v/>
      </c>
      <c r="I539">
        <f>IF(E539="","",IFERROR(VALUE(SUBSTITUTE('MSR RAW'!S539,",","")),0))</f>
        <v/>
      </c>
    </row>
    <row r="540" ht="68.65000000000001" customHeight="1" s="126">
      <c r="A540" t="n">
        <v>540</v>
      </c>
      <c r="B540" s="30">
        <f>IF('MSR RAW'!$A$3="","",'MSR RAW'!$A$3)</f>
        <v/>
      </c>
      <c r="C540">
        <f>IF(LEFT(TRIM('MSR RAW'!A540),11)="Department:",TRIM('MSR RAW'!A540),C539)</f>
        <v/>
      </c>
      <c r="D540">
        <f>IF(LEFT(TRIM('MSR RAW'!B540),9)="Location:",TRIM(MID('MSR RAW'!B540,10,999)),D539)</f>
        <v/>
      </c>
      <c r="E540">
        <f>IF(AND(ISNUMBER(SEARCH(" - ",TRIM('MSR RAW'!C540))),RIGHT(TRIM('MSR RAW'!C540),6)="Total:"),LEFT(TRIM('MSR RAW'!C540),SEARCH(" - ",TRIM('MSR RAW'!C540))-1),"")</f>
        <v/>
      </c>
      <c r="F540">
        <f>IF(E540="","",TRIM(MID(TRIM('MSR RAW'!C540),SEARCH(" - ",TRIM('MSR RAW'!C540))+3,LEN(TRIM('MSR RAW'!C540))-SEARCH(" - ",TRIM('MSR RAW'!C540))-9)))</f>
        <v/>
      </c>
      <c r="G540">
        <f>IF(E540="","",IFERROR(VLOOKUP(E540,'CATEGORY MAP'!$A$2:$B$20,2,FALSE()),"REVIEW"))</f>
        <v/>
      </c>
      <c r="H540">
        <f>IF(E540="","",IFERROR(VALUE(SUBSTITUTE('MSR RAW'!P540,",","")),0))</f>
        <v/>
      </c>
      <c r="I540">
        <f>IF(E540="","",IFERROR(VALUE(SUBSTITUTE('MSR RAW'!S540,",","")),0))</f>
        <v/>
      </c>
    </row>
    <row r="541" ht="68.65000000000001" customHeight="1" s="126">
      <c r="A541" t="n">
        <v>541</v>
      </c>
      <c r="B541" s="30">
        <f>IF('MSR RAW'!$A$3="","",'MSR RAW'!$A$3)</f>
        <v/>
      </c>
      <c r="C541">
        <f>IF(LEFT(TRIM('MSR RAW'!A541),11)="Department:",TRIM('MSR RAW'!A541),C540)</f>
        <v/>
      </c>
      <c r="D541">
        <f>IF(LEFT(TRIM('MSR RAW'!B541),9)="Location:",TRIM(MID('MSR RAW'!B541,10,999)),D540)</f>
        <v/>
      </c>
      <c r="E541">
        <f>IF(AND(ISNUMBER(SEARCH(" - ",TRIM('MSR RAW'!C541))),RIGHT(TRIM('MSR RAW'!C541),6)="Total:"),LEFT(TRIM('MSR RAW'!C541),SEARCH(" - ",TRIM('MSR RAW'!C541))-1),"")</f>
        <v/>
      </c>
      <c r="F541">
        <f>IF(E541="","",TRIM(MID(TRIM('MSR RAW'!C541),SEARCH(" - ",TRIM('MSR RAW'!C541))+3,LEN(TRIM('MSR RAW'!C541))-SEARCH(" - ",TRIM('MSR RAW'!C541))-9)))</f>
        <v/>
      </c>
      <c r="G541">
        <f>IF(E541="","",IFERROR(VLOOKUP(E541,'CATEGORY MAP'!$A$2:$B$20,2,FALSE()),"REVIEW"))</f>
        <v/>
      </c>
      <c r="H541">
        <f>IF(E541="","",IFERROR(VALUE(SUBSTITUTE('MSR RAW'!P541,",","")),0))</f>
        <v/>
      </c>
      <c r="I541">
        <f>IF(E541="","",IFERROR(VALUE(SUBSTITUTE('MSR RAW'!S541,",","")),0))</f>
        <v/>
      </c>
    </row>
    <row r="542" ht="68.65000000000001" customHeight="1" s="126">
      <c r="A542" t="n">
        <v>542</v>
      </c>
      <c r="B542" s="30">
        <f>IF('MSR RAW'!$A$3="","",'MSR RAW'!$A$3)</f>
        <v/>
      </c>
      <c r="C542">
        <f>IF(LEFT(TRIM('MSR RAW'!A542),11)="Department:",TRIM('MSR RAW'!A542),C541)</f>
        <v/>
      </c>
      <c r="D542">
        <f>IF(LEFT(TRIM('MSR RAW'!B542),9)="Location:",TRIM(MID('MSR RAW'!B542,10,999)),D541)</f>
        <v/>
      </c>
      <c r="E542">
        <f>IF(AND(ISNUMBER(SEARCH(" - ",TRIM('MSR RAW'!C542))),RIGHT(TRIM('MSR RAW'!C542),6)="Total:"),LEFT(TRIM('MSR RAW'!C542),SEARCH(" - ",TRIM('MSR RAW'!C542))-1),"")</f>
        <v/>
      </c>
      <c r="F542">
        <f>IF(E542="","",TRIM(MID(TRIM('MSR RAW'!C542),SEARCH(" - ",TRIM('MSR RAW'!C542))+3,LEN(TRIM('MSR RAW'!C542))-SEARCH(" - ",TRIM('MSR RAW'!C542))-9)))</f>
        <v/>
      </c>
      <c r="G542">
        <f>IF(E542="","",IFERROR(VLOOKUP(E542,'CATEGORY MAP'!$A$2:$B$20,2,FALSE()),"REVIEW"))</f>
        <v/>
      </c>
      <c r="H542">
        <f>IF(E542="","",IFERROR(VALUE(SUBSTITUTE('MSR RAW'!P542,",","")),0))</f>
        <v/>
      </c>
      <c r="I542">
        <f>IF(E542="","",IFERROR(VALUE(SUBSTITUTE('MSR RAW'!S542,",","")),0))</f>
        <v/>
      </c>
    </row>
    <row r="543" ht="68.65000000000001" customHeight="1" s="126">
      <c r="A543" t="n">
        <v>543</v>
      </c>
      <c r="B543" s="30">
        <f>IF('MSR RAW'!$A$3="","",'MSR RAW'!$A$3)</f>
        <v/>
      </c>
      <c r="C543">
        <f>IF(LEFT(TRIM('MSR RAW'!A543),11)="Department:",TRIM('MSR RAW'!A543),C542)</f>
        <v/>
      </c>
      <c r="D543">
        <f>IF(LEFT(TRIM('MSR RAW'!B543),9)="Location:",TRIM(MID('MSR RAW'!B543,10,999)),D542)</f>
        <v/>
      </c>
      <c r="E543">
        <f>IF(AND(ISNUMBER(SEARCH(" - ",TRIM('MSR RAW'!C543))),RIGHT(TRIM('MSR RAW'!C543),6)="Total:"),LEFT(TRIM('MSR RAW'!C543),SEARCH(" - ",TRIM('MSR RAW'!C543))-1),"")</f>
        <v/>
      </c>
      <c r="F543">
        <f>IF(E543="","",TRIM(MID(TRIM('MSR RAW'!C543),SEARCH(" - ",TRIM('MSR RAW'!C543))+3,LEN(TRIM('MSR RAW'!C543))-SEARCH(" - ",TRIM('MSR RAW'!C543))-9)))</f>
        <v/>
      </c>
      <c r="G543">
        <f>IF(E543="","",IFERROR(VLOOKUP(E543,'CATEGORY MAP'!$A$2:$B$20,2,FALSE()),"REVIEW"))</f>
        <v/>
      </c>
      <c r="H543">
        <f>IF(E543="","",IFERROR(VALUE(SUBSTITUTE('MSR RAW'!P543,",","")),0))</f>
        <v/>
      </c>
      <c r="I543">
        <f>IF(E543="","",IFERROR(VALUE(SUBSTITUTE('MSR RAW'!S543,",","")),0))</f>
        <v/>
      </c>
    </row>
    <row r="544" ht="68.65000000000001" customHeight="1" s="126">
      <c r="A544" t="n">
        <v>544</v>
      </c>
      <c r="B544" s="30">
        <f>IF('MSR RAW'!$A$3="","",'MSR RAW'!$A$3)</f>
        <v/>
      </c>
      <c r="C544">
        <f>IF(LEFT(TRIM('MSR RAW'!A544),11)="Department:",TRIM('MSR RAW'!A544),C543)</f>
        <v/>
      </c>
      <c r="D544">
        <f>IF(LEFT(TRIM('MSR RAW'!B544),9)="Location:",TRIM(MID('MSR RAW'!B544,10,999)),D543)</f>
        <v/>
      </c>
      <c r="E544">
        <f>IF(AND(ISNUMBER(SEARCH(" - ",TRIM('MSR RAW'!C544))),RIGHT(TRIM('MSR RAW'!C544),6)="Total:"),LEFT(TRIM('MSR RAW'!C544),SEARCH(" - ",TRIM('MSR RAW'!C544))-1),"")</f>
        <v/>
      </c>
      <c r="F544">
        <f>IF(E544="","",TRIM(MID(TRIM('MSR RAW'!C544),SEARCH(" - ",TRIM('MSR RAW'!C544))+3,LEN(TRIM('MSR RAW'!C544))-SEARCH(" - ",TRIM('MSR RAW'!C544))-9)))</f>
        <v/>
      </c>
      <c r="G544">
        <f>IF(E544="","",IFERROR(VLOOKUP(E544,'CATEGORY MAP'!$A$2:$B$20,2,FALSE()),"REVIEW"))</f>
        <v/>
      </c>
      <c r="H544">
        <f>IF(E544="","",IFERROR(VALUE(SUBSTITUTE('MSR RAW'!P544,",","")),0))</f>
        <v/>
      </c>
      <c r="I544">
        <f>IF(E544="","",IFERROR(VALUE(SUBSTITUTE('MSR RAW'!S544,",","")),0))</f>
        <v/>
      </c>
    </row>
    <row r="545" ht="68.65000000000001" customHeight="1" s="126">
      <c r="A545" t="n">
        <v>545</v>
      </c>
      <c r="B545" s="30">
        <f>IF('MSR RAW'!$A$3="","",'MSR RAW'!$A$3)</f>
        <v/>
      </c>
      <c r="C545">
        <f>IF(LEFT(TRIM('MSR RAW'!A545),11)="Department:",TRIM('MSR RAW'!A545),C544)</f>
        <v/>
      </c>
      <c r="D545">
        <f>IF(LEFT(TRIM('MSR RAW'!B545),9)="Location:",TRIM(MID('MSR RAW'!B545,10,999)),D544)</f>
        <v/>
      </c>
      <c r="E545">
        <f>IF(AND(ISNUMBER(SEARCH(" - ",TRIM('MSR RAW'!C545))),RIGHT(TRIM('MSR RAW'!C545),6)="Total:"),LEFT(TRIM('MSR RAW'!C545),SEARCH(" - ",TRIM('MSR RAW'!C545))-1),"")</f>
        <v/>
      </c>
      <c r="F545">
        <f>IF(E545="","",TRIM(MID(TRIM('MSR RAW'!C545),SEARCH(" - ",TRIM('MSR RAW'!C545))+3,LEN(TRIM('MSR RAW'!C545))-SEARCH(" - ",TRIM('MSR RAW'!C545))-9)))</f>
        <v/>
      </c>
      <c r="G545">
        <f>IF(E545="","",IFERROR(VLOOKUP(E545,'CATEGORY MAP'!$A$2:$B$20,2,FALSE()),"REVIEW"))</f>
        <v/>
      </c>
      <c r="H545">
        <f>IF(E545="","",IFERROR(VALUE(SUBSTITUTE('MSR RAW'!P545,",","")),0))</f>
        <v/>
      </c>
      <c r="I545">
        <f>IF(E545="","",IFERROR(VALUE(SUBSTITUTE('MSR RAW'!S545,",","")),0))</f>
        <v/>
      </c>
    </row>
    <row r="546" ht="68.65000000000001" customHeight="1" s="126">
      <c r="A546" t="n">
        <v>546</v>
      </c>
      <c r="B546" s="30">
        <f>IF('MSR RAW'!$A$3="","",'MSR RAW'!$A$3)</f>
        <v/>
      </c>
      <c r="C546">
        <f>IF(LEFT(TRIM('MSR RAW'!A546),11)="Department:",TRIM('MSR RAW'!A546),C545)</f>
        <v/>
      </c>
      <c r="D546">
        <f>IF(LEFT(TRIM('MSR RAW'!B546),9)="Location:",TRIM(MID('MSR RAW'!B546,10,999)),D545)</f>
        <v/>
      </c>
      <c r="E546">
        <f>IF(AND(ISNUMBER(SEARCH(" - ",TRIM('MSR RAW'!C546))),RIGHT(TRIM('MSR RAW'!C546),6)="Total:"),LEFT(TRIM('MSR RAW'!C546),SEARCH(" - ",TRIM('MSR RAW'!C546))-1),"")</f>
        <v/>
      </c>
      <c r="F546">
        <f>IF(E546="","",TRIM(MID(TRIM('MSR RAW'!C546),SEARCH(" - ",TRIM('MSR RAW'!C546))+3,LEN(TRIM('MSR RAW'!C546))-SEARCH(" - ",TRIM('MSR RAW'!C546))-9)))</f>
        <v/>
      </c>
      <c r="G546">
        <f>IF(E546="","",IFERROR(VLOOKUP(E546,'CATEGORY MAP'!$A$2:$B$20,2,FALSE()),"REVIEW"))</f>
        <v/>
      </c>
      <c r="H546">
        <f>IF(E546="","",IFERROR(VALUE(SUBSTITUTE('MSR RAW'!P546,",","")),0))</f>
        <v/>
      </c>
      <c r="I546">
        <f>IF(E546="","",IFERROR(VALUE(SUBSTITUTE('MSR RAW'!S546,",","")),0))</f>
        <v/>
      </c>
    </row>
    <row r="547" ht="68.65000000000001" customHeight="1" s="126">
      <c r="A547" t="n">
        <v>547</v>
      </c>
      <c r="B547" s="30">
        <f>IF('MSR RAW'!$A$3="","",'MSR RAW'!$A$3)</f>
        <v/>
      </c>
      <c r="C547">
        <f>IF(LEFT(TRIM('MSR RAW'!A547),11)="Department:",TRIM('MSR RAW'!A547),C546)</f>
        <v/>
      </c>
      <c r="D547">
        <f>IF(LEFT(TRIM('MSR RAW'!B547),9)="Location:",TRIM(MID('MSR RAW'!B547,10,999)),D546)</f>
        <v/>
      </c>
      <c r="E547">
        <f>IF(AND(ISNUMBER(SEARCH(" - ",TRIM('MSR RAW'!C547))),RIGHT(TRIM('MSR RAW'!C547),6)="Total:"),LEFT(TRIM('MSR RAW'!C547),SEARCH(" - ",TRIM('MSR RAW'!C547))-1),"")</f>
        <v/>
      </c>
      <c r="F547">
        <f>IF(E547="","",TRIM(MID(TRIM('MSR RAW'!C547),SEARCH(" - ",TRIM('MSR RAW'!C547))+3,LEN(TRIM('MSR RAW'!C547))-SEARCH(" - ",TRIM('MSR RAW'!C547))-9)))</f>
        <v/>
      </c>
      <c r="G547">
        <f>IF(E547="","",IFERROR(VLOOKUP(E547,'CATEGORY MAP'!$A$2:$B$20,2,FALSE()),"REVIEW"))</f>
        <v/>
      </c>
      <c r="H547">
        <f>IF(E547="","",IFERROR(VALUE(SUBSTITUTE('MSR RAW'!P547,",","")),0))</f>
        <v/>
      </c>
      <c r="I547">
        <f>IF(E547="","",IFERROR(VALUE(SUBSTITUTE('MSR RAW'!S547,",","")),0))</f>
        <v/>
      </c>
    </row>
    <row r="548" ht="68.65000000000001" customHeight="1" s="126">
      <c r="A548" t="n">
        <v>548</v>
      </c>
      <c r="B548" s="30">
        <f>IF('MSR RAW'!$A$3="","",'MSR RAW'!$A$3)</f>
        <v/>
      </c>
      <c r="C548">
        <f>IF(LEFT(TRIM('MSR RAW'!A548),11)="Department:",TRIM('MSR RAW'!A548),C547)</f>
        <v/>
      </c>
      <c r="D548">
        <f>IF(LEFT(TRIM('MSR RAW'!B548),9)="Location:",TRIM(MID('MSR RAW'!B548,10,999)),D547)</f>
        <v/>
      </c>
      <c r="E548">
        <f>IF(AND(ISNUMBER(SEARCH(" - ",TRIM('MSR RAW'!C548))),RIGHT(TRIM('MSR RAW'!C548),6)="Total:"),LEFT(TRIM('MSR RAW'!C548),SEARCH(" - ",TRIM('MSR RAW'!C548))-1),"")</f>
        <v/>
      </c>
      <c r="F548">
        <f>IF(E548="","",TRIM(MID(TRIM('MSR RAW'!C548),SEARCH(" - ",TRIM('MSR RAW'!C548))+3,LEN(TRIM('MSR RAW'!C548))-SEARCH(" - ",TRIM('MSR RAW'!C548))-9)))</f>
        <v/>
      </c>
      <c r="G548">
        <f>IF(E548="","",IFERROR(VLOOKUP(E548,'CATEGORY MAP'!$A$2:$B$20,2,FALSE()),"REVIEW"))</f>
        <v/>
      </c>
      <c r="H548">
        <f>IF(E548="","",IFERROR(VALUE(SUBSTITUTE('MSR RAW'!P548,",","")),0))</f>
        <v/>
      </c>
      <c r="I548">
        <f>IF(E548="","",IFERROR(VALUE(SUBSTITUTE('MSR RAW'!S548,",","")),0))</f>
        <v/>
      </c>
    </row>
    <row r="549" ht="68.65000000000001" customHeight="1" s="126">
      <c r="A549" t="n">
        <v>549</v>
      </c>
      <c r="B549" s="30">
        <f>IF('MSR RAW'!$A$3="","",'MSR RAW'!$A$3)</f>
        <v/>
      </c>
      <c r="C549">
        <f>IF(LEFT(TRIM('MSR RAW'!A549),11)="Department:",TRIM('MSR RAW'!A549),C548)</f>
        <v/>
      </c>
      <c r="D549">
        <f>IF(LEFT(TRIM('MSR RAW'!B549),9)="Location:",TRIM(MID('MSR RAW'!B549,10,999)),D548)</f>
        <v/>
      </c>
      <c r="E549">
        <f>IF(AND(ISNUMBER(SEARCH(" - ",TRIM('MSR RAW'!C549))),RIGHT(TRIM('MSR RAW'!C549),6)="Total:"),LEFT(TRIM('MSR RAW'!C549),SEARCH(" - ",TRIM('MSR RAW'!C549))-1),"")</f>
        <v/>
      </c>
      <c r="F549">
        <f>IF(E549="","",TRIM(MID(TRIM('MSR RAW'!C549),SEARCH(" - ",TRIM('MSR RAW'!C549))+3,LEN(TRIM('MSR RAW'!C549))-SEARCH(" - ",TRIM('MSR RAW'!C549))-9)))</f>
        <v/>
      </c>
      <c r="G549">
        <f>IF(E549="","",IFERROR(VLOOKUP(E549,'CATEGORY MAP'!$A$2:$B$20,2,FALSE()),"REVIEW"))</f>
        <v/>
      </c>
      <c r="H549">
        <f>IF(E549="","",IFERROR(VALUE(SUBSTITUTE('MSR RAW'!P549,",","")),0))</f>
        <v/>
      </c>
      <c r="I549">
        <f>IF(E549="","",IFERROR(VALUE(SUBSTITUTE('MSR RAW'!S549,",","")),0))</f>
        <v/>
      </c>
    </row>
    <row r="550" ht="68.65000000000001" customHeight="1" s="126">
      <c r="A550" t="n">
        <v>550</v>
      </c>
      <c r="B550" s="30">
        <f>IF('MSR RAW'!$A$3="","",'MSR RAW'!$A$3)</f>
        <v/>
      </c>
      <c r="C550">
        <f>IF(LEFT(TRIM('MSR RAW'!A550),11)="Department:",TRIM('MSR RAW'!A550),C549)</f>
        <v/>
      </c>
      <c r="D550">
        <f>IF(LEFT(TRIM('MSR RAW'!B550),9)="Location:",TRIM(MID('MSR RAW'!B550,10,999)),D549)</f>
        <v/>
      </c>
      <c r="E550">
        <f>IF(AND(ISNUMBER(SEARCH(" - ",TRIM('MSR RAW'!C550))),RIGHT(TRIM('MSR RAW'!C550),6)="Total:"),LEFT(TRIM('MSR RAW'!C550),SEARCH(" - ",TRIM('MSR RAW'!C550))-1),"")</f>
        <v/>
      </c>
      <c r="F550">
        <f>IF(E550="","",TRIM(MID(TRIM('MSR RAW'!C550),SEARCH(" - ",TRIM('MSR RAW'!C550))+3,LEN(TRIM('MSR RAW'!C550))-SEARCH(" - ",TRIM('MSR RAW'!C550))-9)))</f>
        <v/>
      </c>
      <c r="G550">
        <f>IF(E550="","",IFERROR(VLOOKUP(E550,'CATEGORY MAP'!$A$2:$B$20,2,FALSE()),"REVIEW"))</f>
        <v/>
      </c>
      <c r="H550">
        <f>IF(E550="","",IFERROR(VALUE(SUBSTITUTE('MSR RAW'!P550,",","")),0))</f>
        <v/>
      </c>
      <c r="I550">
        <f>IF(E550="","",IFERROR(VALUE(SUBSTITUTE('MSR RAW'!S550,",","")),0))</f>
        <v/>
      </c>
    </row>
    <row r="551" ht="68.65000000000001" customHeight="1" s="126">
      <c r="A551" t="n">
        <v>551</v>
      </c>
      <c r="B551" s="30">
        <f>IF('MSR RAW'!$A$3="","",'MSR RAW'!$A$3)</f>
        <v/>
      </c>
      <c r="C551">
        <f>IF(LEFT(TRIM('MSR RAW'!A551),11)="Department:",TRIM('MSR RAW'!A551),C550)</f>
        <v/>
      </c>
      <c r="D551">
        <f>IF(LEFT(TRIM('MSR RAW'!B551),9)="Location:",TRIM(MID('MSR RAW'!B551,10,999)),D550)</f>
        <v/>
      </c>
      <c r="E551">
        <f>IF(AND(ISNUMBER(SEARCH(" - ",TRIM('MSR RAW'!C551))),RIGHT(TRIM('MSR RAW'!C551),6)="Total:"),LEFT(TRIM('MSR RAW'!C551),SEARCH(" - ",TRIM('MSR RAW'!C551))-1),"")</f>
        <v/>
      </c>
      <c r="F551">
        <f>IF(E551="","",TRIM(MID(TRIM('MSR RAW'!C551),SEARCH(" - ",TRIM('MSR RAW'!C551))+3,LEN(TRIM('MSR RAW'!C551))-SEARCH(" - ",TRIM('MSR RAW'!C551))-9)))</f>
        <v/>
      </c>
      <c r="G551">
        <f>IF(E551="","",IFERROR(VLOOKUP(E551,'CATEGORY MAP'!$A$2:$B$20,2,FALSE()),"REVIEW"))</f>
        <v/>
      </c>
      <c r="H551">
        <f>IF(E551="","",IFERROR(VALUE(SUBSTITUTE('MSR RAW'!P551,",","")),0))</f>
        <v/>
      </c>
      <c r="I551">
        <f>IF(E551="","",IFERROR(VALUE(SUBSTITUTE('MSR RAW'!S551,",","")),0))</f>
        <v/>
      </c>
    </row>
    <row r="552" ht="68.65000000000001" customHeight="1" s="126">
      <c r="A552" t="n">
        <v>552</v>
      </c>
      <c r="B552" s="30">
        <f>IF('MSR RAW'!$A$3="","",'MSR RAW'!$A$3)</f>
        <v/>
      </c>
      <c r="C552">
        <f>IF(LEFT(TRIM('MSR RAW'!A552),11)="Department:",TRIM('MSR RAW'!A552),C551)</f>
        <v/>
      </c>
      <c r="D552">
        <f>IF(LEFT(TRIM('MSR RAW'!B552),9)="Location:",TRIM(MID('MSR RAW'!B552,10,999)),D551)</f>
        <v/>
      </c>
      <c r="E552">
        <f>IF(AND(ISNUMBER(SEARCH(" - ",TRIM('MSR RAW'!C552))),RIGHT(TRIM('MSR RAW'!C552),6)="Total:"),LEFT(TRIM('MSR RAW'!C552),SEARCH(" - ",TRIM('MSR RAW'!C552))-1),"")</f>
        <v/>
      </c>
      <c r="F552">
        <f>IF(E552="","",TRIM(MID(TRIM('MSR RAW'!C552),SEARCH(" - ",TRIM('MSR RAW'!C552))+3,LEN(TRIM('MSR RAW'!C552))-SEARCH(" - ",TRIM('MSR RAW'!C552))-9)))</f>
        <v/>
      </c>
      <c r="G552">
        <f>IF(E552="","",IFERROR(VLOOKUP(E552,'CATEGORY MAP'!$A$2:$B$20,2,FALSE()),"REVIEW"))</f>
        <v/>
      </c>
      <c r="H552">
        <f>IF(E552="","",IFERROR(VALUE(SUBSTITUTE('MSR RAW'!P552,",","")),0))</f>
        <v/>
      </c>
      <c r="I552">
        <f>IF(E552="","",IFERROR(VALUE(SUBSTITUTE('MSR RAW'!S552,",","")),0))</f>
        <v/>
      </c>
    </row>
    <row r="553" ht="68.65000000000001" customHeight="1" s="126">
      <c r="A553" t="n">
        <v>553</v>
      </c>
      <c r="B553" s="30">
        <f>IF('MSR RAW'!$A$3="","",'MSR RAW'!$A$3)</f>
        <v/>
      </c>
      <c r="C553">
        <f>IF(LEFT(TRIM('MSR RAW'!A553),11)="Department:",TRIM('MSR RAW'!A553),C552)</f>
        <v/>
      </c>
      <c r="D553">
        <f>IF(LEFT(TRIM('MSR RAW'!B553),9)="Location:",TRIM(MID('MSR RAW'!B553,10,999)),D552)</f>
        <v/>
      </c>
      <c r="E553">
        <f>IF(AND(ISNUMBER(SEARCH(" - ",TRIM('MSR RAW'!C553))),RIGHT(TRIM('MSR RAW'!C553),6)="Total:"),LEFT(TRIM('MSR RAW'!C553),SEARCH(" - ",TRIM('MSR RAW'!C553))-1),"")</f>
        <v/>
      </c>
      <c r="F553">
        <f>IF(E553="","",TRIM(MID(TRIM('MSR RAW'!C553),SEARCH(" - ",TRIM('MSR RAW'!C553))+3,LEN(TRIM('MSR RAW'!C553))-SEARCH(" - ",TRIM('MSR RAW'!C553))-9)))</f>
        <v/>
      </c>
      <c r="G553">
        <f>IF(E553="","",IFERROR(VLOOKUP(E553,'CATEGORY MAP'!$A$2:$B$20,2,FALSE()),"REVIEW"))</f>
        <v/>
      </c>
      <c r="H553">
        <f>IF(E553="","",IFERROR(VALUE(SUBSTITUTE('MSR RAW'!P553,",","")),0))</f>
        <v/>
      </c>
      <c r="I553">
        <f>IF(E553="","",IFERROR(VALUE(SUBSTITUTE('MSR RAW'!S553,",","")),0))</f>
        <v/>
      </c>
    </row>
    <row r="554" ht="68.65000000000001" customHeight="1" s="126">
      <c r="A554" t="n">
        <v>554</v>
      </c>
      <c r="B554" s="30">
        <f>IF('MSR RAW'!$A$3="","",'MSR RAW'!$A$3)</f>
        <v/>
      </c>
      <c r="C554">
        <f>IF(LEFT(TRIM('MSR RAW'!A554),11)="Department:",TRIM('MSR RAW'!A554),C553)</f>
        <v/>
      </c>
      <c r="D554">
        <f>IF(LEFT(TRIM('MSR RAW'!B554),9)="Location:",TRIM(MID('MSR RAW'!B554,10,999)),D553)</f>
        <v/>
      </c>
      <c r="E554">
        <f>IF(AND(ISNUMBER(SEARCH(" - ",TRIM('MSR RAW'!C554))),RIGHT(TRIM('MSR RAW'!C554),6)="Total:"),LEFT(TRIM('MSR RAW'!C554),SEARCH(" - ",TRIM('MSR RAW'!C554))-1),"")</f>
        <v/>
      </c>
      <c r="F554">
        <f>IF(E554="","",TRIM(MID(TRIM('MSR RAW'!C554),SEARCH(" - ",TRIM('MSR RAW'!C554))+3,LEN(TRIM('MSR RAW'!C554))-SEARCH(" - ",TRIM('MSR RAW'!C554))-9)))</f>
        <v/>
      </c>
      <c r="G554">
        <f>IF(E554="","",IFERROR(VLOOKUP(E554,'CATEGORY MAP'!$A$2:$B$20,2,FALSE()),"REVIEW"))</f>
        <v/>
      </c>
      <c r="H554">
        <f>IF(E554="","",IFERROR(VALUE(SUBSTITUTE('MSR RAW'!P554,",","")),0))</f>
        <v/>
      </c>
      <c r="I554">
        <f>IF(E554="","",IFERROR(VALUE(SUBSTITUTE('MSR RAW'!S554,",","")),0))</f>
        <v/>
      </c>
    </row>
    <row r="555" ht="68.65000000000001" customHeight="1" s="126">
      <c r="A555" t="n">
        <v>555</v>
      </c>
      <c r="B555" s="30">
        <f>IF('MSR RAW'!$A$3="","",'MSR RAW'!$A$3)</f>
        <v/>
      </c>
      <c r="C555">
        <f>IF(LEFT(TRIM('MSR RAW'!A555),11)="Department:",TRIM('MSR RAW'!A555),C554)</f>
        <v/>
      </c>
      <c r="D555">
        <f>IF(LEFT(TRIM('MSR RAW'!B555),9)="Location:",TRIM(MID('MSR RAW'!B555,10,999)),D554)</f>
        <v/>
      </c>
      <c r="E555">
        <f>IF(AND(ISNUMBER(SEARCH(" - ",TRIM('MSR RAW'!C555))),RIGHT(TRIM('MSR RAW'!C555),6)="Total:"),LEFT(TRIM('MSR RAW'!C555),SEARCH(" - ",TRIM('MSR RAW'!C555))-1),"")</f>
        <v/>
      </c>
      <c r="F555">
        <f>IF(E555="","",TRIM(MID(TRIM('MSR RAW'!C555),SEARCH(" - ",TRIM('MSR RAW'!C555))+3,LEN(TRIM('MSR RAW'!C555))-SEARCH(" - ",TRIM('MSR RAW'!C555))-9)))</f>
        <v/>
      </c>
      <c r="G555">
        <f>IF(E555="","",IFERROR(VLOOKUP(E555,'CATEGORY MAP'!$A$2:$B$20,2,FALSE()),"REVIEW"))</f>
        <v/>
      </c>
      <c r="H555">
        <f>IF(E555="","",IFERROR(VALUE(SUBSTITUTE('MSR RAW'!P555,",","")),0))</f>
        <v/>
      </c>
      <c r="I555">
        <f>IF(E555="","",IFERROR(VALUE(SUBSTITUTE('MSR RAW'!S555,",","")),0))</f>
        <v/>
      </c>
    </row>
    <row r="556" ht="68.65000000000001" customHeight="1" s="126">
      <c r="A556" t="n">
        <v>556</v>
      </c>
      <c r="B556" s="30">
        <f>IF('MSR RAW'!$A$3="","",'MSR RAW'!$A$3)</f>
        <v/>
      </c>
      <c r="C556">
        <f>IF(LEFT(TRIM('MSR RAW'!A556),11)="Department:",TRIM('MSR RAW'!A556),C555)</f>
        <v/>
      </c>
      <c r="D556">
        <f>IF(LEFT(TRIM('MSR RAW'!B556),9)="Location:",TRIM(MID('MSR RAW'!B556,10,999)),D555)</f>
        <v/>
      </c>
      <c r="E556">
        <f>IF(AND(ISNUMBER(SEARCH(" - ",TRIM('MSR RAW'!C556))),RIGHT(TRIM('MSR RAW'!C556),6)="Total:"),LEFT(TRIM('MSR RAW'!C556),SEARCH(" - ",TRIM('MSR RAW'!C556))-1),"")</f>
        <v/>
      </c>
      <c r="F556">
        <f>IF(E556="","",TRIM(MID(TRIM('MSR RAW'!C556),SEARCH(" - ",TRIM('MSR RAW'!C556))+3,LEN(TRIM('MSR RAW'!C556))-SEARCH(" - ",TRIM('MSR RAW'!C556))-9)))</f>
        <v/>
      </c>
      <c r="G556">
        <f>IF(E556="","",IFERROR(VLOOKUP(E556,'CATEGORY MAP'!$A$2:$B$20,2,FALSE()),"REVIEW"))</f>
        <v/>
      </c>
      <c r="H556">
        <f>IF(E556="","",IFERROR(VALUE(SUBSTITUTE('MSR RAW'!P556,",","")),0))</f>
        <v/>
      </c>
      <c r="I556">
        <f>IF(E556="","",IFERROR(VALUE(SUBSTITUTE('MSR RAW'!S556,",","")),0))</f>
        <v/>
      </c>
    </row>
    <row r="557" ht="68.65000000000001" customHeight="1" s="126">
      <c r="A557" t="n">
        <v>557</v>
      </c>
      <c r="B557" s="30">
        <f>IF('MSR RAW'!$A$3="","",'MSR RAW'!$A$3)</f>
        <v/>
      </c>
      <c r="C557">
        <f>IF(LEFT(TRIM('MSR RAW'!A557),11)="Department:",TRIM('MSR RAW'!A557),C556)</f>
        <v/>
      </c>
      <c r="D557">
        <f>IF(LEFT(TRIM('MSR RAW'!B557),9)="Location:",TRIM(MID('MSR RAW'!B557,10,999)),D556)</f>
        <v/>
      </c>
      <c r="E557">
        <f>IF(AND(ISNUMBER(SEARCH(" - ",TRIM('MSR RAW'!C557))),RIGHT(TRIM('MSR RAW'!C557),6)="Total:"),LEFT(TRIM('MSR RAW'!C557),SEARCH(" - ",TRIM('MSR RAW'!C557))-1),"")</f>
        <v/>
      </c>
      <c r="F557">
        <f>IF(E557="","",TRIM(MID(TRIM('MSR RAW'!C557),SEARCH(" - ",TRIM('MSR RAW'!C557))+3,LEN(TRIM('MSR RAW'!C557))-SEARCH(" - ",TRIM('MSR RAW'!C557))-9)))</f>
        <v/>
      </c>
      <c r="G557">
        <f>IF(E557="","",IFERROR(VLOOKUP(E557,'CATEGORY MAP'!$A$2:$B$20,2,FALSE()),"REVIEW"))</f>
        <v/>
      </c>
      <c r="H557">
        <f>IF(E557="","",IFERROR(VALUE(SUBSTITUTE('MSR RAW'!P557,",","")),0))</f>
        <v/>
      </c>
      <c r="I557">
        <f>IF(E557="","",IFERROR(VALUE(SUBSTITUTE('MSR RAW'!S557,",","")),0))</f>
        <v/>
      </c>
    </row>
    <row r="558" ht="68.65000000000001" customHeight="1" s="126">
      <c r="A558" t="n">
        <v>558</v>
      </c>
      <c r="B558" s="30">
        <f>IF('MSR RAW'!$A$3="","",'MSR RAW'!$A$3)</f>
        <v/>
      </c>
      <c r="C558">
        <f>IF(LEFT(TRIM('MSR RAW'!A558),11)="Department:",TRIM('MSR RAW'!A558),C557)</f>
        <v/>
      </c>
      <c r="D558">
        <f>IF(LEFT(TRIM('MSR RAW'!B558),9)="Location:",TRIM(MID('MSR RAW'!B558,10,999)),D557)</f>
        <v/>
      </c>
      <c r="E558">
        <f>IF(AND(ISNUMBER(SEARCH(" - ",TRIM('MSR RAW'!C558))),RIGHT(TRIM('MSR RAW'!C558),6)="Total:"),LEFT(TRIM('MSR RAW'!C558),SEARCH(" - ",TRIM('MSR RAW'!C558))-1),"")</f>
        <v/>
      </c>
      <c r="F558">
        <f>IF(E558="","",TRIM(MID(TRIM('MSR RAW'!C558),SEARCH(" - ",TRIM('MSR RAW'!C558))+3,LEN(TRIM('MSR RAW'!C558))-SEARCH(" - ",TRIM('MSR RAW'!C558))-9)))</f>
        <v/>
      </c>
      <c r="G558">
        <f>IF(E558="","",IFERROR(VLOOKUP(E558,'CATEGORY MAP'!$A$2:$B$20,2,FALSE()),"REVIEW"))</f>
        <v/>
      </c>
      <c r="H558">
        <f>IF(E558="","",IFERROR(VALUE(SUBSTITUTE('MSR RAW'!P558,",","")),0))</f>
        <v/>
      </c>
      <c r="I558">
        <f>IF(E558="","",IFERROR(VALUE(SUBSTITUTE('MSR RAW'!S558,",","")),0))</f>
        <v/>
      </c>
    </row>
    <row r="559" ht="68.65000000000001" customHeight="1" s="126">
      <c r="A559" t="n">
        <v>559</v>
      </c>
      <c r="B559" s="30">
        <f>IF('MSR RAW'!$A$3="","",'MSR RAW'!$A$3)</f>
        <v/>
      </c>
      <c r="C559">
        <f>IF(LEFT(TRIM('MSR RAW'!A559),11)="Department:",TRIM('MSR RAW'!A559),C558)</f>
        <v/>
      </c>
      <c r="D559">
        <f>IF(LEFT(TRIM('MSR RAW'!B559),9)="Location:",TRIM(MID('MSR RAW'!B559,10,999)),D558)</f>
        <v/>
      </c>
      <c r="E559">
        <f>IF(AND(ISNUMBER(SEARCH(" - ",TRIM('MSR RAW'!C559))),RIGHT(TRIM('MSR RAW'!C559),6)="Total:"),LEFT(TRIM('MSR RAW'!C559),SEARCH(" - ",TRIM('MSR RAW'!C559))-1),"")</f>
        <v/>
      </c>
      <c r="F559">
        <f>IF(E559="","",TRIM(MID(TRIM('MSR RAW'!C559),SEARCH(" - ",TRIM('MSR RAW'!C559))+3,LEN(TRIM('MSR RAW'!C559))-SEARCH(" - ",TRIM('MSR RAW'!C559))-9)))</f>
        <v/>
      </c>
      <c r="G559">
        <f>IF(E559="","",IFERROR(VLOOKUP(E559,'CATEGORY MAP'!$A$2:$B$20,2,FALSE()),"REVIEW"))</f>
        <v/>
      </c>
      <c r="H559">
        <f>IF(E559="","",IFERROR(VALUE(SUBSTITUTE('MSR RAW'!P559,",","")),0))</f>
        <v/>
      </c>
      <c r="I559">
        <f>IF(E559="","",IFERROR(VALUE(SUBSTITUTE('MSR RAW'!S559,",","")),0))</f>
        <v/>
      </c>
    </row>
    <row r="560" ht="68.65000000000001" customHeight="1" s="126">
      <c r="A560" t="n">
        <v>560</v>
      </c>
      <c r="B560" s="30">
        <f>IF('MSR RAW'!$A$3="","",'MSR RAW'!$A$3)</f>
        <v/>
      </c>
      <c r="C560">
        <f>IF(LEFT(TRIM('MSR RAW'!A560),11)="Department:",TRIM('MSR RAW'!A560),C559)</f>
        <v/>
      </c>
      <c r="D560">
        <f>IF(LEFT(TRIM('MSR RAW'!B560),9)="Location:",TRIM(MID('MSR RAW'!B560,10,999)),D559)</f>
        <v/>
      </c>
      <c r="E560">
        <f>IF(AND(ISNUMBER(SEARCH(" - ",TRIM('MSR RAW'!C560))),RIGHT(TRIM('MSR RAW'!C560),6)="Total:"),LEFT(TRIM('MSR RAW'!C560),SEARCH(" - ",TRIM('MSR RAW'!C560))-1),"")</f>
        <v/>
      </c>
      <c r="F560">
        <f>IF(E560="","",TRIM(MID(TRIM('MSR RAW'!C560),SEARCH(" - ",TRIM('MSR RAW'!C560))+3,LEN(TRIM('MSR RAW'!C560))-SEARCH(" - ",TRIM('MSR RAW'!C560))-9)))</f>
        <v/>
      </c>
      <c r="G560">
        <f>IF(E560="","",IFERROR(VLOOKUP(E560,'CATEGORY MAP'!$A$2:$B$20,2,FALSE()),"REVIEW"))</f>
        <v/>
      </c>
      <c r="H560">
        <f>IF(E560="","",IFERROR(VALUE(SUBSTITUTE('MSR RAW'!P560,",","")),0))</f>
        <v/>
      </c>
      <c r="I560">
        <f>IF(E560="","",IFERROR(VALUE(SUBSTITUTE('MSR RAW'!S560,",","")),0))</f>
        <v/>
      </c>
    </row>
    <row r="561" ht="68.65000000000001" customHeight="1" s="126">
      <c r="A561" t="n">
        <v>561</v>
      </c>
      <c r="B561" s="30">
        <f>IF('MSR RAW'!$A$3="","",'MSR RAW'!$A$3)</f>
        <v/>
      </c>
      <c r="C561">
        <f>IF(LEFT(TRIM('MSR RAW'!A561),11)="Department:",TRIM('MSR RAW'!A561),C560)</f>
        <v/>
      </c>
      <c r="D561">
        <f>IF(LEFT(TRIM('MSR RAW'!B561),9)="Location:",TRIM(MID('MSR RAW'!B561,10,999)),D560)</f>
        <v/>
      </c>
      <c r="E561">
        <f>IF(AND(ISNUMBER(SEARCH(" - ",TRIM('MSR RAW'!C561))),RIGHT(TRIM('MSR RAW'!C561),6)="Total:"),LEFT(TRIM('MSR RAW'!C561),SEARCH(" - ",TRIM('MSR RAW'!C561))-1),"")</f>
        <v/>
      </c>
      <c r="F561">
        <f>IF(E561="","",TRIM(MID(TRIM('MSR RAW'!C561),SEARCH(" - ",TRIM('MSR RAW'!C561))+3,LEN(TRIM('MSR RAW'!C561))-SEARCH(" - ",TRIM('MSR RAW'!C561))-9)))</f>
        <v/>
      </c>
      <c r="G561">
        <f>IF(E561="","",IFERROR(VLOOKUP(E561,'CATEGORY MAP'!$A$2:$B$20,2,FALSE()),"REVIEW"))</f>
        <v/>
      </c>
      <c r="H561">
        <f>IF(E561="","",IFERROR(VALUE(SUBSTITUTE('MSR RAW'!P561,",","")),0))</f>
        <v/>
      </c>
      <c r="I561">
        <f>IF(E561="","",IFERROR(VALUE(SUBSTITUTE('MSR RAW'!S561,",","")),0))</f>
        <v/>
      </c>
    </row>
    <row r="562" ht="68.65000000000001" customHeight="1" s="126">
      <c r="A562" t="n">
        <v>562</v>
      </c>
      <c r="B562" s="30">
        <f>IF('MSR RAW'!$A$3="","",'MSR RAW'!$A$3)</f>
        <v/>
      </c>
      <c r="C562">
        <f>IF(LEFT(TRIM('MSR RAW'!A562),11)="Department:",TRIM('MSR RAW'!A562),C561)</f>
        <v/>
      </c>
      <c r="D562">
        <f>IF(LEFT(TRIM('MSR RAW'!B562),9)="Location:",TRIM(MID('MSR RAW'!B562,10,999)),D561)</f>
        <v/>
      </c>
      <c r="E562">
        <f>IF(AND(ISNUMBER(SEARCH(" - ",TRIM('MSR RAW'!C562))),RIGHT(TRIM('MSR RAW'!C562),6)="Total:"),LEFT(TRIM('MSR RAW'!C562),SEARCH(" - ",TRIM('MSR RAW'!C562))-1),"")</f>
        <v/>
      </c>
      <c r="F562">
        <f>IF(E562="","",TRIM(MID(TRIM('MSR RAW'!C562),SEARCH(" - ",TRIM('MSR RAW'!C562))+3,LEN(TRIM('MSR RAW'!C562))-SEARCH(" - ",TRIM('MSR RAW'!C562))-9)))</f>
        <v/>
      </c>
      <c r="G562">
        <f>IF(E562="","",IFERROR(VLOOKUP(E562,'CATEGORY MAP'!$A$2:$B$20,2,FALSE()),"REVIEW"))</f>
        <v/>
      </c>
      <c r="H562">
        <f>IF(E562="","",IFERROR(VALUE(SUBSTITUTE('MSR RAW'!P562,",","")),0))</f>
        <v/>
      </c>
      <c r="I562">
        <f>IF(E562="","",IFERROR(VALUE(SUBSTITUTE('MSR RAW'!S562,",","")),0))</f>
        <v/>
      </c>
    </row>
    <row r="563" ht="68.65000000000001" customHeight="1" s="126">
      <c r="A563" t="n">
        <v>563</v>
      </c>
      <c r="B563" s="30">
        <f>IF('MSR RAW'!$A$3="","",'MSR RAW'!$A$3)</f>
        <v/>
      </c>
      <c r="C563">
        <f>IF(LEFT(TRIM('MSR RAW'!A563),11)="Department:",TRIM('MSR RAW'!A563),C562)</f>
        <v/>
      </c>
      <c r="D563">
        <f>IF(LEFT(TRIM('MSR RAW'!B563),9)="Location:",TRIM(MID('MSR RAW'!B563,10,999)),D562)</f>
        <v/>
      </c>
      <c r="E563">
        <f>IF(AND(ISNUMBER(SEARCH(" - ",TRIM('MSR RAW'!C563))),RIGHT(TRIM('MSR RAW'!C563),6)="Total:"),LEFT(TRIM('MSR RAW'!C563),SEARCH(" - ",TRIM('MSR RAW'!C563))-1),"")</f>
        <v/>
      </c>
      <c r="F563">
        <f>IF(E563="","",TRIM(MID(TRIM('MSR RAW'!C563),SEARCH(" - ",TRIM('MSR RAW'!C563))+3,LEN(TRIM('MSR RAW'!C563))-SEARCH(" - ",TRIM('MSR RAW'!C563))-9)))</f>
        <v/>
      </c>
      <c r="G563">
        <f>IF(E563="","",IFERROR(VLOOKUP(E563,'CATEGORY MAP'!$A$2:$B$20,2,FALSE()),"REVIEW"))</f>
        <v/>
      </c>
      <c r="H563">
        <f>IF(E563="","",IFERROR(VALUE(SUBSTITUTE('MSR RAW'!P563,",","")),0))</f>
        <v/>
      </c>
      <c r="I563">
        <f>IF(E563="","",IFERROR(VALUE(SUBSTITUTE('MSR RAW'!S563,",","")),0))</f>
        <v/>
      </c>
    </row>
    <row r="564" ht="68.65000000000001" customHeight="1" s="126">
      <c r="A564" t="n">
        <v>564</v>
      </c>
      <c r="B564" s="30">
        <f>IF('MSR RAW'!$A$3="","",'MSR RAW'!$A$3)</f>
        <v/>
      </c>
      <c r="C564">
        <f>IF(LEFT(TRIM('MSR RAW'!A564),11)="Department:",TRIM('MSR RAW'!A564),C563)</f>
        <v/>
      </c>
      <c r="D564">
        <f>IF(LEFT(TRIM('MSR RAW'!B564),9)="Location:",TRIM(MID('MSR RAW'!B564,10,999)),D563)</f>
        <v/>
      </c>
      <c r="E564">
        <f>IF(AND(ISNUMBER(SEARCH(" - ",TRIM('MSR RAW'!C564))),RIGHT(TRIM('MSR RAW'!C564),6)="Total:"),LEFT(TRIM('MSR RAW'!C564),SEARCH(" - ",TRIM('MSR RAW'!C564))-1),"")</f>
        <v/>
      </c>
      <c r="F564">
        <f>IF(E564="","",TRIM(MID(TRIM('MSR RAW'!C564),SEARCH(" - ",TRIM('MSR RAW'!C564))+3,LEN(TRIM('MSR RAW'!C564))-SEARCH(" - ",TRIM('MSR RAW'!C564))-9)))</f>
        <v/>
      </c>
      <c r="G564">
        <f>IF(E564="","",IFERROR(VLOOKUP(E564,'CATEGORY MAP'!$A$2:$B$20,2,FALSE()),"REVIEW"))</f>
        <v/>
      </c>
      <c r="H564">
        <f>IF(E564="","",IFERROR(VALUE(SUBSTITUTE('MSR RAW'!P564,",","")),0))</f>
        <v/>
      </c>
      <c r="I564">
        <f>IF(E564="","",IFERROR(VALUE(SUBSTITUTE('MSR RAW'!S564,",","")),0))</f>
        <v/>
      </c>
    </row>
    <row r="565" ht="68.65000000000001" customHeight="1" s="126">
      <c r="A565" t="n">
        <v>565</v>
      </c>
      <c r="B565" s="30">
        <f>IF('MSR RAW'!$A$3="","",'MSR RAW'!$A$3)</f>
        <v/>
      </c>
      <c r="C565">
        <f>IF(LEFT(TRIM('MSR RAW'!A565),11)="Department:",TRIM('MSR RAW'!A565),C564)</f>
        <v/>
      </c>
      <c r="D565">
        <f>IF(LEFT(TRIM('MSR RAW'!B565),9)="Location:",TRIM(MID('MSR RAW'!B565,10,999)),D564)</f>
        <v/>
      </c>
      <c r="E565">
        <f>IF(AND(ISNUMBER(SEARCH(" - ",TRIM('MSR RAW'!C565))),RIGHT(TRIM('MSR RAW'!C565),6)="Total:"),LEFT(TRIM('MSR RAW'!C565),SEARCH(" - ",TRIM('MSR RAW'!C565))-1),"")</f>
        <v/>
      </c>
      <c r="F565">
        <f>IF(E565="","",TRIM(MID(TRIM('MSR RAW'!C565),SEARCH(" - ",TRIM('MSR RAW'!C565))+3,LEN(TRIM('MSR RAW'!C565))-SEARCH(" - ",TRIM('MSR RAW'!C565))-9)))</f>
        <v/>
      </c>
      <c r="G565">
        <f>IF(E565="","",IFERROR(VLOOKUP(E565,'CATEGORY MAP'!$A$2:$B$20,2,FALSE()),"REVIEW"))</f>
        <v/>
      </c>
      <c r="H565">
        <f>IF(E565="","",IFERROR(VALUE(SUBSTITUTE('MSR RAW'!P565,",","")),0))</f>
        <v/>
      </c>
      <c r="I565">
        <f>IF(E565="","",IFERROR(VALUE(SUBSTITUTE('MSR RAW'!S565,",","")),0))</f>
        <v/>
      </c>
    </row>
    <row r="566" ht="68.65000000000001" customHeight="1" s="126">
      <c r="A566" t="n">
        <v>566</v>
      </c>
      <c r="B566" s="30">
        <f>IF('MSR RAW'!$A$3="","",'MSR RAW'!$A$3)</f>
        <v/>
      </c>
      <c r="C566">
        <f>IF(LEFT(TRIM('MSR RAW'!A566),11)="Department:",TRIM('MSR RAW'!A566),C565)</f>
        <v/>
      </c>
      <c r="D566">
        <f>IF(LEFT(TRIM('MSR RAW'!B566),9)="Location:",TRIM(MID('MSR RAW'!B566,10,999)),D565)</f>
        <v/>
      </c>
      <c r="E566">
        <f>IF(AND(ISNUMBER(SEARCH(" - ",TRIM('MSR RAW'!C566))),RIGHT(TRIM('MSR RAW'!C566),6)="Total:"),LEFT(TRIM('MSR RAW'!C566),SEARCH(" - ",TRIM('MSR RAW'!C566))-1),"")</f>
        <v/>
      </c>
      <c r="F566">
        <f>IF(E566="","",TRIM(MID(TRIM('MSR RAW'!C566),SEARCH(" - ",TRIM('MSR RAW'!C566))+3,LEN(TRIM('MSR RAW'!C566))-SEARCH(" - ",TRIM('MSR RAW'!C566))-9)))</f>
        <v/>
      </c>
      <c r="G566">
        <f>IF(E566="","",IFERROR(VLOOKUP(E566,'CATEGORY MAP'!$A$2:$B$20,2,FALSE()),"REVIEW"))</f>
        <v/>
      </c>
      <c r="H566">
        <f>IF(E566="","",IFERROR(VALUE(SUBSTITUTE('MSR RAW'!P566,",","")),0))</f>
        <v/>
      </c>
      <c r="I566">
        <f>IF(E566="","",IFERROR(VALUE(SUBSTITUTE('MSR RAW'!S566,",","")),0))</f>
        <v/>
      </c>
    </row>
    <row r="567" ht="68.65000000000001" customHeight="1" s="126">
      <c r="A567" t="n">
        <v>567</v>
      </c>
      <c r="B567" s="30">
        <f>IF('MSR RAW'!$A$3="","",'MSR RAW'!$A$3)</f>
        <v/>
      </c>
      <c r="C567">
        <f>IF(LEFT(TRIM('MSR RAW'!A567),11)="Department:",TRIM('MSR RAW'!A567),C566)</f>
        <v/>
      </c>
      <c r="D567">
        <f>IF(LEFT(TRIM('MSR RAW'!B567),9)="Location:",TRIM(MID('MSR RAW'!B567,10,999)),D566)</f>
        <v/>
      </c>
      <c r="E567">
        <f>IF(AND(ISNUMBER(SEARCH(" - ",TRIM('MSR RAW'!C567))),RIGHT(TRIM('MSR RAW'!C567),6)="Total:"),LEFT(TRIM('MSR RAW'!C567),SEARCH(" - ",TRIM('MSR RAW'!C567))-1),"")</f>
        <v/>
      </c>
      <c r="F567">
        <f>IF(E567="","",TRIM(MID(TRIM('MSR RAW'!C567),SEARCH(" - ",TRIM('MSR RAW'!C567))+3,LEN(TRIM('MSR RAW'!C567))-SEARCH(" - ",TRIM('MSR RAW'!C567))-9)))</f>
        <v/>
      </c>
      <c r="G567">
        <f>IF(E567="","",IFERROR(VLOOKUP(E567,'CATEGORY MAP'!$A$2:$B$20,2,FALSE()),"REVIEW"))</f>
        <v/>
      </c>
      <c r="H567">
        <f>IF(E567="","",IFERROR(VALUE(SUBSTITUTE('MSR RAW'!P567,",","")),0))</f>
        <v/>
      </c>
      <c r="I567">
        <f>IF(E567="","",IFERROR(VALUE(SUBSTITUTE('MSR RAW'!S567,",","")),0))</f>
        <v/>
      </c>
    </row>
    <row r="568" ht="68.65000000000001" customHeight="1" s="126">
      <c r="A568" t="n">
        <v>568</v>
      </c>
      <c r="B568" s="30">
        <f>IF('MSR RAW'!$A$3="","",'MSR RAW'!$A$3)</f>
        <v/>
      </c>
      <c r="C568">
        <f>IF(LEFT(TRIM('MSR RAW'!A568),11)="Department:",TRIM('MSR RAW'!A568),C567)</f>
        <v/>
      </c>
      <c r="D568">
        <f>IF(LEFT(TRIM('MSR RAW'!B568),9)="Location:",TRIM(MID('MSR RAW'!B568,10,999)),D567)</f>
        <v/>
      </c>
      <c r="E568">
        <f>IF(AND(ISNUMBER(SEARCH(" - ",TRIM('MSR RAW'!C568))),RIGHT(TRIM('MSR RAW'!C568),6)="Total:"),LEFT(TRIM('MSR RAW'!C568),SEARCH(" - ",TRIM('MSR RAW'!C568))-1),"")</f>
        <v/>
      </c>
      <c r="F568">
        <f>IF(E568="","",TRIM(MID(TRIM('MSR RAW'!C568),SEARCH(" - ",TRIM('MSR RAW'!C568))+3,LEN(TRIM('MSR RAW'!C568))-SEARCH(" - ",TRIM('MSR RAW'!C568))-9)))</f>
        <v/>
      </c>
      <c r="G568">
        <f>IF(E568="","",IFERROR(VLOOKUP(E568,'CATEGORY MAP'!$A$2:$B$20,2,FALSE()),"REVIEW"))</f>
        <v/>
      </c>
      <c r="H568">
        <f>IF(E568="","",IFERROR(VALUE(SUBSTITUTE('MSR RAW'!P568,",","")),0))</f>
        <v/>
      </c>
      <c r="I568">
        <f>IF(E568="","",IFERROR(VALUE(SUBSTITUTE('MSR RAW'!S568,",","")),0))</f>
        <v/>
      </c>
    </row>
    <row r="569" ht="68.65000000000001" customHeight="1" s="126">
      <c r="A569" t="n">
        <v>569</v>
      </c>
      <c r="B569" s="30">
        <f>IF('MSR RAW'!$A$3="","",'MSR RAW'!$A$3)</f>
        <v/>
      </c>
      <c r="C569">
        <f>IF(LEFT(TRIM('MSR RAW'!A569),11)="Department:",TRIM('MSR RAW'!A569),C568)</f>
        <v/>
      </c>
      <c r="D569">
        <f>IF(LEFT(TRIM('MSR RAW'!B569),9)="Location:",TRIM(MID('MSR RAW'!B569,10,999)),D568)</f>
        <v/>
      </c>
      <c r="E569">
        <f>IF(AND(ISNUMBER(SEARCH(" - ",TRIM('MSR RAW'!C569))),RIGHT(TRIM('MSR RAW'!C569),6)="Total:"),LEFT(TRIM('MSR RAW'!C569),SEARCH(" - ",TRIM('MSR RAW'!C569))-1),"")</f>
        <v/>
      </c>
      <c r="F569">
        <f>IF(E569="","",TRIM(MID(TRIM('MSR RAW'!C569),SEARCH(" - ",TRIM('MSR RAW'!C569))+3,LEN(TRIM('MSR RAW'!C569))-SEARCH(" - ",TRIM('MSR RAW'!C569))-9)))</f>
        <v/>
      </c>
      <c r="G569">
        <f>IF(E569="","",IFERROR(VLOOKUP(E569,'CATEGORY MAP'!$A$2:$B$20,2,FALSE()),"REVIEW"))</f>
        <v/>
      </c>
      <c r="H569">
        <f>IF(E569="","",IFERROR(VALUE(SUBSTITUTE('MSR RAW'!P569,",","")),0))</f>
        <v/>
      </c>
      <c r="I569">
        <f>IF(E569="","",IFERROR(VALUE(SUBSTITUTE('MSR RAW'!S569,",","")),0))</f>
        <v/>
      </c>
    </row>
    <row r="570" ht="68.65000000000001" customHeight="1" s="126">
      <c r="A570" t="n">
        <v>570</v>
      </c>
      <c r="B570" s="30">
        <f>IF('MSR RAW'!$A$3="","",'MSR RAW'!$A$3)</f>
        <v/>
      </c>
      <c r="C570">
        <f>IF(LEFT(TRIM('MSR RAW'!A570),11)="Department:",TRIM('MSR RAW'!A570),C569)</f>
        <v/>
      </c>
      <c r="D570">
        <f>IF(LEFT(TRIM('MSR RAW'!B570),9)="Location:",TRIM(MID('MSR RAW'!B570,10,999)),D569)</f>
        <v/>
      </c>
      <c r="E570">
        <f>IF(AND(ISNUMBER(SEARCH(" - ",TRIM('MSR RAW'!C570))),RIGHT(TRIM('MSR RAW'!C570),6)="Total:"),LEFT(TRIM('MSR RAW'!C570),SEARCH(" - ",TRIM('MSR RAW'!C570))-1),"")</f>
        <v/>
      </c>
      <c r="F570">
        <f>IF(E570="","",TRIM(MID(TRIM('MSR RAW'!C570),SEARCH(" - ",TRIM('MSR RAW'!C570))+3,LEN(TRIM('MSR RAW'!C570))-SEARCH(" - ",TRIM('MSR RAW'!C570))-9)))</f>
        <v/>
      </c>
      <c r="G570">
        <f>IF(E570="","",IFERROR(VLOOKUP(E570,'CATEGORY MAP'!$A$2:$B$20,2,FALSE()),"REVIEW"))</f>
        <v/>
      </c>
      <c r="H570">
        <f>IF(E570="","",IFERROR(VALUE(SUBSTITUTE('MSR RAW'!P570,",","")),0))</f>
        <v/>
      </c>
      <c r="I570">
        <f>IF(E570="","",IFERROR(VALUE(SUBSTITUTE('MSR RAW'!S570,",","")),0))</f>
        <v/>
      </c>
    </row>
    <row r="571" ht="68.65000000000001" customHeight="1" s="126">
      <c r="A571" t="n">
        <v>571</v>
      </c>
      <c r="B571" s="30">
        <f>IF('MSR RAW'!$A$3="","",'MSR RAW'!$A$3)</f>
        <v/>
      </c>
      <c r="C571">
        <f>IF(LEFT(TRIM('MSR RAW'!A571),11)="Department:",TRIM('MSR RAW'!A571),C570)</f>
        <v/>
      </c>
      <c r="D571">
        <f>IF(LEFT(TRIM('MSR RAW'!B571),9)="Location:",TRIM(MID('MSR RAW'!B571,10,999)),D570)</f>
        <v/>
      </c>
      <c r="E571">
        <f>IF(AND(ISNUMBER(SEARCH(" - ",TRIM('MSR RAW'!C571))),RIGHT(TRIM('MSR RAW'!C571),6)="Total:"),LEFT(TRIM('MSR RAW'!C571),SEARCH(" - ",TRIM('MSR RAW'!C571))-1),"")</f>
        <v/>
      </c>
      <c r="F571">
        <f>IF(E571="","",TRIM(MID(TRIM('MSR RAW'!C571),SEARCH(" - ",TRIM('MSR RAW'!C571))+3,LEN(TRIM('MSR RAW'!C571))-SEARCH(" - ",TRIM('MSR RAW'!C571))-9)))</f>
        <v/>
      </c>
      <c r="G571">
        <f>IF(E571="","",IFERROR(VLOOKUP(E571,'CATEGORY MAP'!$A$2:$B$20,2,FALSE()),"REVIEW"))</f>
        <v/>
      </c>
      <c r="H571">
        <f>IF(E571="","",IFERROR(VALUE(SUBSTITUTE('MSR RAW'!P571,",","")),0))</f>
        <v/>
      </c>
      <c r="I571">
        <f>IF(E571="","",IFERROR(VALUE(SUBSTITUTE('MSR RAW'!S571,",","")),0))</f>
        <v/>
      </c>
    </row>
    <row r="572" ht="68.65000000000001" customHeight="1" s="126">
      <c r="A572" t="n">
        <v>572</v>
      </c>
      <c r="B572" s="30">
        <f>IF('MSR RAW'!$A$3="","",'MSR RAW'!$A$3)</f>
        <v/>
      </c>
      <c r="C572">
        <f>IF(LEFT(TRIM('MSR RAW'!A572),11)="Department:",TRIM('MSR RAW'!A572),C571)</f>
        <v/>
      </c>
      <c r="D572">
        <f>IF(LEFT(TRIM('MSR RAW'!B572),9)="Location:",TRIM(MID('MSR RAW'!B572,10,999)),D571)</f>
        <v/>
      </c>
      <c r="E572">
        <f>IF(AND(ISNUMBER(SEARCH(" - ",TRIM('MSR RAW'!C572))),RIGHT(TRIM('MSR RAW'!C572),6)="Total:"),LEFT(TRIM('MSR RAW'!C572),SEARCH(" - ",TRIM('MSR RAW'!C572))-1),"")</f>
        <v/>
      </c>
      <c r="F572">
        <f>IF(E572="","",TRIM(MID(TRIM('MSR RAW'!C572),SEARCH(" - ",TRIM('MSR RAW'!C572))+3,LEN(TRIM('MSR RAW'!C572))-SEARCH(" - ",TRIM('MSR RAW'!C572))-9)))</f>
        <v/>
      </c>
      <c r="G572">
        <f>IF(E572="","",IFERROR(VLOOKUP(E572,'CATEGORY MAP'!$A$2:$B$20,2,FALSE()),"REVIEW"))</f>
        <v/>
      </c>
      <c r="H572">
        <f>IF(E572="","",IFERROR(VALUE(SUBSTITUTE('MSR RAW'!P572,",","")),0))</f>
        <v/>
      </c>
      <c r="I572">
        <f>IF(E572="","",IFERROR(VALUE(SUBSTITUTE('MSR RAW'!S572,",","")),0))</f>
        <v/>
      </c>
    </row>
    <row r="573" ht="68.65000000000001" customHeight="1" s="126">
      <c r="A573" t="n">
        <v>573</v>
      </c>
      <c r="B573" s="30">
        <f>IF('MSR RAW'!$A$3="","",'MSR RAW'!$A$3)</f>
        <v/>
      </c>
      <c r="C573">
        <f>IF(LEFT(TRIM('MSR RAW'!A573),11)="Department:",TRIM('MSR RAW'!A573),C572)</f>
        <v/>
      </c>
      <c r="D573">
        <f>IF(LEFT(TRIM('MSR RAW'!B573),9)="Location:",TRIM(MID('MSR RAW'!B573,10,999)),D572)</f>
        <v/>
      </c>
      <c r="E573">
        <f>IF(AND(ISNUMBER(SEARCH(" - ",TRIM('MSR RAW'!C573))),RIGHT(TRIM('MSR RAW'!C573),6)="Total:"),LEFT(TRIM('MSR RAW'!C573),SEARCH(" - ",TRIM('MSR RAW'!C573))-1),"")</f>
        <v/>
      </c>
      <c r="F573">
        <f>IF(E573="","",TRIM(MID(TRIM('MSR RAW'!C573),SEARCH(" - ",TRIM('MSR RAW'!C573))+3,LEN(TRIM('MSR RAW'!C573))-SEARCH(" - ",TRIM('MSR RAW'!C573))-9)))</f>
        <v/>
      </c>
      <c r="G573">
        <f>IF(E573="","",IFERROR(VLOOKUP(E573,'CATEGORY MAP'!$A$2:$B$20,2,FALSE()),"REVIEW"))</f>
        <v/>
      </c>
      <c r="H573">
        <f>IF(E573="","",IFERROR(VALUE(SUBSTITUTE('MSR RAW'!P573,",","")),0))</f>
        <v/>
      </c>
      <c r="I573">
        <f>IF(E573="","",IFERROR(VALUE(SUBSTITUTE('MSR RAW'!S573,",","")),0))</f>
        <v/>
      </c>
    </row>
    <row r="574" ht="68.65000000000001" customHeight="1" s="126">
      <c r="A574" t="n">
        <v>574</v>
      </c>
      <c r="B574" s="30">
        <f>IF('MSR RAW'!$A$3="","",'MSR RAW'!$A$3)</f>
        <v/>
      </c>
      <c r="C574">
        <f>IF(LEFT(TRIM('MSR RAW'!A574),11)="Department:",TRIM('MSR RAW'!A574),C573)</f>
        <v/>
      </c>
      <c r="D574">
        <f>IF(LEFT(TRIM('MSR RAW'!B574),9)="Location:",TRIM(MID('MSR RAW'!B574,10,999)),D573)</f>
        <v/>
      </c>
      <c r="E574">
        <f>IF(AND(ISNUMBER(SEARCH(" - ",TRIM('MSR RAW'!C574))),RIGHT(TRIM('MSR RAW'!C574),6)="Total:"),LEFT(TRIM('MSR RAW'!C574),SEARCH(" - ",TRIM('MSR RAW'!C574))-1),"")</f>
        <v/>
      </c>
      <c r="F574">
        <f>IF(E574="","",TRIM(MID(TRIM('MSR RAW'!C574),SEARCH(" - ",TRIM('MSR RAW'!C574))+3,LEN(TRIM('MSR RAW'!C574))-SEARCH(" - ",TRIM('MSR RAW'!C574))-9)))</f>
        <v/>
      </c>
      <c r="G574">
        <f>IF(E574="","",IFERROR(VLOOKUP(E574,'CATEGORY MAP'!$A$2:$B$20,2,FALSE()),"REVIEW"))</f>
        <v/>
      </c>
      <c r="H574">
        <f>IF(E574="","",IFERROR(VALUE(SUBSTITUTE('MSR RAW'!P574,",","")),0))</f>
        <v/>
      </c>
      <c r="I574">
        <f>IF(E574="","",IFERROR(VALUE(SUBSTITUTE('MSR RAW'!S574,",","")),0))</f>
        <v/>
      </c>
    </row>
    <row r="575" ht="68.65000000000001" customHeight="1" s="126">
      <c r="A575" t="n">
        <v>575</v>
      </c>
      <c r="B575" s="30">
        <f>IF('MSR RAW'!$A$3="","",'MSR RAW'!$A$3)</f>
        <v/>
      </c>
      <c r="C575">
        <f>IF(LEFT(TRIM('MSR RAW'!A575),11)="Department:",TRIM('MSR RAW'!A575),C574)</f>
        <v/>
      </c>
      <c r="D575">
        <f>IF(LEFT(TRIM('MSR RAW'!B575),9)="Location:",TRIM(MID('MSR RAW'!B575,10,999)),D574)</f>
        <v/>
      </c>
      <c r="E575">
        <f>IF(AND(ISNUMBER(SEARCH(" - ",TRIM('MSR RAW'!C575))),RIGHT(TRIM('MSR RAW'!C575),6)="Total:"),LEFT(TRIM('MSR RAW'!C575),SEARCH(" - ",TRIM('MSR RAW'!C575))-1),"")</f>
        <v/>
      </c>
      <c r="F575">
        <f>IF(E575="","",TRIM(MID(TRIM('MSR RAW'!C575),SEARCH(" - ",TRIM('MSR RAW'!C575))+3,LEN(TRIM('MSR RAW'!C575))-SEARCH(" - ",TRIM('MSR RAW'!C575))-9)))</f>
        <v/>
      </c>
      <c r="G575">
        <f>IF(E575="","",IFERROR(VLOOKUP(E575,'CATEGORY MAP'!$A$2:$B$20,2,FALSE()),"REVIEW"))</f>
        <v/>
      </c>
      <c r="H575">
        <f>IF(E575="","",IFERROR(VALUE(SUBSTITUTE('MSR RAW'!P575,",","")),0))</f>
        <v/>
      </c>
      <c r="I575">
        <f>IF(E575="","",IFERROR(VALUE(SUBSTITUTE('MSR RAW'!S575,",","")),0))</f>
        <v/>
      </c>
    </row>
    <row r="576" ht="68.65000000000001" customHeight="1" s="126">
      <c r="A576" t="n">
        <v>576</v>
      </c>
      <c r="B576" s="30">
        <f>IF('MSR RAW'!$A$3="","",'MSR RAW'!$A$3)</f>
        <v/>
      </c>
      <c r="C576">
        <f>IF(LEFT(TRIM('MSR RAW'!A576),11)="Department:",TRIM('MSR RAW'!A576),C575)</f>
        <v/>
      </c>
      <c r="D576">
        <f>IF(LEFT(TRIM('MSR RAW'!B576),9)="Location:",TRIM(MID('MSR RAW'!B576,10,999)),D575)</f>
        <v/>
      </c>
      <c r="E576">
        <f>IF(AND(ISNUMBER(SEARCH(" - ",TRIM('MSR RAW'!C576))),RIGHT(TRIM('MSR RAW'!C576),6)="Total:"),LEFT(TRIM('MSR RAW'!C576),SEARCH(" - ",TRIM('MSR RAW'!C576))-1),"")</f>
        <v/>
      </c>
      <c r="F576">
        <f>IF(E576="","",TRIM(MID(TRIM('MSR RAW'!C576),SEARCH(" - ",TRIM('MSR RAW'!C576))+3,LEN(TRIM('MSR RAW'!C576))-SEARCH(" - ",TRIM('MSR RAW'!C576))-9)))</f>
        <v/>
      </c>
      <c r="G576">
        <f>IF(E576="","",IFERROR(VLOOKUP(E576,'CATEGORY MAP'!$A$2:$B$20,2,FALSE()),"REVIEW"))</f>
        <v/>
      </c>
      <c r="H576">
        <f>IF(E576="","",IFERROR(VALUE(SUBSTITUTE('MSR RAW'!P576,",","")),0))</f>
        <v/>
      </c>
      <c r="I576">
        <f>IF(E576="","",IFERROR(VALUE(SUBSTITUTE('MSR RAW'!S576,",","")),0))</f>
        <v/>
      </c>
    </row>
    <row r="577" ht="68.65000000000001" customHeight="1" s="126">
      <c r="A577" t="n">
        <v>577</v>
      </c>
      <c r="B577" s="30">
        <f>IF('MSR RAW'!$A$3="","",'MSR RAW'!$A$3)</f>
        <v/>
      </c>
      <c r="C577">
        <f>IF(LEFT(TRIM('MSR RAW'!A577),11)="Department:",TRIM('MSR RAW'!A577),C576)</f>
        <v/>
      </c>
      <c r="D577">
        <f>IF(LEFT(TRIM('MSR RAW'!B577),9)="Location:",TRIM(MID('MSR RAW'!B577,10,999)),D576)</f>
        <v/>
      </c>
      <c r="E577">
        <f>IF(AND(ISNUMBER(SEARCH(" - ",TRIM('MSR RAW'!C577))),RIGHT(TRIM('MSR RAW'!C577),6)="Total:"),LEFT(TRIM('MSR RAW'!C577),SEARCH(" - ",TRIM('MSR RAW'!C577))-1),"")</f>
        <v/>
      </c>
      <c r="F577">
        <f>IF(E577="","",TRIM(MID(TRIM('MSR RAW'!C577),SEARCH(" - ",TRIM('MSR RAW'!C577))+3,LEN(TRIM('MSR RAW'!C577))-SEARCH(" - ",TRIM('MSR RAW'!C577))-9)))</f>
        <v/>
      </c>
      <c r="G577">
        <f>IF(E577="","",IFERROR(VLOOKUP(E577,'CATEGORY MAP'!$A$2:$B$20,2,FALSE()),"REVIEW"))</f>
        <v/>
      </c>
      <c r="H577">
        <f>IF(E577="","",IFERROR(VALUE(SUBSTITUTE('MSR RAW'!P577,",","")),0))</f>
        <v/>
      </c>
      <c r="I577">
        <f>IF(E577="","",IFERROR(VALUE(SUBSTITUTE('MSR RAW'!S577,",","")),0))</f>
        <v/>
      </c>
    </row>
    <row r="578" ht="68.65000000000001" customHeight="1" s="126">
      <c r="A578" t="n">
        <v>578</v>
      </c>
      <c r="B578" s="30">
        <f>IF('MSR RAW'!$A$3="","",'MSR RAW'!$A$3)</f>
        <v/>
      </c>
      <c r="C578">
        <f>IF(LEFT(TRIM('MSR RAW'!A578),11)="Department:",TRIM('MSR RAW'!A578),C577)</f>
        <v/>
      </c>
      <c r="D578">
        <f>IF(LEFT(TRIM('MSR RAW'!B578),9)="Location:",TRIM(MID('MSR RAW'!B578,10,999)),D577)</f>
        <v/>
      </c>
      <c r="E578">
        <f>IF(AND(ISNUMBER(SEARCH(" - ",TRIM('MSR RAW'!C578))),RIGHT(TRIM('MSR RAW'!C578),6)="Total:"),LEFT(TRIM('MSR RAW'!C578),SEARCH(" - ",TRIM('MSR RAW'!C578))-1),"")</f>
        <v/>
      </c>
      <c r="F578">
        <f>IF(E578="","",TRIM(MID(TRIM('MSR RAW'!C578),SEARCH(" - ",TRIM('MSR RAW'!C578))+3,LEN(TRIM('MSR RAW'!C578))-SEARCH(" - ",TRIM('MSR RAW'!C578))-9)))</f>
        <v/>
      </c>
      <c r="G578">
        <f>IF(E578="","",IFERROR(VLOOKUP(E578,'CATEGORY MAP'!$A$2:$B$20,2,FALSE()),"REVIEW"))</f>
        <v/>
      </c>
      <c r="H578">
        <f>IF(E578="","",IFERROR(VALUE(SUBSTITUTE('MSR RAW'!P578,",","")),0))</f>
        <v/>
      </c>
      <c r="I578">
        <f>IF(E578="","",IFERROR(VALUE(SUBSTITUTE('MSR RAW'!S578,",","")),0))</f>
        <v/>
      </c>
    </row>
    <row r="579" ht="68.65000000000001" customHeight="1" s="126">
      <c r="A579" t="n">
        <v>579</v>
      </c>
      <c r="B579" s="30">
        <f>IF('MSR RAW'!$A$3="","",'MSR RAW'!$A$3)</f>
        <v/>
      </c>
      <c r="C579">
        <f>IF(LEFT(TRIM('MSR RAW'!A579),11)="Department:",TRIM('MSR RAW'!A579),C578)</f>
        <v/>
      </c>
      <c r="D579">
        <f>IF(LEFT(TRIM('MSR RAW'!B579),9)="Location:",TRIM(MID('MSR RAW'!B579,10,999)),D578)</f>
        <v/>
      </c>
      <c r="E579">
        <f>IF(AND(ISNUMBER(SEARCH(" - ",TRIM('MSR RAW'!C579))),RIGHT(TRIM('MSR RAW'!C579),6)="Total:"),LEFT(TRIM('MSR RAW'!C579),SEARCH(" - ",TRIM('MSR RAW'!C579))-1),"")</f>
        <v/>
      </c>
      <c r="F579">
        <f>IF(E579="","",TRIM(MID(TRIM('MSR RAW'!C579),SEARCH(" - ",TRIM('MSR RAW'!C579))+3,LEN(TRIM('MSR RAW'!C579))-SEARCH(" - ",TRIM('MSR RAW'!C579))-9)))</f>
        <v/>
      </c>
      <c r="G579">
        <f>IF(E579="","",IFERROR(VLOOKUP(E579,'CATEGORY MAP'!$A$2:$B$20,2,FALSE()),"REVIEW"))</f>
        <v/>
      </c>
      <c r="H579">
        <f>IF(E579="","",IFERROR(VALUE(SUBSTITUTE('MSR RAW'!P579,",","")),0))</f>
        <v/>
      </c>
      <c r="I579">
        <f>IF(E579="","",IFERROR(VALUE(SUBSTITUTE('MSR RAW'!S579,",","")),0))</f>
        <v/>
      </c>
    </row>
    <row r="580" ht="68.65000000000001" customHeight="1" s="126">
      <c r="A580" t="n">
        <v>580</v>
      </c>
      <c r="B580" s="30">
        <f>IF('MSR RAW'!$A$3="","",'MSR RAW'!$A$3)</f>
        <v/>
      </c>
      <c r="C580">
        <f>IF(LEFT(TRIM('MSR RAW'!A580),11)="Department:",TRIM('MSR RAW'!A580),C579)</f>
        <v/>
      </c>
      <c r="D580">
        <f>IF(LEFT(TRIM('MSR RAW'!B580),9)="Location:",TRIM(MID('MSR RAW'!B580,10,999)),D579)</f>
        <v/>
      </c>
      <c r="E580">
        <f>IF(AND(ISNUMBER(SEARCH(" - ",TRIM('MSR RAW'!C580))),RIGHT(TRIM('MSR RAW'!C580),6)="Total:"),LEFT(TRIM('MSR RAW'!C580),SEARCH(" - ",TRIM('MSR RAW'!C580))-1),"")</f>
        <v/>
      </c>
      <c r="F580">
        <f>IF(E580="","",TRIM(MID(TRIM('MSR RAW'!C580),SEARCH(" - ",TRIM('MSR RAW'!C580))+3,LEN(TRIM('MSR RAW'!C580))-SEARCH(" - ",TRIM('MSR RAW'!C580))-9)))</f>
        <v/>
      </c>
      <c r="G580">
        <f>IF(E580="","",IFERROR(VLOOKUP(E580,'CATEGORY MAP'!$A$2:$B$20,2,FALSE()),"REVIEW"))</f>
        <v/>
      </c>
      <c r="H580">
        <f>IF(E580="","",IFERROR(VALUE(SUBSTITUTE('MSR RAW'!P580,",","")),0))</f>
        <v/>
      </c>
      <c r="I580">
        <f>IF(E580="","",IFERROR(VALUE(SUBSTITUTE('MSR RAW'!S580,",","")),0))</f>
        <v/>
      </c>
    </row>
    <row r="581" ht="68.65000000000001" customHeight="1" s="126">
      <c r="A581" t="n">
        <v>581</v>
      </c>
      <c r="B581" s="30">
        <f>IF('MSR RAW'!$A$3="","",'MSR RAW'!$A$3)</f>
        <v/>
      </c>
      <c r="C581">
        <f>IF(LEFT(TRIM('MSR RAW'!A581),11)="Department:",TRIM('MSR RAW'!A581),C580)</f>
        <v/>
      </c>
      <c r="D581">
        <f>IF(LEFT(TRIM('MSR RAW'!B581),9)="Location:",TRIM(MID('MSR RAW'!B581,10,999)),D580)</f>
        <v/>
      </c>
      <c r="E581">
        <f>IF(AND(ISNUMBER(SEARCH(" - ",TRIM('MSR RAW'!C581))),RIGHT(TRIM('MSR RAW'!C581),6)="Total:"),LEFT(TRIM('MSR RAW'!C581),SEARCH(" - ",TRIM('MSR RAW'!C581))-1),"")</f>
        <v/>
      </c>
      <c r="F581">
        <f>IF(E581="","",TRIM(MID(TRIM('MSR RAW'!C581),SEARCH(" - ",TRIM('MSR RAW'!C581))+3,LEN(TRIM('MSR RAW'!C581))-SEARCH(" - ",TRIM('MSR RAW'!C581))-9)))</f>
        <v/>
      </c>
      <c r="G581">
        <f>IF(E581="","",IFERROR(VLOOKUP(E581,'CATEGORY MAP'!$A$2:$B$20,2,FALSE()),"REVIEW"))</f>
        <v/>
      </c>
      <c r="H581">
        <f>IF(E581="","",IFERROR(VALUE(SUBSTITUTE('MSR RAW'!P581,",","")),0))</f>
        <v/>
      </c>
      <c r="I581">
        <f>IF(E581="","",IFERROR(VALUE(SUBSTITUTE('MSR RAW'!S581,",","")),0))</f>
        <v/>
      </c>
    </row>
    <row r="582" ht="68.65000000000001" customHeight="1" s="126">
      <c r="A582" t="n">
        <v>582</v>
      </c>
      <c r="B582" s="30">
        <f>IF('MSR RAW'!$A$3="","",'MSR RAW'!$A$3)</f>
        <v/>
      </c>
      <c r="C582">
        <f>IF(LEFT(TRIM('MSR RAW'!A582),11)="Department:",TRIM('MSR RAW'!A582),C581)</f>
        <v/>
      </c>
      <c r="D582">
        <f>IF(LEFT(TRIM('MSR RAW'!B582),9)="Location:",TRIM(MID('MSR RAW'!B582,10,999)),D581)</f>
        <v/>
      </c>
      <c r="E582">
        <f>IF(AND(ISNUMBER(SEARCH(" - ",TRIM('MSR RAW'!C582))),RIGHT(TRIM('MSR RAW'!C582),6)="Total:"),LEFT(TRIM('MSR RAW'!C582),SEARCH(" - ",TRIM('MSR RAW'!C582))-1),"")</f>
        <v/>
      </c>
      <c r="F582">
        <f>IF(E582="","",TRIM(MID(TRIM('MSR RAW'!C582),SEARCH(" - ",TRIM('MSR RAW'!C582))+3,LEN(TRIM('MSR RAW'!C582))-SEARCH(" - ",TRIM('MSR RAW'!C582))-9)))</f>
        <v/>
      </c>
      <c r="G582">
        <f>IF(E582="","",IFERROR(VLOOKUP(E582,'CATEGORY MAP'!$A$2:$B$20,2,FALSE()),"REVIEW"))</f>
        <v/>
      </c>
      <c r="H582">
        <f>IF(E582="","",IFERROR(VALUE(SUBSTITUTE('MSR RAW'!P582,",","")),0))</f>
        <v/>
      </c>
      <c r="I582">
        <f>IF(E582="","",IFERROR(VALUE(SUBSTITUTE('MSR RAW'!S582,",","")),0))</f>
        <v/>
      </c>
    </row>
    <row r="583" ht="68.65000000000001" customHeight="1" s="126">
      <c r="A583" t="n">
        <v>583</v>
      </c>
      <c r="B583" s="30">
        <f>IF('MSR RAW'!$A$3="","",'MSR RAW'!$A$3)</f>
        <v/>
      </c>
      <c r="C583">
        <f>IF(LEFT(TRIM('MSR RAW'!A583),11)="Department:",TRIM('MSR RAW'!A583),C582)</f>
        <v/>
      </c>
      <c r="D583">
        <f>IF(LEFT(TRIM('MSR RAW'!B583),9)="Location:",TRIM(MID('MSR RAW'!B583,10,999)),D582)</f>
        <v/>
      </c>
      <c r="E583">
        <f>IF(AND(ISNUMBER(SEARCH(" - ",TRIM('MSR RAW'!C583))),RIGHT(TRIM('MSR RAW'!C583),6)="Total:"),LEFT(TRIM('MSR RAW'!C583),SEARCH(" - ",TRIM('MSR RAW'!C583))-1),"")</f>
        <v/>
      </c>
      <c r="F583">
        <f>IF(E583="","",TRIM(MID(TRIM('MSR RAW'!C583),SEARCH(" - ",TRIM('MSR RAW'!C583))+3,LEN(TRIM('MSR RAW'!C583))-SEARCH(" - ",TRIM('MSR RAW'!C583))-9)))</f>
        <v/>
      </c>
      <c r="G583">
        <f>IF(E583="","",IFERROR(VLOOKUP(E583,'CATEGORY MAP'!$A$2:$B$20,2,FALSE()),"REVIEW"))</f>
        <v/>
      </c>
      <c r="H583">
        <f>IF(E583="","",IFERROR(VALUE(SUBSTITUTE('MSR RAW'!P583,",","")),0))</f>
        <v/>
      </c>
      <c r="I583">
        <f>IF(E583="","",IFERROR(VALUE(SUBSTITUTE('MSR RAW'!S583,",","")),0))</f>
        <v/>
      </c>
    </row>
    <row r="584" ht="68.65000000000001" customHeight="1" s="126">
      <c r="A584" t="n">
        <v>584</v>
      </c>
      <c r="B584" s="30">
        <f>IF('MSR RAW'!$A$3="","",'MSR RAW'!$A$3)</f>
        <v/>
      </c>
      <c r="C584">
        <f>IF(LEFT(TRIM('MSR RAW'!A584),11)="Department:",TRIM('MSR RAW'!A584),C583)</f>
        <v/>
      </c>
      <c r="D584">
        <f>IF(LEFT(TRIM('MSR RAW'!B584),9)="Location:",TRIM(MID('MSR RAW'!B584,10,999)),D583)</f>
        <v/>
      </c>
      <c r="E584">
        <f>IF(AND(ISNUMBER(SEARCH(" - ",TRIM('MSR RAW'!C584))),RIGHT(TRIM('MSR RAW'!C584),6)="Total:"),LEFT(TRIM('MSR RAW'!C584),SEARCH(" - ",TRIM('MSR RAW'!C584))-1),"")</f>
        <v/>
      </c>
      <c r="F584">
        <f>IF(E584="","",TRIM(MID(TRIM('MSR RAW'!C584),SEARCH(" - ",TRIM('MSR RAW'!C584))+3,LEN(TRIM('MSR RAW'!C584))-SEARCH(" - ",TRIM('MSR RAW'!C584))-9)))</f>
        <v/>
      </c>
      <c r="G584">
        <f>IF(E584="","",IFERROR(VLOOKUP(E584,'CATEGORY MAP'!$A$2:$B$20,2,FALSE()),"REVIEW"))</f>
        <v/>
      </c>
      <c r="H584">
        <f>IF(E584="","",IFERROR(VALUE(SUBSTITUTE('MSR RAW'!P584,",","")),0))</f>
        <v/>
      </c>
      <c r="I584">
        <f>IF(E584="","",IFERROR(VALUE(SUBSTITUTE('MSR RAW'!S584,",","")),0))</f>
        <v/>
      </c>
    </row>
    <row r="585" ht="68.65000000000001" customHeight="1" s="126">
      <c r="A585" t="n">
        <v>585</v>
      </c>
      <c r="B585" s="30">
        <f>IF('MSR RAW'!$A$3="","",'MSR RAW'!$A$3)</f>
        <v/>
      </c>
      <c r="C585">
        <f>IF(LEFT(TRIM('MSR RAW'!A585),11)="Department:",TRIM('MSR RAW'!A585),C584)</f>
        <v/>
      </c>
      <c r="D585">
        <f>IF(LEFT(TRIM('MSR RAW'!B585),9)="Location:",TRIM(MID('MSR RAW'!B585,10,999)),D584)</f>
        <v/>
      </c>
      <c r="E585">
        <f>IF(AND(ISNUMBER(SEARCH(" - ",TRIM('MSR RAW'!C585))),RIGHT(TRIM('MSR RAW'!C585),6)="Total:"),LEFT(TRIM('MSR RAW'!C585),SEARCH(" - ",TRIM('MSR RAW'!C585))-1),"")</f>
        <v/>
      </c>
      <c r="F585">
        <f>IF(E585="","",TRIM(MID(TRIM('MSR RAW'!C585),SEARCH(" - ",TRIM('MSR RAW'!C585))+3,LEN(TRIM('MSR RAW'!C585))-SEARCH(" - ",TRIM('MSR RAW'!C585))-9)))</f>
        <v/>
      </c>
      <c r="G585">
        <f>IF(E585="","",IFERROR(VLOOKUP(E585,'CATEGORY MAP'!$A$2:$B$20,2,FALSE()),"REVIEW"))</f>
        <v/>
      </c>
      <c r="H585">
        <f>IF(E585="","",IFERROR(VALUE(SUBSTITUTE('MSR RAW'!P585,",","")),0))</f>
        <v/>
      </c>
      <c r="I585">
        <f>IF(E585="","",IFERROR(VALUE(SUBSTITUTE('MSR RAW'!S585,",","")),0))</f>
        <v/>
      </c>
    </row>
    <row r="586" ht="68.65000000000001" customHeight="1" s="126">
      <c r="A586" t="n">
        <v>586</v>
      </c>
      <c r="B586" s="30">
        <f>IF('MSR RAW'!$A$3="","",'MSR RAW'!$A$3)</f>
        <v/>
      </c>
      <c r="C586">
        <f>IF(LEFT(TRIM('MSR RAW'!A586),11)="Department:",TRIM('MSR RAW'!A586),C585)</f>
        <v/>
      </c>
      <c r="D586">
        <f>IF(LEFT(TRIM('MSR RAW'!B586),9)="Location:",TRIM(MID('MSR RAW'!B586,10,999)),D585)</f>
        <v/>
      </c>
      <c r="E586">
        <f>IF(AND(ISNUMBER(SEARCH(" - ",TRIM('MSR RAW'!C586))),RIGHT(TRIM('MSR RAW'!C586),6)="Total:"),LEFT(TRIM('MSR RAW'!C586),SEARCH(" - ",TRIM('MSR RAW'!C586))-1),"")</f>
        <v/>
      </c>
      <c r="F586">
        <f>IF(E586="","",TRIM(MID(TRIM('MSR RAW'!C586),SEARCH(" - ",TRIM('MSR RAW'!C586))+3,LEN(TRIM('MSR RAW'!C586))-SEARCH(" - ",TRIM('MSR RAW'!C586))-9)))</f>
        <v/>
      </c>
      <c r="G586">
        <f>IF(E586="","",IFERROR(VLOOKUP(E586,'CATEGORY MAP'!$A$2:$B$20,2,FALSE()),"REVIEW"))</f>
        <v/>
      </c>
      <c r="H586">
        <f>IF(E586="","",IFERROR(VALUE(SUBSTITUTE('MSR RAW'!P586,",","")),0))</f>
        <v/>
      </c>
      <c r="I586">
        <f>IF(E586="","",IFERROR(VALUE(SUBSTITUTE('MSR RAW'!S586,",","")),0))</f>
        <v/>
      </c>
    </row>
    <row r="587" ht="68.65000000000001" customHeight="1" s="126">
      <c r="A587" t="n">
        <v>587</v>
      </c>
      <c r="B587" s="30">
        <f>IF('MSR RAW'!$A$3="","",'MSR RAW'!$A$3)</f>
        <v/>
      </c>
      <c r="C587">
        <f>IF(LEFT(TRIM('MSR RAW'!A587),11)="Department:",TRIM('MSR RAW'!A587),C586)</f>
        <v/>
      </c>
      <c r="D587">
        <f>IF(LEFT(TRIM('MSR RAW'!B587),9)="Location:",TRIM(MID('MSR RAW'!B587,10,999)),D586)</f>
        <v/>
      </c>
      <c r="E587">
        <f>IF(AND(ISNUMBER(SEARCH(" - ",TRIM('MSR RAW'!C587))),RIGHT(TRIM('MSR RAW'!C587),6)="Total:"),LEFT(TRIM('MSR RAW'!C587),SEARCH(" - ",TRIM('MSR RAW'!C587))-1),"")</f>
        <v/>
      </c>
      <c r="F587">
        <f>IF(E587="","",TRIM(MID(TRIM('MSR RAW'!C587),SEARCH(" - ",TRIM('MSR RAW'!C587))+3,LEN(TRIM('MSR RAW'!C587))-SEARCH(" - ",TRIM('MSR RAW'!C587))-9)))</f>
        <v/>
      </c>
      <c r="G587">
        <f>IF(E587="","",IFERROR(VLOOKUP(E587,'CATEGORY MAP'!$A$2:$B$20,2,FALSE()),"REVIEW"))</f>
        <v/>
      </c>
      <c r="H587">
        <f>IF(E587="","",IFERROR(VALUE(SUBSTITUTE('MSR RAW'!P587,",","")),0))</f>
        <v/>
      </c>
      <c r="I587">
        <f>IF(E587="","",IFERROR(VALUE(SUBSTITUTE('MSR RAW'!S587,",","")),0))</f>
        <v/>
      </c>
    </row>
    <row r="588" ht="68.65000000000001" customHeight="1" s="126">
      <c r="A588" t="n">
        <v>588</v>
      </c>
      <c r="B588" s="30">
        <f>IF('MSR RAW'!$A$3="","",'MSR RAW'!$A$3)</f>
        <v/>
      </c>
      <c r="C588">
        <f>IF(LEFT(TRIM('MSR RAW'!A588),11)="Department:",TRIM('MSR RAW'!A588),C587)</f>
        <v/>
      </c>
      <c r="D588">
        <f>IF(LEFT(TRIM('MSR RAW'!B588),9)="Location:",TRIM(MID('MSR RAW'!B588,10,999)),D587)</f>
        <v/>
      </c>
      <c r="E588">
        <f>IF(AND(ISNUMBER(SEARCH(" - ",TRIM('MSR RAW'!C588))),RIGHT(TRIM('MSR RAW'!C588),6)="Total:"),LEFT(TRIM('MSR RAW'!C588),SEARCH(" - ",TRIM('MSR RAW'!C588))-1),"")</f>
        <v/>
      </c>
      <c r="F588">
        <f>IF(E588="","",TRIM(MID(TRIM('MSR RAW'!C588),SEARCH(" - ",TRIM('MSR RAW'!C588))+3,LEN(TRIM('MSR RAW'!C588))-SEARCH(" - ",TRIM('MSR RAW'!C588))-9)))</f>
        <v/>
      </c>
      <c r="G588">
        <f>IF(E588="","",IFERROR(VLOOKUP(E588,'CATEGORY MAP'!$A$2:$B$20,2,FALSE()),"REVIEW"))</f>
        <v/>
      </c>
      <c r="H588">
        <f>IF(E588="","",IFERROR(VALUE(SUBSTITUTE('MSR RAW'!P588,",","")),0))</f>
        <v/>
      </c>
      <c r="I588">
        <f>IF(E588="","",IFERROR(VALUE(SUBSTITUTE('MSR RAW'!S588,",","")),0))</f>
        <v/>
      </c>
    </row>
    <row r="589" ht="68.65000000000001" customHeight="1" s="126">
      <c r="A589" t="n">
        <v>589</v>
      </c>
      <c r="B589" s="30">
        <f>IF('MSR RAW'!$A$3="","",'MSR RAW'!$A$3)</f>
        <v/>
      </c>
      <c r="C589">
        <f>IF(LEFT(TRIM('MSR RAW'!A589),11)="Department:",TRIM('MSR RAW'!A589),C588)</f>
        <v/>
      </c>
      <c r="D589">
        <f>IF(LEFT(TRIM('MSR RAW'!B589),9)="Location:",TRIM(MID('MSR RAW'!B589,10,999)),D588)</f>
        <v/>
      </c>
      <c r="E589">
        <f>IF(AND(ISNUMBER(SEARCH(" - ",TRIM('MSR RAW'!C589))),RIGHT(TRIM('MSR RAW'!C589),6)="Total:"),LEFT(TRIM('MSR RAW'!C589),SEARCH(" - ",TRIM('MSR RAW'!C589))-1),"")</f>
        <v/>
      </c>
      <c r="F589">
        <f>IF(E589="","",TRIM(MID(TRIM('MSR RAW'!C589),SEARCH(" - ",TRIM('MSR RAW'!C589))+3,LEN(TRIM('MSR RAW'!C589))-SEARCH(" - ",TRIM('MSR RAW'!C589))-9)))</f>
        <v/>
      </c>
      <c r="G589">
        <f>IF(E589="","",IFERROR(VLOOKUP(E589,'CATEGORY MAP'!$A$2:$B$20,2,FALSE()),"REVIEW"))</f>
        <v/>
      </c>
      <c r="H589">
        <f>IF(E589="","",IFERROR(VALUE(SUBSTITUTE('MSR RAW'!P589,",","")),0))</f>
        <v/>
      </c>
      <c r="I589">
        <f>IF(E589="","",IFERROR(VALUE(SUBSTITUTE('MSR RAW'!S589,",","")),0))</f>
        <v/>
      </c>
    </row>
    <row r="590" ht="68.65000000000001" customHeight="1" s="126">
      <c r="A590" t="n">
        <v>590</v>
      </c>
      <c r="B590" s="30">
        <f>IF('MSR RAW'!$A$3="","",'MSR RAW'!$A$3)</f>
        <v/>
      </c>
      <c r="C590">
        <f>IF(LEFT(TRIM('MSR RAW'!A590),11)="Department:",TRIM('MSR RAW'!A590),C589)</f>
        <v/>
      </c>
      <c r="D590">
        <f>IF(LEFT(TRIM('MSR RAW'!B590),9)="Location:",TRIM(MID('MSR RAW'!B590,10,999)),D589)</f>
        <v/>
      </c>
      <c r="E590">
        <f>IF(AND(ISNUMBER(SEARCH(" - ",TRIM('MSR RAW'!C590))),RIGHT(TRIM('MSR RAW'!C590),6)="Total:"),LEFT(TRIM('MSR RAW'!C590),SEARCH(" - ",TRIM('MSR RAW'!C590))-1),"")</f>
        <v/>
      </c>
      <c r="F590">
        <f>IF(E590="","",TRIM(MID(TRIM('MSR RAW'!C590),SEARCH(" - ",TRIM('MSR RAW'!C590))+3,LEN(TRIM('MSR RAW'!C590))-SEARCH(" - ",TRIM('MSR RAW'!C590))-9)))</f>
        <v/>
      </c>
      <c r="G590">
        <f>IF(E590="","",IFERROR(VLOOKUP(E590,'CATEGORY MAP'!$A$2:$B$20,2,FALSE()),"REVIEW"))</f>
        <v/>
      </c>
      <c r="H590">
        <f>IF(E590="","",IFERROR(VALUE(SUBSTITUTE('MSR RAW'!P590,",","")),0))</f>
        <v/>
      </c>
      <c r="I590">
        <f>IF(E590="","",IFERROR(VALUE(SUBSTITUTE('MSR RAW'!S590,",","")),0))</f>
        <v/>
      </c>
    </row>
    <row r="591" ht="68.65000000000001" customHeight="1" s="126">
      <c r="A591" t="n">
        <v>591</v>
      </c>
      <c r="B591" s="30">
        <f>IF('MSR RAW'!$A$3="","",'MSR RAW'!$A$3)</f>
        <v/>
      </c>
      <c r="C591">
        <f>IF(LEFT(TRIM('MSR RAW'!A591),11)="Department:",TRIM('MSR RAW'!A591),C590)</f>
        <v/>
      </c>
      <c r="D591">
        <f>IF(LEFT(TRIM('MSR RAW'!B591),9)="Location:",TRIM(MID('MSR RAW'!B591,10,999)),D590)</f>
        <v/>
      </c>
      <c r="E591">
        <f>IF(AND(ISNUMBER(SEARCH(" - ",TRIM('MSR RAW'!C591))),RIGHT(TRIM('MSR RAW'!C591),6)="Total:"),LEFT(TRIM('MSR RAW'!C591),SEARCH(" - ",TRIM('MSR RAW'!C591))-1),"")</f>
        <v/>
      </c>
      <c r="F591">
        <f>IF(E591="","",TRIM(MID(TRIM('MSR RAW'!C591),SEARCH(" - ",TRIM('MSR RAW'!C591))+3,LEN(TRIM('MSR RAW'!C591))-SEARCH(" - ",TRIM('MSR RAW'!C591))-9)))</f>
        <v/>
      </c>
      <c r="G591">
        <f>IF(E591="","",IFERROR(VLOOKUP(E591,'CATEGORY MAP'!$A$2:$B$20,2,FALSE()),"REVIEW"))</f>
        <v/>
      </c>
      <c r="H591">
        <f>IF(E591="","",IFERROR(VALUE(SUBSTITUTE('MSR RAW'!P591,",","")),0))</f>
        <v/>
      </c>
      <c r="I591">
        <f>IF(E591="","",IFERROR(VALUE(SUBSTITUTE('MSR RAW'!S591,",","")),0))</f>
        <v/>
      </c>
    </row>
    <row r="592" ht="68.65000000000001" customHeight="1" s="126">
      <c r="A592" t="n">
        <v>592</v>
      </c>
      <c r="B592" s="30">
        <f>IF('MSR RAW'!$A$3="","",'MSR RAW'!$A$3)</f>
        <v/>
      </c>
      <c r="C592">
        <f>IF(LEFT(TRIM('MSR RAW'!A592),11)="Department:",TRIM('MSR RAW'!A592),C591)</f>
        <v/>
      </c>
      <c r="D592">
        <f>IF(LEFT(TRIM('MSR RAW'!B592),9)="Location:",TRIM(MID('MSR RAW'!B592,10,999)),D591)</f>
        <v/>
      </c>
      <c r="E592">
        <f>IF(AND(ISNUMBER(SEARCH(" - ",TRIM('MSR RAW'!C592))),RIGHT(TRIM('MSR RAW'!C592),6)="Total:"),LEFT(TRIM('MSR RAW'!C592),SEARCH(" - ",TRIM('MSR RAW'!C592))-1),"")</f>
        <v/>
      </c>
      <c r="F592">
        <f>IF(E592="","",TRIM(MID(TRIM('MSR RAW'!C592),SEARCH(" - ",TRIM('MSR RAW'!C592))+3,LEN(TRIM('MSR RAW'!C592))-SEARCH(" - ",TRIM('MSR RAW'!C592))-9)))</f>
        <v/>
      </c>
      <c r="G592">
        <f>IF(E592="","",IFERROR(VLOOKUP(E592,'CATEGORY MAP'!$A$2:$B$20,2,FALSE()),"REVIEW"))</f>
        <v/>
      </c>
      <c r="H592">
        <f>IF(E592="","",IFERROR(VALUE(SUBSTITUTE('MSR RAW'!P592,",","")),0))</f>
        <v/>
      </c>
      <c r="I592">
        <f>IF(E592="","",IFERROR(VALUE(SUBSTITUTE('MSR RAW'!S592,",","")),0))</f>
        <v/>
      </c>
    </row>
    <row r="593" ht="68.65000000000001" customHeight="1" s="126">
      <c r="A593" t="n">
        <v>593</v>
      </c>
      <c r="B593" s="30">
        <f>IF('MSR RAW'!$A$3="","",'MSR RAW'!$A$3)</f>
        <v/>
      </c>
      <c r="C593">
        <f>IF(LEFT(TRIM('MSR RAW'!A593),11)="Department:",TRIM('MSR RAW'!A593),C592)</f>
        <v/>
      </c>
      <c r="D593">
        <f>IF(LEFT(TRIM('MSR RAW'!B593),9)="Location:",TRIM(MID('MSR RAW'!B593,10,999)),D592)</f>
        <v/>
      </c>
      <c r="E593">
        <f>IF(AND(ISNUMBER(SEARCH(" - ",TRIM('MSR RAW'!C593))),RIGHT(TRIM('MSR RAW'!C593),6)="Total:"),LEFT(TRIM('MSR RAW'!C593),SEARCH(" - ",TRIM('MSR RAW'!C593))-1),"")</f>
        <v/>
      </c>
      <c r="F593">
        <f>IF(E593="","",TRIM(MID(TRIM('MSR RAW'!C593),SEARCH(" - ",TRIM('MSR RAW'!C593))+3,LEN(TRIM('MSR RAW'!C593))-SEARCH(" - ",TRIM('MSR RAW'!C593))-9)))</f>
        <v/>
      </c>
      <c r="G593">
        <f>IF(E593="","",IFERROR(VLOOKUP(E593,'CATEGORY MAP'!$A$2:$B$20,2,FALSE()),"REVIEW"))</f>
        <v/>
      </c>
      <c r="H593">
        <f>IF(E593="","",IFERROR(VALUE(SUBSTITUTE('MSR RAW'!P593,",","")),0))</f>
        <v/>
      </c>
      <c r="I593">
        <f>IF(E593="","",IFERROR(VALUE(SUBSTITUTE('MSR RAW'!S593,",","")),0))</f>
        <v/>
      </c>
    </row>
    <row r="594" ht="68.65000000000001" customHeight="1" s="126">
      <c r="A594" t="n">
        <v>594</v>
      </c>
      <c r="B594" s="30">
        <f>IF('MSR RAW'!$A$3="","",'MSR RAW'!$A$3)</f>
        <v/>
      </c>
      <c r="C594">
        <f>IF(LEFT(TRIM('MSR RAW'!A594),11)="Department:",TRIM('MSR RAW'!A594),C593)</f>
        <v/>
      </c>
      <c r="D594">
        <f>IF(LEFT(TRIM('MSR RAW'!B594),9)="Location:",TRIM(MID('MSR RAW'!B594,10,999)),D593)</f>
        <v/>
      </c>
      <c r="E594">
        <f>IF(AND(ISNUMBER(SEARCH(" - ",TRIM('MSR RAW'!C594))),RIGHT(TRIM('MSR RAW'!C594),6)="Total:"),LEFT(TRIM('MSR RAW'!C594),SEARCH(" - ",TRIM('MSR RAW'!C594))-1),"")</f>
        <v/>
      </c>
      <c r="F594">
        <f>IF(E594="","",TRIM(MID(TRIM('MSR RAW'!C594),SEARCH(" - ",TRIM('MSR RAW'!C594))+3,LEN(TRIM('MSR RAW'!C594))-SEARCH(" - ",TRIM('MSR RAW'!C594))-9)))</f>
        <v/>
      </c>
      <c r="G594">
        <f>IF(E594="","",IFERROR(VLOOKUP(E594,'CATEGORY MAP'!$A$2:$B$20,2,FALSE()),"REVIEW"))</f>
        <v/>
      </c>
      <c r="H594">
        <f>IF(E594="","",IFERROR(VALUE(SUBSTITUTE('MSR RAW'!P594,",","")),0))</f>
        <v/>
      </c>
      <c r="I594">
        <f>IF(E594="","",IFERROR(VALUE(SUBSTITUTE('MSR RAW'!S594,",","")),0))</f>
        <v/>
      </c>
    </row>
    <row r="595" ht="68.65000000000001" customHeight="1" s="126">
      <c r="A595" t="n">
        <v>595</v>
      </c>
      <c r="B595" s="30">
        <f>IF('MSR RAW'!$A$3="","",'MSR RAW'!$A$3)</f>
        <v/>
      </c>
      <c r="C595">
        <f>IF(LEFT(TRIM('MSR RAW'!A595),11)="Department:",TRIM('MSR RAW'!A595),C594)</f>
        <v/>
      </c>
      <c r="D595">
        <f>IF(LEFT(TRIM('MSR RAW'!B595),9)="Location:",TRIM(MID('MSR RAW'!B595,10,999)),D594)</f>
        <v/>
      </c>
      <c r="E595">
        <f>IF(AND(ISNUMBER(SEARCH(" - ",TRIM('MSR RAW'!C595))),RIGHT(TRIM('MSR RAW'!C595),6)="Total:"),LEFT(TRIM('MSR RAW'!C595),SEARCH(" - ",TRIM('MSR RAW'!C595))-1),"")</f>
        <v/>
      </c>
      <c r="F595">
        <f>IF(E595="","",TRIM(MID(TRIM('MSR RAW'!C595),SEARCH(" - ",TRIM('MSR RAW'!C595))+3,LEN(TRIM('MSR RAW'!C595))-SEARCH(" - ",TRIM('MSR RAW'!C595))-9)))</f>
        <v/>
      </c>
      <c r="G595">
        <f>IF(E595="","",IFERROR(VLOOKUP(E595,'CATEGORY MAP'!$A$2:$B$20,2,FALSE()),"REVIEW"))</f>
        <v/>
      </c>
      <c r="H595">
        <f>IF(E595="","",IFERROR(VALUE(SUBSTITUTE('MSR RAW'!P595,",","")),0))</f>
        <v/>
      </c>
      <c r="I595">
        <f>IF(E595="","",IFERROR(VALUE(SUBSTITUTE('MSR RAW'!S595,",","")),0))</f>
        <v/>
      </c>
    </row>
    <row r="596" ht="68.65000000000001" customHeight="1" s="126">
      <c r="A596" t="n">
        <v>596</v>
      </c>
      <c r="B596" s="30">
        <f>IF('MSR RAW'!$A$3="","",'MSR RAW'!$A$3)</f>
        <v/>
      </c>
      <c r="C596">
        <f>IF(LEFT(TRIM('MSR RAW'!A596),11)="Department:",TRIM('MSR RAW'!A596),C595)</f>
        <v/>
      </c>
      <c r="D596">
        <f>IF(LEFT(TRIM('MSR RAW'!B596),9)="Location:",TRIM(MID('MSR RAW'!B596,10,999)),D595)</f>
        <v/>
      </c>
      <c r="E596">
        <f>IF(AND(ISNUMBER(SEARCH(" - ",TRIM('MSR RAW'!C596))),RIGHT(TRIM('MSR RAW'!C596),6)="Total:"),LEFT(TRIM('MSR RAW'!C596),SEARCH(" - ",TRIM('MSR RAW'!C596))-1),"")</f>
        <v/>
      </c>
      <c r="F596">
        <f>IF(E596="","",TRIM(MID(TRIM('MSR RAW'!C596),SEARCH(" - ",TRIM('MSR RAW'!C596))+3,LEN(TRIM('MSR RAW'!C596))-SEARCH(" - ",TRIM('MSR RAW'!C596))-9)))</f>
        <v/>
      </c>
      <c r="G596">
        <f>IF(E596="","",IFERROR(VLOOKUP(E596,'CATEGORY MAP'!$A$2:$B$20,2,FALSE()),"REVIEW"))</f>
        <v/>
      </c>
      <c r="H596">
        <f>IF(E596="","",IFERROR(VALUE(SUBSTITUTE('MSR RAW'!P596,",","")),0))</f>
        <v/>
      </c>
      <c r="I596">
        <f>IF(E596="","",IFERROR(VALUE(SUBSTITUTE('MSR RAW'!S596,",","")),0))</f>
        <v/>
      </c>
    </row>
    <row r="597" ht="68.65000000000001" customHeight="1" s="126">
      <c r="A597" t="n">
        <v>597</v>
      </c>
      <c r="B597" s="30">
        <f>IF('MSR RAW'!$A$3="","",'MSR RAW'!$A$3)</f>
        <v/>
      </c>
      <c r="C597">
        <f>IF(LEFT(TRIM('MSR RAW'!A597),11)="Department:",TRIM('MSR RAW'!A597),C596)</f>
        <v/>
      </c>
      <c r="D597">
        <f>IF(LEFT(TRIM('MSR RAW'!B597),9)="Location:",TRIM(MID('MSR RAW'!B597,10,999)),D596)</f>
        <v/>
      </c>
      <c r="E597">
        <f>IF(AND(ISNUMBER(SEARCH(" - ",TRIM('MSR RAW'!C597))),RIGHT(TRIM('MSR RAW'!C597),6)="Total:"),LEFT(TRIM('MSR RAW'!C597),SEARCH(" - ",TRIM('MSR RAW'!C597))-1),"")</f>
        <v/>
      </c>
      <c r="F597">
        <f>IF(E597="","",TRIM(MID(TRIM('MSR RAW'!C597),SEARCH(" - ",TRIM('MSR RAW'!C597))+3,LEN(TRIM('MSR RAW'!C597))-SEARCH(" - ",TRIM('MSR RAW'!C597))-9)))</f>
        <v/>
      </c>
      <c r="G597">
        <f>IF(E597="","",IFERROR(VLOOKUP(E597,'CATEGORY MAP'!$A$2:$B$20,2,FALSE()),"REVIEW"))</f>
        <v/>
      </c>
      <c r="H597">
        <f>IF(E597="","",IFERROR(VALUE(SUBSTITUTE('MSR RAW'!P597,",","")),0))</f>
        <v/>
      </c>
      <c r="I597">
        <f>IF(E597="","",IFERROR(VALUE(SUBSTITUTE('MSR RAW'!S597,",","")),0))</f>
        <v/>
      </c>
    </row>
    <row r="598" ht="68.65000000000001" customHeight="1" s="126">
      <c r="A598" t="n">
        <v>598</v>
      </c>
      <c r="B598" s="30">
        <f>IF('MSR RAW'!$A$3="","",'MSR RAW'!$A$3)</f>
        <v/>
      </c>
      <c r="C598">
        <f>IF(LEFT(TRIM('MSR RAW'!A598),11)="Department:",TRIM('MSR RAW'!A598),C597)</f>
        <v/>
      </c>
      <c r="D598">
        <f>IF(LEFT(TRIM('MSR RAW'!B598),9)="Location:",TRIM(MID('MSR RAW'!B598,10,999)),D597)</f>
        <v/>
      </c>
      <c r="E598">
        <f>IF(AND(ISNUMBER(SEARCH(" - ",TRIM('MSR RAW'!C598))),RIGHT(TRIM('MSR RAW'!C598),6)="Total:"),LEFT(TRIM('MSR RAW'!C598),SEARCH(" - ",TRIM('MSR RAW'!C598))-1),"")</f>
        <v/>
      </c>
      <c r="F598">
        <f>IF(E598="","",TRIM(MID(TRIM('MSR RAW'!C598),SEARCH(" - ",TRIM('MSR RAW'!C598))+3,LEN(TRIM('MSR RAW'!C598))-SEARCH(" - ",TRIM('MSR RAW'!C598))-9)))</f>
        <v/>
      </c>
      <c r="G598">
        <f>IF(E598="","",IFERROR(VLOOKUP(E598,'CATEGORY MAP'!$A$2:$B$20,2,FALSE()),"REVIEW"))</f>
        <v/>
      </c>
      <c r="H598">
        <f>IF(E598="","",IFERROR(VALUE(SUBSTITUTE('MSR RAW'!P598,",","")),0))</f>
        <v/>
      </c>
      <c r="I598">
        <f>IF(E598="","",IFERROR(VALUE(SUBSTITUTE('MSR RAW'!S598,",","")),0))</f>
        <v/>
      </c>
    </row>
    <row r="599" ht="68.65000000000001" customHeight="1" s="126">
      <c r="A599" t="n">
        <v>599</v>
      </c>
      <c r="B599" s="30">
        <f>IF('MSR RAW'!$A$3="","",'MSR RAW'!$A$3)</f>
        <v/>
      </c>
      <c r="C599">
        <f>IF(LEFT(TRIM('MSR RAW'!A599),11)="Department:",TRIM('MSR RAW'!A599),C598)</f>
        <v/>
      </c>
      <c r="D599">
        <f>IF(LEFT(TRIM('MSR RAW'!B599),9)="Location:",TRIM(MID('MSR RAW'!B599,10,999)),D598)</f>
        <v/>
      </c>
      <c r="E599">
        <f>IF(AND(ISNUMBER(SEARCH(" - ",TRIM('MSR RAW'!C599))),RIGHT(TRIM('MSR RAW'!C599),6)="Total:"),LEFT(TRIM('MSR RAW'!C599),SEARCH(" - ",TRIM('MSR RAW'!C599))-1),"")</f>
        <v/>
      </c>
      <c r="F599">
        <f>IF(E599="","",TRIM(MID(TRIM('MSR RAW'!C599),SEARCH(" - ",TRIM('MSR RAW'!C599))+3,LEN(TRIM('MSR RAW'!C599))-SEARCH(" - ",TRIM('MSR RAW'!C599))-9)))</f>
        <v/>
      </c>
      <c r="G599">
        <f>IF(E599="","",IFERROR(VLOOKUP(E599,'CATEGORY MAP'!$A$2:$B$20,2,FALSE()),"REVIEW"))</f>
        <v/>
      </c>
      <c r="H599">
        <f>IF(E599="","",IFERROR(VALUE(SUBSTITUTE('MSR RAW'!P599,",","")),0))</f>
        <v/>
      </c>
      <c r="I599">
        <f>IF(E599="","",IFERROR(VALUE(SUBSTITUTE('MSR RAW'!S599,",","")),0))</f>
        <v/>
      </c>
    </row>
    <row r="600" ht="68.65000000000001" customHeight="1" s="126">
      <c r="A600" t="n">
        <v>600</v>
      </c>
      <c r="B600" s="30">
        <f>IF('MSR RAW'!$A$3="","",'MSR RAW'!$A$3)</f>
        <v/>
      </c>
      <c r="C600">
        <f>IF(LEFT(TRIM('MSR RAW'!A600),11)="Department:",TRIM('MSR RAW'!A600),C599)</f>
        <v/>
      </c>
      <c r="D600">
        <f>IF(LEFT(TRIM('MSR RAW'!B600),9)="Location:",TRIM(MID('MSR RAW'!B600,10,999)),D599)</f>
        <v/>
      </c>
      <c r="E600">
        <f>IF(AND(ISNUMBER(SEARCH(" - ",TRIM('MSR RAW'!C600))),RIGHT(TRIM('MSR RAW'!C600),6)="Total:"),LEFT(TRIM('MSR RAW'!C600),SEARCH(" - ",TRIM('MSR RAW'!C600))-1),"")</f>
        <v/>
      </c>
      <c r="F600">
        <f>IF(E600="","",TRIM(MID(TRIM('MSR RAW'!C600),SEARCH(" - ",TRIM('MSR RAW'!C600))+3,LEN(TRIM('MSR RAW'!C600))-SEARCH(" - ",TRIM('MSR RAW'!C600))-9)))</f>
        <v/>
      </c>
      <c r="G600">
        <f>IF(E600="","",IFERROR(VLOOKUP(E600,'CATEGORY MAP'!$A$2:$B$20,2,FALSE()),"REVIEW"))</f>
        <v/>
      </c>
      <c r="H600">
        <f>IF(E600="","",IFERROR(VALUE(SUBSTITUTE('MSR RAW'!P600,",","")),0))</f>
        <v/>
      </c>
      <c r="I600">
        <f>IF(E600="","",IFERROR(VALUE(SUBSTITUTE('MSR RAW'!S600,",","")),0))</f>
        <v/>
      </c>
    </row>
    <row r="601" ht="68.65000000000001" customHeight="1" s="126">
      <c r="A601" t="n">
        <v>601</v>
      </c>
      <c r="B601" s="30">
        <f>IF('MSR RAW'!$A$3="","",'MSR RAW'!$A$3)</f>
        <v/>
      </c>
      <c r="C601">
        <f>IF(LEFT(TRIM('MSR RAW'!A601),11)="Department:",TRIM('MSR RAW'!A601),C600)</f>
        <v/>
      </c>
      <c r="D601">
        <f>IF(LEFT(TRIM('MSR RAW'!B601),9)="Location:",TRIM(MID('MSR RAW'!B601,10,999)),D600)</f>
        <v/>
      </c>
      <c r="E601">
        <f>IF(AND(ISNUMBER(SEARCH(" - ",TRIM('MSR RAW'!C601))),RIGHT(TRIM('MSR RAW'!C601),6)="Total:"),LEFT(TRIM('MSR RAW'!C601),SEARCH(" - ",TRIM('MSR RAW'!C601))-1),"")</f>
        <v/>
      </c>
      <c r="F601">
        <f>IF(E601="","",TRIM(MID(TRIM('MSR RAW'!C601),SEARCH(" - ",TRIM('MSR RAW'!C601))+3,LEN(TRIM('MSR RAW'!C601))-SEARCH(" - ",TRIM('MSR RAW'!C601))-9)))</f>
        <v/>
      </c>
      <c r="G601">
        <f>IF(E601="","",IFERROR(VLOOKUP(E601,'CATEGORY MAP'!$A$2:$B$20,2,FALSE()),"REVIEW"))</f>
        <v/>
      </c>
      <c r="H601">
        <f>IF(E601="","",IFERROR(VALUE(SUBSTITUTE('MSR RAW'!P601,",","")),0))</f>
        <v/>
      </c>
      <c r="I601">
        <f>IF(E601="","",IFERROR(VALUE(SUBSTITUTE('MSR RAW'!S601,",","")),0))</f>
        <v/>
      </c>
    </row>
    <row r="602" ht="68.65000000000001" customHeight="1" s="126">
      <c r="A602" t="n">
        <v>602</v>
      </c>
      <c r="B602" s="30">
        <f>IF('MSR RAW'!$A$3="","",'MSR RAW'!$A$3)</f>
        <v/>
      </c>
      <c r="C602">
        <f>IF(LEFT(TRIM('MSR RAW'!A602),11)="Department:",TRIM('MSR RAW'!A602),C601)</f>
        <v/>
      </c>
      <c r="D602">
        <f>IF(LEFT(TRIM('MSR RAW'!B602),9)="Location:",TRIM(MID('MSR RAW'!B602,10,999)),D601)</f>
        <v/>
      </c>
      <c r="E602">
        <f>IF(AND(ISNUMBER(SEARCH(" - ",TRIM('MSR RAW'!C602))),RIGHT(TRIM('MSR RAW'!C602),6)="Total:"),LEFT(TRIM('MSR RAW'!C602),SEARCH(" - ",TRIM('MSR RAW'!C602))-1),"")</f>
        <v/>
      </c>
      <c r="F602">
        <f>IF(E602="","",TRIM(MID(TRIM('MSR RAW'!C602),SEARCH(" - ",TRIM('MSR RAW'!C602))+3,LEN(TRIM('MSR RAW'!C602))-SEARCH(" - ",TRIM('MSR RAW'!C602))-9)))</f>
        <v/>
      </c>
      <c r="G602">
        <f>IF(E602="","",IFERROR(VLOOKUP(E602,'CATEGORY MAP'!$A$2:$B$20,2,FALSE()),"REVIEW"))</f>
        <v/>
      </c>
      <c r="H602">
        <f>IF(E602="","",IFERROR(VALUE(SUBSTITUTE('MSR RAW'!P602,",","")),0))</f>
        <v/>
      </c>
      <c r="I602">
        <f>IF(E602="","",IFERROR(VALUE(SUBSTITUTE('MSR RAW'!S602,",","")),0))</f>
        <v/>
      </c>
    </row>
    <row r="603" ht="68.65000000000001" customHeight="1" s="126">
      <c r="A603" t="n">
        <v>603</v>
      </c>
      <c r="B603" s="30">
        <f>IF('MSR RAW'!$A$3="","",'MSR RAW'!$A$3)</f>
        <v/>
      </c>
      <c r="C603">
        <f>IF(LEFT(TRIM('MSR RAW'!A603),11)="Department:",TRIM('MSR RAW'!A603),C602)</f>
        <v/>
      </c>
      <c r="D603">
        <f>IF(LEFT(TRIM('MSR RAW'!B603),9)="Location:",TRIM(MID('MSR RAW'!B603,10,999)),D602)</f>
        <v/>
      </c>
      <c r="E603">
        <f>IF(AND(ISNUMBER(SEARCH(" - ",TRIM('MSR RAW'!C603))),RIGHT(TRIM('MSR RAW'!C603),6)="Total:"),LEFT(TRIM('MSR RAW'!C603),SEARCH(" - ",TRIM('MSR RAW'!C603))-1),"")</f>
        <v/>
      </c>
      <c r="F603">
        <f>IF(E603="","",TRIM(MID(TRIM('MSR RAW'!C603),SEARCH(" - ",TRIM('MSR RAW'!C603))+3,LEN(TRIM('MSR RAW'!C603))-SEARCH(" - ",TRIM('MSR RAW'!C603))-9)))</f>
        <v/>
      </c>
      <c r="G603">
        <f>IF(E603="","",IFERROR(VLOOKUP(E603,'CATEGORY MAP'!$A$2:$B$20,2,FALSE()),"REVIEW"))</f>
        <v/>
      </c>
      <c r="H603">
        <f>IF(E603="","",IFERROR(VALUE(SUBSTITUTE('MSR RAW'!P603,",","")),0))</f>
        <v/>
      </c>
      <c r="I603">
        <f>IF(E603="","",IFERROR(VALUE(SUBSTITUTE('MSR RAW'!S603,",","")),0))</f>
        <v/>
      </c>
    </row>
    <row r="604" ht="68.65000000000001" customHeight="1" s="126">
      <c r="A604" t="n">
        <v>604</v>
      </c>
      <c r="B604" s="30">
        <f>IF('MSR RAW'!$A$3="","",'MSR RAW'!$A$3)</f>
        <v/>
      </c>
      <c r="C604">
        <f>IF(LEFT(TRIM('MSR RAW'!A604),11)="Department:",TRIM('MSR RAW'!A604),C603)</f>
        <v/>
      </c>
      <c r="D604">
        <f>IF(LEFT(TRIM('MSR RAW'!B604),9)="Location:",TRIM(MID('MSR RAW'!B604,10,999)),D603)</f>
        <v/>
      </c>
      <c r="E604">
        <f>IF(AND(ISNUMBER(SEARCH(" - ",TRIM('MSR RAW'!C604))),RIGHT(TRIM('MSR RAW'!C604),6)="Total:"),LEFT(TRIM('MSR RAW'!C604),SEARCH(" - ",TRIM('MSR RAW'!C604))-1),"")</f>
        <v/>
      </c>
      <c r="F604">
        <f>IF(E604="","",TRIM(MID(TRIM('MSR RAW'!C604),SEARCH(" - ",TRIM('MSR RAW'!C604))+3,LEN(TRIM('MSR RAW'!C604))-SEARCH(" - ",TRIM('MSR RAW'!C604))-9)))</f>
        <v/>
      </c>
      <c r="G604">
        <f>IF(E604="","",IFERROR(VLOOKUP(E604,'CATEGORY MAP'!$A$2:$B$20,2,FALSE()),"REVIEW"))</f>
        <v/>
      </c>
      <c r="H604">
        <f>IF(E604="","",IFERROR(VALUE(SUBSTITUTE('MSR RAW'!P604,",","")),0))</f>
        <v/>
      </c>
      <c r="I604">
        <f>IF(E604="","",IFERROR(VALUE(SUBSTITUTE('MSR RAW'!S604,",","")),0))</f>
        <v/>
      </c>
    </row>
    <row r="605" ht="68.65000000000001" customHeight="1" s="126">
      <c r="A605" t="n">
        <v>605</v>
      </c>
      <c r="B605" s="30">
        <f>IF('MSR RAW'!$A$3="","",'MSR RAW'!$A$3)</f>
        <v/>
      </c>
      <c r="C605">
        <f>IF(LEFT(TRIM('MSR RAW'!A605),11)="Department:",TRIM('MSR RAW'!A605),C604)</f>
        <v/>
      </c>
      <c r="D605">
        <f>IF(LEFT(TRIM('MSR RAW'!B605),9)="Location:",TRIM(MID('MSR RAW'!B605,10,999)),D604)</f>
        <v/>
      </c>
      <c r="E605">
        <f>IF(AND(ISNUMBER(SEARCH(" - ",TRIM('MSR RAW'!C605))),RIGHT(TRIM('MSR RAW'!C605),6)="Total:"),LEFT(TRIM('MSR RAW'!C605),SEARCH(" - ",TRIM('MSR RAW'!C605))-1),"")</f>
        <v/>
      </c>
      <c r="F605">
        <f>IF(E605="","",TRIM(MID(TRIM('MSR RAW'!C605),SEARCH(" - ",TRIM('MSR RAW'!C605))+3,LEN(TRIM('MSR RAW'!C605))-SEARCH(" - ",TRIM('MSR RAW'!C605))-9)))</f>
        <v/>
      </c>
      <c r="G605">
        <f>IF(E605="","",IFERROR(VLOOKUP(E605,'CATEGORY MAP'!$A$2:$B$20,2,FALSE()),"REVIEW"))</f>
        <v/>
      </c>
      <c r="H605">
        <f>IF(E605="","",IFERROR(VALUE(SUBSTITUTE('MSR RAW'!P605,",","")),0))</f>
        <v/>
      </c>
      <c r="I605">
        <f>IF(E605="","",IFERROR(VALUE(SUBSTITUTE('MSR RAW'!S605,",","")),0))</f>
        <v/>
      </c>
    </row>
    <row r="606" ht="68.65000000000001" customHeight="1" s="126">
      <c r="A606" t="n">
        <v>606</v>
      </c>
      <c r="B606" s="30">
        <f>IF('MSR RAW'!$A$3="","",'MSR RAW'!$A$3)</f>
        <v/>
      </c>
      <c r="C606">
        <f>IF(LEFT(TRIM('MSR RAW'!A606),11)="Department:",TRIM('MSR RAW'!A606),C605)</f>
        <v/>
      </c>
      <c r="D606">
        <f>IF(LEFT(TRIM('MSR RAW'!B606),9)="Location:",TRIM(MID('MSR RAW'!B606,10,999)),D605)</f>
        <v/>
      </c>
      <c r="E606">
        <f>IF(AND(ISNUMBER(SEARCH(" - ",TRIM('MSR RAW'!C606))),RIGHT(TRIM('MSR RAW'!C606),6)="Total:"),LEFT(TRIM('MSR RAW'!C606),SEARCH(" - ",TRIM('MSR RAW'!C606))-1),"")</f>
        <v/>
      </c>
      <c r="F606">
        <f>IF(E606="","",TRIM(MID(TRIM('MSR RAW'!C606),SEARCH(" - ",TRIM('MSR RAW'!C606))+3,LEN(TRIM('MSR RAW'!C606))-SEARCH(" - ",TRIM('MSR RAW'!C606))-9)))</f>
        <v/>
      </c>
      <c r="G606">
        <f>IF(E606="","",IFERROR(VLOOKUP(E606,'CATEGORY MAP'!$A$2:$B$20,2,FALSE()),"REVIEW"))</f>
        <v/>
      </c>
      <c r="H606">
        <f>IF(E606="","",IFERROR(VALUE(SUBSTITUTE('MSR RAW'!P606,",","")),0))</f>
        <v/>
      </c>
      <c r="I606">
        <f>IF(E606="","",IFERROR(VALUE(SUBSTITUTE('MSR RAW'!S606,",","")),0))</f>
        <v/>
      </c>
    </row>
    <row r="607" ht="68.65000000000001" customHeight="1" s="126">
      <c r="A607" t="n">
        <v>607</v>
      </c>
      <c r="B607" s="30">
        <f>IF('MSR RAW'!$A$3="","",'MSR RAW'!$A$3)</f>
        <v/>
      </c>
      <c r="C607">
        <f>IF(LEFT(TRIM('MSR RAW'!A607),11)="Department:",TRIM('MSR RAW'!A607),C606)</f>
        <v/>
      </c>
      <c r="D607">
        <f>IF(LEFT(TRIM('MSR RAW'!B607),9)="Location:",TRIM(MID('MSR RAW'!B607,10,999)),D606)</f>
        <v/>
      </c>
      <c r="E607">
        <f>IF(AND(ISNUMBER(SEARCH(" - ",TRIM('MSR RAW'!C607))),RIGHT(TRIM('MSR RAW'!C607),6)="Total:"),LEFT(TRIM('MSR RAW'!C607),SEARCH(" - ",TRIM('MSR RAW'!C607))-1),"")</f>
        <v/>
      </c>
      <c r="F607">
        <f>IF(E607="","",TRIM(MID(TRIM('MSR RAW'!C607),SEARCH(" - ",TRIM('MSR RAW'!C607))+3,LEN(TRIM('MSR RAW'!C607))-SEARCH(" - ",TRIM('MSR RAW'!C607))-9)))</f>
        <v/>
      </c>
      <c r="G607">
        <f>IF(E607="","",IFERROR(VLOOKUP(E607,'CATEGORY MAP'!$A$2:$B$20,2,FALSE()),"REVIEW"))</f>
        <v/>
      </c>
      <c r="H607">
        <f>IF(E607="","",IFERROR(VALUE(SUBSTITUTE('MSR RAW'!P607,",","")),0))</f>
        <v/>
      </c>
      <c r="I607">
        <f>IF(E607="","",IFERROR(VALUE(SUBSTITUTE('MSR RAW'!S607,",","")),0))</f>
        <v/>
      </c>
    </row>
    <row r="608" ht="68.65000000000001" customHeight="1" s="126">
      <c r="A608" t="n">
        <v>608</v>
      </c>
      <c r="B608" s="30">
        <f>IF('MSR RAW'!$A$3="","",'MSR RAW'!$A$3)</f>
        <v/>
      </c>
      <c r="C608">
        <f>IF(LEFT(TRIM('MSR RAW'!A608),11)="Department:",TRIM('MSR RAW'!A608),C607)</f>
        <v/>
      </c>
      <c r="D608">
        <f>IF(LEFT(TRIM('MSR RAW'!B608),9)="Location:",TRIM(MID('MSR RAW'!B608,10,999)),D607)</f>
        <v/>
      </c>
      <c r="E608">
        <f>IF(AND(ISNUMBER(SEARCH(" - ",TRIM('MSR RAW'!C608))),RIGHT(TRIM('MSR RAW'!C608),6)="Total:"),LEFT(TRIM('MSR RAW'!C608),SEARCH(" - ",TRIM('MSR RAW'!C608))-1),"")</f>
        <v/>
      </c>
      <c r="F608">
        <f>IF(E608="","",TRIM(MID(TRIM('MSR RAW'!C608),SEARCH(" - ",TRIM('MSR RAW'!C608))+3,LEN(TRIM('MSR RAW'!C608))-SEARCH(" - ",TRIM('MSR RAW'!C608))-9)))</f>
        <v/>
      </c>
      <c r="G608">
        <f>IF(E608="","",IFERROR(VLOOKUP(E608,'CATEGORY MAP'!$A$2:$B$20,2,FALSE()),"REVIEW"))</f>
        <v/>
      </c>
      <c r="H608">
        <f>IF(E608="","",IFERROR(VALUE(SUBSTITUTE('MSR RAW'!P608,",","")),0))</f>
        <v/>
      </c>
      <c r="I608">
        <f>IF(E608="","",IFERROR(VALUE(SUBSTITUTE('MSR RAW'!S608,",","")),0))</f>
        <v/>
      </c>
    </row>
    <row r="609" ht="68.65000000000001" customHeight="1" s="126">
      <c r="A609" t="n">
        <v>609</v>
      </c>
      <c r="B609" s="30">
        <f>IF('MSR RAW'!$A$3="","",'MSR RAW'!$A$3)</f>
        <v/>
      </c>
      <c r="C609">
        <f>IF(LEFT(TRIM('MSR RAW'!A609),11)="Department:",TRIM('MSR RAW'!A609),C608)</f>
        <v/>
      </c>
      <c r="D609">
        <f>IF(LEFT(TRIM('MSR RAW'!B609),9)="Location:",TRIM(MID('MSR RAW'!B609,10,999)),D608)</f>
        <v/>
      </c>
      <c r="E609">
        <f>IF(AND(ISNUMBER(SEARCH(" - ",TRIM('MSR RAW'!C609))),RIGHT(TRIM('MSR RAW'!C609),6)="Total:"),LEFT(TRIM('MSR RAW'!C609),SEARCH(" - ",TRIM('MSR RAW'!C609))-1),"")</f>
        <v/>
      </c>
      <c r="F609">
        <f>IF(E609="","",TRIM(MID(TRIM('MSR RAW'!C609),SEARCH(" - ",TRIM('MSR RAW'!C609))+3,LEN(TRIM('MSR RAW'!C609))-SEARCH(" - ",TRIM('MSR RAW'!C609))-9)))</f>
        <v/>
      </c>
      <c r="G609">
        <f>IF(E609="","",IFERROR(VLOOKUP(E609,'CATEGORY MAP'!$A$2:$B$20,2,FALSE()),"REVIEW"))</f>
        <v/>
      </c>
      <c r="H609">
        <f>IF(E609="","",IFERROR(VALUE(SUBSTITUTE('MSR RAW'!P609,",","")),0))</f>
        <v/>
      </c>
      <c r="I609">
        <f>IF(E609="","",IFERROR(VALUE(SUBSTITUTE('MSR RAW'!S609,",","")),0))</f>
        <v/>
      </c>
    </row>
    <row r="610" ht="68.65000000000001" customHeight="1" s="126">
      <c r="A610" t="n">
        <v>610</v>
      </c>
      <c r="B610" s="30">
        <f>IF('MSR RAW'!$A$3="","",'MSR RAW'!$A$3)</f>
        <v/>
      </c>
      <c r="C610">
        <f>IF(LEFT(TRIM('MSR RAW'!A610),11)="Department:",TRIM('MSR RAW'!A610),C609)</f>
        <v/>
      </c>
      <c r="D610">
        <f>IF(LEFT(TRIM('MSR RAW'!B610),9)="Location:",TRIM(MID('MSR RAW'!B610,10,999)),D609)</f>
        <v/>
      </c>
      <c r="E610">
        <f>IF(AND(ISNUMBER(SEARCH(" - ",TRIM('MSR RAW'!C610))),RIGHT(TRIM('MSR RAW'!C610),6)="Total:"),LEFT(TRIM('MSR RAW'!C610),SEARCH(" - ",TRIM('MSR RAW'!C610))-1),"")</f>
        <v/>
      </c>
      <c r="F610">
        <f>IF(E610="","",TRIM(MID(TRIM('MSR RAW'!C610),SEARCH(" - ",TRIM('MSR RAW'!C610))+3,LEN(TRIM('MSR RAW'!C610))-SEARCH(" - ",TRIM('MSR RAW'!C610))-9)))</f>
        <v/>
      </c>
      <c r="G610">
        <f>IF(E610="","",IFERROR(VLOOKUP(E610,'CATEGORY MAP'!$A$2:$B$20,2,FALSE()),"REVIEW"))</f>
        <v/>
      </c>
      <c r="H610">
        <f>IF(E610="","",IFERROR(VALUE(SUBSTITUTE('MSR RAW'!P610,",","")),0))</f>
        <v/>
      </c>
      <c r="I610">
        <f>IF(E610="","",IFERROR(VALUE(SUBSTITUTE('MSR RAW'!S610,",","")),0))</f>
        <v/>
      </c>
    </row>
    <row r="611" ht="68.65000000000001" customHeight="1" s="126">
      <c r="A611" t="n">
        <v>611</v>
      </c>
      <c r="B611" s="30">
        <f>IF('MSR RAW'!$A$3="","",'MSR RAW'!$A$3)</f>
        <v/>
      </c>
      <c r="C611">
        <f>IF(LEFT(TRIM('MSR RAW'!A611),11)="Department:",TRIM('MSR RAW'!A611),C610)</f>
        <v/>
      </c>
      <c r="D611">
        <f>IF(LEFT(TRIM('MSR RAW'!B611),9)="Location:",TRIM(MID('MSR RAW'!B611,10,999)),D610)</f>
        <v/>
      </c>
      <c r="E611">
        <f>IF(AND(ISNUMBER(SEARCH(" - ",TRIM('MSR RAW'!C611))),RIGHT(TRIM('MSR RAW'!C611),6)="Total:"),LEFT(TRIM('MSR RAW'!C611),SEARCH(" - ",TRIM('MSR RAW'!C611))-1),"")</f>
        <v/>
      </c>
      <c r="F611">
        <f>IF(E611="","",TRIM(MID(TRIM('MSR RAW'!C611),SEARCH(" - ",TRIM('MSR RAW'!C611))+3,LEN(TRIM('MSR RAW'!C611))-SEARCH(" - ",TRIM('MSR RAW'!C611))-9)))</f>
        <v/>
      </c>
      <c r="G611">
        <f>IF(E611="","",IFERROR(VLOOKUP(E611,'CATEGORY MAP'!$A$2:$B$20,2,FALSE()),"REVIEW"))</f>
        <v/>
      </c>
      <c r="H611">
        <f>IF(E611="","",IFERROR(VALUE(SUBSTITUTE('MSR RAW'!P611,",","")),0))</f>
        <v/>
      </c>
      <c r="I611">
        <f>IF(E611="","",IFERROR(VALUE(SUBSTITUTE('MSR RAW'!S611,",","")),0))</f>
        <v/>
      </c>
    </row>
    <row r="612" ht="68.65000000000001" customHeight="1" s="126">
      <c r="A612" t="n">
        <v>612</v>
      </c>
      <c r="B612" s="30">
        <f>IF('MSR RAW'!$A$3="","",'MSR RAW'!$A$3)</f>
        <v/>
      </c>
      <c r="C612">
        <f>IF(LEFT(TRIM('MSR RAW'!A612),11)="Department:",TRIM('MSR RAW'!A612),C611)</f>
        <v/>
      </c>
      <c r="D612">
        <f>IF(LEFT(TRIM('MSR RAW'!B612),9)="Location:",TRIM(MID('MSR RAW'!B612,10,999)),D611)</f>
        <v/>
      </c>
      <c r="E612">
        <f>IF(AND(ISNUMBER(SEARCH(" - ",TRIM('MSR RAW'!C612))),RIGHT(TRIM('MSR RAW'!C612),6)="Total:"),LEFT(TRIM('MSR RAW'!C612),SEARCH(" - ",TRIM('MSR RAW'!C612))-1),"")</f>
        <v/>
      </c>
      <c r="F612">
        <f>IF(E612="","",TRIM(MID(TRIM('MSR RAW'!C612),SEARCH(" - ",TRIM('MSR RAW'!C612))+3,LEN(TRIM('MSR RAW'!C612))-SEARCH(" - ",TRIM('MSR RAW'!C612))-9)))</f>
        <v/>
      </c>
      <c r="G612">
        <f>IF(E612="","",IFERROR(VLOOKUP(E612,'CATEGORY MAP'!$A$2:$B$20,2,FALSE()),"REVIEW"))</f>
        <v/>
      </c>
      <c r="H612">
        <f>IF(E612="","",IFERROR(VALUE(SUBSTITUTE('MSR RAW'!P612,",","")),0))</f>
        <v/>
      </c>
      <c r="I612">
        <f>IF(E612="","",IFERROR(VALUE(SUBSTITUTE('MSR RAW'!S612,",","")),0))</f>
        <v/>
      </c>
    </row>
    <row r="613" ht="68.65000000000001" customHeight="1" s="126">
      <c r="A613" t="n">
        <v>613</v>
      </c>
      <c r="B613" s="30">
        <f>IF('MSR RAW'!$A$3="","",'MSR RAW'!$A$3)</f>
        <v/>
      </c>
      <c r="C613">
        <f>IF(LEFT(TRIM('MSR RAW'!A613),11)="Department:",TRIM('MSR RAW'!A613),C612)</f>
        <v/>
      </c>
      <c r="D613">
        <f>IF(LEFT(TRIM('MSR RAW'!B613),9)="Location:",TRIM(MID('MSR RAW'!B613,10,999)),D612)</f>
        <v/>
      </c>
      <c r="E613">
        <f>IF(AND(ISNUMBER(SEARCH(" - ",TRIM('MSR RAW'!C613))),RIGHT(TRIM('MSR RAW'!C613),6)="Total:"),LEFT(TRIM('MSR RAW'!C613),SEARCH(" - ",TRIM('MSR RAW'!C613))-1),"")</f>
        <v/>
      </c>
      <c r="F613">
        <f>IF(E613="","",TRIM(MID(TRIM('MSR RAW'!C613),SEARCH(" - ",TRIM('MSR RAW'!C613))+3,LEN(TRIM('MSR RAW'!C613))-SEARCH(" - ",TRIM('MSR RAW'!C613))-9)))</f>
        <v/>
      </c>
      <c r="G613">
        <f>IF(E613="","",IFERROR(VLOOKUP(E613,'CATEGORY MAP'!$A$2:$B$20,2,FALSE()),"REVIEW"))</f>
        <v/>
      </c>
      <c r="H613">
        <f>IF(E613="","",IFERROR(VALUE(SUBSTITUTE('MSR RAW'!P613,",","")),0))</f>
        <v/>
      </c>
      <c r="I613">
        <f>IF(E613="","",IFERROR(VALUE(SUBSTITUTE('MSR RAW'!S613,",","")),0))</f>
        <v/>
      </c>
    </row>
    <row r="614" ht="68.65000000000001" customHeight="1" s="126">
      <c r="A614" t="n">
        <v>614</v>
      </c>
      <c r="B614" s="30">
        <f>IF('MSR RAW'!$A$3="","",'MSR RAW'!$A$3)</f>
        <v/>
      </c>
      <c r="C614">
        <f>IF(LEFT(TRIM('MSR RAW'!A614),11)="Department:",TRIM('MSR RAW'!A614),C613)</f>
        <v/>
      </c>
      <c r="D614">
        <f>IF(LEFT(TRIM('MSR RAW'!B614),9)="Location:",TRIM(MID('MSR RAW'!B614,10,999)),D613)</f>
        <v/>
      </c>
      <c r="E614">
        <f>IF(AND(ISNUMBER(SEARCH(" - ",TRIM('MSR RAW'!C614))),RIGHT(TRIM('MSR RAW'!C614),6)="Total:"),LEFT(TRIM('MSR RAW'!C614),SEARCH(" - ",TRIM('MSR RAW'!C614))-1),"")</f>
        <v/>
      </c>
      <c r="F614">
        <f>IF(E614="","",TRIM(MID(TRIM('MSR RAW'!C614),SEARCH(" - ",TRIM('MSR RAW'!C614))+3,LEN(TRIM('MSR RAW'!C614))-SEARCH(" - ",TRIM('MSR RAW'!C614))-9)))</f>
        <v/>
      </c>
      <c r="G614">
        <f>IF(E614="","",IFERROR(VLOOKUP(E614,'CATEGORY MAP'!$A$2:$B$20,2,FALSE()),"REVIEW"))</f>
        <v/>
      </c>
      <c r="H614">
        <f>IF(E614="","",IFERROR(VALUE(SUBSTITUTE('MSR RAW'!P614,",","")),0))</f>
        <v/>
      </c>
      <c r="I614">
        <f>IF(E614="","",IFERROR(VALUE(SUBSTITUTE('MSR RAW'!S614,",","")),0))</f>
        <v/>
      </c>
    </row>
    <row r="615" ht="68.65000000000001" customHeight="1" s="126">
      <c r="A615" t="n">
        <v>615</v>
      </c>
      <c r="B615" s="30">
        <f>IF('MSR RAW'!$A$3="","",'MSR RAW'!$A$3)</f>
        <v/>
      </c>
      <c r="C615">
        <f>IF(LEFT(TRIM('MSR RAW'!A615),11)="Department:",TRIM('MSR RAW'!A615),C614)</f>
        <v/>
      </c>
      <c r="D615">
        <f>IF(LEFT(TRIM('MSR RAW'!B615),9)="Location:",TRIM(MID('MSR RAW'!B615,10,999)),D614)</f>
        <v/>
      </c>
      <c r="E615">
        <f>IF(AND(ISNUMBER(SEARCH(" - ",TRIM('MSR RAW'!C615))),RIGHT(TRIM('MSR RAW'!C615),6)="Total:"),LEFT(TRIM('MSR RAW'!C615),SEARCH(" - ",TRIM('MSR RAW'!C615))-1),"")</f>
        <v/>
      </c>
      <c r="F615">
        <f>IF(E615="","",TRIM(MID(TRIM('MSR RAW'!C615),SEARCH(" - ",TRIM('MSR RAW'!C615))+3,LEN(TRIM('MSR RAW'!C615))-SEARCH(" - ",TRIM('MSR RAW'!C615))-9)))</f>
        <v/>
      </c>
      <c r="G615">
        <f>IF(E615="","",IFERROR(VLOOKUP(E615,'CATEGORY MAP'!$A$2:$B$20,2,FALSE()),"REVIEW"))</f>
        <v/>
      </c>
      <c r="H615">
        <f>IF(E615="","",IFERROR(VALUE(SUBSTITUTE('MSR RAW'!P615,",","")),0))</f>
        <v/>
      </c>
      <c r="I615">
        <f>IF(E615="","",IFERROR(VALUE(SUBSTITUTE('MSR RAW'!S615,",","")),0))</f>
        <v/>
      </c>
    </row>
    <row r="616" ht="68.65000000000001" customHeight="1" s="126">
      <c r="A616" t="n">
        <v>616</v>
      </c>
      <c r="B616" s="30">
        <f>IF('MSR RAW'!$A$3="","",'MSR RAW'!$A$3)</f>
        <v/>
      </c>
      <c r="C616">
        <f>IF(LEFT(TRIM('MSR RAW'!A616),11)="Department:",TRIM('MSR RAW'!A616),C615)</f>
        <v/>
      </c>
      <c r="D616">
        <f>IF(LEFT(TRIM('MSR RAW'!B616),9)="Location:",TRIM(MID('MSR RAW'!B616,10,999)),D615)</f>
        <v/>
      </c>
      <c r="E616">
        <f>IF(AND(ISNUMBER(SEARCH(" - ",TRIM('MSR RAW'!C616))),RIGHT(TRIM('MSR RAW'!C616),6)="Total:"),LEFT(TRIM('MSR RAW'!C616),SEARCH(" - ",TRIM('MSR RAW'!C616))-1),"")</f>
        <v/>
      </c>
      <c r="F616">
        <f>IF(E616="","",TRIM(MID(TRIM('MSR RAW'!C616),SEARCH(" - ",TRIM('MSR RAW'!C616))+3,LEN(TRIM('MSR RAW'!C616))-SEARCH(" - ",TRIM('MSR RAW'!C616))-9)))</f>
        <v/>
      </c>
      <c r="G616">
        <f>IF(E616="","",IFERROR(VLOOKUP(E616,'CATEGORY MAP'!$A$2:$B$20,2,FALSE()),"REVIEW"))</f>
        <v/>
      </c>
      <c r="H616">
        <f>IF(E616="","",IFERROR(VALUE(SUBSTITUTE('MSR RAW'!P616,",","")),0))</f>
        <v/>
      </c>
      <c r="I616">
        <f>IF(E616="","",IFERROR(VALUE(SUBSTITUTE('MSR RAW'!S616,",","")),0))</f>
        <v/>
      </c>
    </row>
    <row r="617" ht="68.65000000000001" customHeight="1" s="126">
      <c r="A617" t="n">
        <v>617</v>
      </c>
      <c r="B617" s="30">
        <f>IF('MSR RAW'!$A$3="","",'MSR RAW'!$A$3)</f>
        <v/>
      </c>
      <c r="C617">
        <f>IF(LEFT(TRIM('MSR RAW'!A617),11)="Department:",TRIM('MSR RAW'!A617),C616)</f>
        <v/>
      </c>
      <c r="D617">
        <f>IF(LEFT(TRIM('MSR RAW'!B617),9)="Location:",TRIM(MID('MSR RAW'!B617,10,999)),D616)</f>
        <v/>
      </c>
      <c r="E617">
        <f>IF(AND(ISNUMBER(SEARCH(" - ",TRIM('MSR RAW'!C617))),RIGHT(TRIM('MSR RAW'!C617),6)="Total:"),LEFT(TRIM('MSR RAW'!C617),SEARCH(" - ",TRIM('MSR RAW'!C617))-1),"")</f>
        <v/>
      </c>
      <c r="F617">
        <f>IF(E617="","",TRIM(MID(TRIM('MSR RAW'!C617),SEARCH(" - ",TRIM('MSR RAW'!C617))+3,LEN(TRIM('MSR RAW'!C617))-SEARCH(" - ",TRIM('MSR RAW'!C617))-9)))</f>
        <v/>
      </c>
      <c r="G617">
        <f>IF(E617="","",IFERROR(VLOOKUP(E617,'CATEGORY MAP'!$A$2:$B$20,2,FALSE()),"REVIEW"))</f>
        <v/>
      </c>
      <c r="H617">
        <f>IF(E617="","",IFERROR(VALUE(SUBSTITUTE('MSR RAW'!P617,",","")),0))</f>
        <v/>
      </c>
      <c r="I617">
        <f>IF(E617="","",IFERROR(VALUE(SUBSTITUTE('MSR RAW'!S617,",","")),0))</f>
        <v/>
      </c>
    </row>
    <row r="618" ht="68.65000000000001" customHeight="1" s="126">
      <c r="A618" t="n">
        <v>618</v>
      </c>
      <c r="B618" s="30">
        <f>IF('MSR RAW'!$A$3="","",'MSR RAW'!$A$3)</f>
        <v/>
      </c>
      <c r="C618">
        <f>IF(LEFT(TRIM('MSR RAW'!A618),11)="Department:",TRIM('MSR RAW'!A618),C617)</f>
        <v/>
      </c>
      <c r="D618">
        <f>IF(LEFT(TRIM('MSR RAW'!B618),9)="Location:",TRIM(MID('MSR RAW'!B618,10,999)),D617)</f>
        <v/>
      </c>
      <c r="E618">
        <f>IF(AND(ISNUMBER(SEARCH(" - ",TRIM('MSR RAW'!C618))),RIGHT(TRIM('MSR RAW'!C618),6)="Total:"),LEFT(TRIM('MSR RAW'!C618),SEARCH(" - ",TRIM('MSR RAW'!C618))-1),"")</f>
        <v/>
      </c>
      <c r="F618">
        <f>IF(E618="","",TRIM(MID(TRIM('MSR RAW'!C618),SEARCH(" - ",TRIM('MSR RAW'!C618))+3,LEN(TRIM('MSR RAW'!C618))-SEARCH(" - ",TRIM('MSR RAW'!C618))-9)))</f>
        <v/>
      </c>
      <c r="G618">
        <f>IF(E618="","",IFERROR(VLOOKUP(E618,'CATEGORY MAP'!$A$2:$B$20,2,FALSE()),"REVIEW"))</f>
        <v/>
      </c>
      <c r="H618">
        <f>IF(E618="","",IFERROR(VALUE(SUBSTITUTE('MSR RAW'!P618,",","")),0))</f>
        <v/>
      </c>
      <c r="I618">
        <f>IF(E618="","",IFERROR(VALUE(SUBSTITUTE('MSR RAW'!S618,",","")),0))</f>
        <v/>
      </c>
    </row>
    <row r="619" ht="68.65000000000001" customHeight="1" s="126">
      <c r="A619" t="n">
        <v>619</v>
      </c>
      <c r="B619" s="30">
        <f>IF('MSR RAW'!$A$3="","",'MSR RAW'!$A$3)</f>
        <v/>
      </c>
      <c r="C619">
        <f>IF(LEFT(TRIM('MSR RAW'!A619),11)="Department:",TRIM('MSR RAW'!A619),C618)</f>
        <v/>
      </c>
      <c r="D619">
        <f>IF(LEFT(TRIM('MSR RAW'!B619),9)="Location:",TRIM(MID('MSR RAW'!B619,10,999)),D618)</f>
        <v/>
      </c>
      <c r="E619">
        <f>IF(AND(ISNUMBER(SEARCH(" - ",TRIM('MSR RAW'!C619))),RIGHT(TRIM('MSR RAW'!C619),6)="Total:"),LEFT(TRIM('MSR RAW'!C619),SEARCH(" - ",TRIM('MSR RAW'!C619))-1),"")</f>
        <v/>
      </c>
      <c r="F619">
        <f>IF(E619="","",TRIM(MID(TRIM('MSR RAW'!C619),SEARCH(" - ",TRIM('MSR RAW'!C619))+3,LEN(TRIM('MSR RAW'!C619))-SEARCH(" - ",TRIM('MSR RAW'!C619))-9)))</f>
        <v/>
      </c>
      <c r="G619">
        <f>IF(E619="","",IFERROR(VLOOKUP(E619,'CATEGORY MAP'!$A$2:$B$20,2,FALSE()),"REVIEW"))</f>
        <v/>
      </c>
      <c r="H619">
        <f>IF(E619="","",IFERROR(VALUE(SUBSTITUTE('MSR RAW'!P619,",","")),0))</f>
        <v/>
      </c>
      <c r="I619">
        <f>IF(E619="","",IFERROR(VALUE(SUBSTITUTE('MSR RAW'!S619,",","")),0))</f>
        <v/>
      </c>
    </row>
    <row r="620" ht="68.65000000000001" customHeight="1" s="126">
      <c r="A620" t="n">
        <v>620</v>
      </c>
      <c r="B620" s="30">
        <f>IF('MSR RAW'!$A$3="","",'MSR RAW'!$A$3)</f>
        <v/>
      </c>
      <c r="C620">
        <f>IF(LEFT(TRIM('MSR RAW'!A620),11)="Department:",TRIM('MSR RAW'!A620),C619)</f>
        <v/>
      </c>
      <c r="D620">
        <f>IF(LEFT(TRIM('MSR RAW'!B620),9)="Location:",TRIM(MID('MSR RAW'!B620,10,999)),D619)</f>
        <v/>
      </c>
      <c r="E620">
        <f>IF(AND(ISNUMBER(SEARCH(" - ",TRIM('MSR RAW'!C620))),RIGHT(TRIM('MSR RAW'!C620),6)="Total:"),LEFT(TRIM('MSR RAW'!C620),SEARCH(" - ",TRIM('MSR RAW'!C620))-1),"")</f>
        <v/>
      </c>
      <c r="F620">
        <f>IF(E620="","",TRIM(MID(TRIM('MSR RAW'!C620),SEARCH(" - ",TRIM('MSR RAW'!C620))+3,LEN(TRIM('MSR RAW'!C620))-SEARCH(" - ",TRIM('MSR RAW'!C620))-9)))</f>
        <v/>
      </c>
      <c r="G620">
        <f>IF(E620="","",IFERROR(VLOOKUP(E620,'CATEGORY MAP'!$A$2:$B$20,2,FALSE()),"REVIEW"))</f>
        <v/>
      </c>
      <c r="H620">
        <f>IF(E620="","",IFERROR(VALUE(SUBSTITUTE('MSR RAW'!P620,",","")),0))</f>
        <v/>
      </c>
      <c r="I620">
        <f>IF(E620="","",IFERROR(VALUE(SUBSTITUTE('MSR RAW'!S620,",","")),0))</f>
        <v/>
      </c>
    </row>
    <row r="621" ht="68.65000000000001" customHeight="1" s="126">
      <c r="A621" t="n">
        <v>621</v>
      </c>
      <c r="B621" s="30">
        <f>IF('MSR RAW'!$A$3="","",'MSR RAW'!$A$3)</f>
        <v/>
      </c>
      <c r="C621">
        <f>IF(LEFT(TRIM('MSR RAW'!A621),11)="Department:",TRIM('MSR RAW'!A621),C620)</f>
        <v/>
      </c>
      <c r="D621">
        <f>IF(LEFT(TRIM('MSR RAW'!B621),9)="Location:",TRIM(MID('MSR RAW'!B621,10,999)),D620)</f>
        <v/>
      </c>
      <c r="E621">
        <f>IF(AND(ISNUMBER(SEARCH(" - ",TRIM('MSR RAW'!C621))),RIGHT(TRIM('MSR RAW'!C621),6)="Total:"),LEFT(TRIM('MSR RAW'!C621),SEARCH(" - ",TRIM('MSR RAW'!C621))-1),"")</f>
        <v/>
      </c>
      <c r="F621">
        <f>IF(E621="","",TRIM(MID(TRIM('MSR RAW'!C621),SEARCH(" - ",TRIM('MSR RAW'!C621))+3,LEN(TRIM('MSR RAW'!C621))-SEARCH(" - ",TRIM('MSR RAW'!C621))-9)))</f>
        <v/>
      </c>
      <c r="G621">
        <f>IF(E621="","",IFERROR(VLOOKUP(E621,'CATEGORY MAP'!$A$2:$B$20,2,FALSE()),"REVIEW"))</f>
        <v/>
      </c>
      <c r="H621">
        <f>IF(E621="","",IFERROR(VALUE(SUBSTITUTE('MSR RAW'!P621,",","")),0))</f>
        <v/>
      </c>
      <c r="I621">
        <f>IF(E621="","",IFERROR(VALUE(SUBSTITUTE('MSR RAW'!S621,",","")),0))</f>
        <v/>
      </c>
    </row>
    <row r="622" ht="68.65000000000001" customHeight="1" s="126">
      <c r="A622" t="n">
        <v>622</v>
      </c>
      <c r="B622" s="30">
        <f>IF('MSR RAW'!$A$3="","",'MSR RAW'!$A$3)</f>
        <v/>
      </c>
      <c r="C622">
        <f>IF(LEFT(TRIM('MSR RAW'!A622),11)="Department:",TRIM('MSR RAW'!A622),C621)</f>
        <v/>
      </c>
      <c r="D622">
        <f>IF(LEFT(TRIM('MSR RAW'!B622),9)="Location:",TRIM(MID('MSR RAW'!B622,10,999)),D621)</f>
        <v/>
      </c>
      <c r="E622">
        <f>IF(AND(ISNUMBER(SEARCH(" - ",TRIM('MSR RAW'!C622))),RIGHT(TRIM('MSR RAW'!C622),6)="Total:"),LEFT(TRIM('MSR RAW'!C622),SEARCH(" - ",TRIM('MSR RAW'!C622))-1),"")</f>
        <v/>
      </c>
      <c r="F622">
        <f>IF(E622="","",TRIM(MID(TRIM('MSR RAW'!C622),SEARCH(" - ",TRIM('MSR RAW'!C622))+3,LEN(TRIM('MSR RAW'!C622))-SEARCH(" - ",TRIM('MSR RAW'!C622))-9)))</f>
        <v/>
      </c>
      <c r="G622">
        <f>IF(E622="","",IFERROR(VLOOKUP(E622,'CATEGORY MAP'!$A$2:$B$20,2,FALSE()),"REVIEW"))</f>
        <v/>
      </c>
      <c r="H622">
        <f>IF(E622="","",IFERROR(VALUE(SUBSTITUTE('MSR RAW'!P622,",","")),0))</f>
        <v/>
      </c>
      <c r="I622">
        <f>IF(E622="","",IFERROR(VALUE(SUBSTITUTE('MSR RAW'!S622,",","")),0))</f>
        <v/>
      </c>
    </row>
    <row r="623" ht="68.65000000000001" customHeight="1" s="126">
      <c r="A623" t="n">
        <v>623</v>
      </c>
      <c r="B623" s="30">
        <f>IF('MSR RAW'!$A$3="","",'MSR RAW'!$A$3)</f>
        <v/>
      </c>
      <c r="C623">
        <f>IF(LEFT(TRIM('MSR RAW'!A623),11)="Department:",TRIM('MSR RAW'!A623),C622)</f>
        <v/>
      </c>
      <c r="D623">
        <f>IF(LEFT(TRIM('MSR RAW'!B623),9)="Location:",TRIM(MID('MSR RAW'!B623,10,999)),D622)</f>
        <v/>
      </c>
      <c r="E623">
        <f>IF(AND(ISNUMBER(SEARCH(" - ",TRIM('MSR RAW'!C623))),RIGHT(TRIM('MSR RAW'!C623),6)="Total:"),LEFT(TRIM('MSR RAW'!C623),SEARCH(" - ",TRIM('MSR RAW'!C623))-1),"")</f>
        <v/>
      </c>
      <c r="F623">
        <f>IF(E623="","",TRIM(MID(TRIM('MSR RAW'!C623),SEARCH(" - ",TRIM('MSR RAW'!C623))+3,LEN(TRIM('MSR RAW'!C623))-SEARCH(" - ",TRIM('MSR RAW'!C623))-9)))</f>
        <v/>
      </c>
      <c r="G623">
        <f>IF(E623="","",IFERROR(VLOOKUP(E623,'CATEGORY MAP'!$A$2:$B$20,2,FALSE()),"REVIEW"))</f>
        <v/>
      </c>
      <c r="H623">
        <f>IF(E623="","",IFERROR(VALUE(SUBSTITUTE('MSR RAW'!P623,",","")),0))</f>
        <v/>
      </c>
      <c r="I623">
        <f>IF(E623="","",IFERROR(VALUE(SUBSTITUTE('MSR RAW'!S623,",","")),0))</f>
        <v/>
      </c>
    </row>
    <row r="624" ht="68.65000000000001" customHeight="1" s="126">
      <c r="A624" t="n">
        <v>624</v>
      </c>
      <c r="B624" s="30">
        <f>IF('MSR RAW'!$A$3="","",'MSR RAW'!$A$3)</f>
        <v/>
      </c>
      <c r="C624">
        <f>IF(LEFT(TRIM('MSR RAW'!A624),11)="Department:",TRIM('MSR RAW'!A624),C623)</f>
        <v/>
      </c>
      <c r="D624">
        <f>IF(LEFT(TRIM('MSR RAW'!B624),9)="Location:",TRIM(MID('MSR RAW'!B624,10,999)),D623)</f>
        <v/>
      </c>
      <c r="E624">
        <f>IF(AND(ISNUMBER(SEARCH(" - ",TRIM('MSR RAW'!C624))),RIGHT(TRIM('MSR RAW'!C624),6)="Total:"),LEFT(TRIM('MSR RAW'!C624),SEARCH(" - ",TRIM('MSR RAW'!C624))-1),"")</f>
        <v/>
      </c>
      <c r="F624">
        <f>IF(E624="","",TRIM(MID(TRIM('MSR RAW'!C624),SEARCH(" - ",TRIM('MSR RAW'!C624))+3,LEN(TRIM('MSR RAW'!C624))-SEARCH(" - ",TRIM('MSR RAW'!C624))-9)))</f>
        <v/>
      </c>
      <c r="G624">
        <f>IF(E624="","",IFERROR(VLOOKUP(E624,'CATEGORY MAP'!$A$2:$B$20,2,FALSE()),"REVIEW"))</f>
        <v/>
      </c>
      <c r="H624">
        <f>IF(E624="","",IFERROR(VALUE(SUBSTITUTE('MSR RAW'!P624,",","")),0))</f>
        <v/>
      </c>
      <c r="I624">
        <f>IF(E624="","",IFERROR(VALUE(SUBSTITUTE('MSR RAW'!S624,",","")),0))</f>
        <v/>
      </c>
    </row>
    <row r="625" ht="68.65000000000001" customHeight="1" s="126">
      <c r="A625" t="n">
        <v>625</v>
      </c>
      <c r="B625" s="30">
        <f>IF('MSR RAW'!$A$3="","",'MSR RAW'!$A$3)</f>
        <v/>
      </c>
      <c r="C625">
        <f>IF(LEFT(TRIM('MSR RAW'!A625),11)="Department:",TRIM('MSR RAW'!A625),C624)</f>
        <v/>
      </c>
      <c r="D625">
        <f>IF(LEFT(TRIM('MSR RAW'!B625),9)="Location:",TRIM(MID('MSR RAW'!B625,10,999)),D624)</f>
        <v/>
      </c>
      <c r="E625">
        <f>IF(AND(ISNUMBER(SEARCH(" - ",TRIM('MSR RAW'!C625))),RIGHT(TRIM('MSR RAW'!C625),6)="Total:"),LEFT(TRIM('MSR RAW'!C625),SEARCH(" - ",TRIM('MSR RAW'!C625))-1),"")</f>
        <v/>
      </c>
      <c r="F625">
        <f>IF(E625="","",TRIM(MID(TRIM('MSR RAW'!C625),SEARCH(" - ",TRIM('MSR RAW'!C625))+3,LEN(TRIM('MSR RAW'!C625))-SEARCH(" - ",TRIM('MSR RAW'!C625))-9)))</f>
        <v/>
      </c>
      <c r="G625">
        <f>IF(E625="","",IFERROR(VLOOKUP(E625,'CATEGORY MAP'!$A$2:$B$20,2,FALSE()),"REVIEW"))</f>
        <v/>
      </c>
      <c r="H625">
        <f>IF(E625="","",IFERROR(VALUE(SUBSTITUTE('MSR RAW'!P625,",","")),0))</f>
        <v/>
      </c>
      <c r="I625">
        <f>IF(E625="","",IFERROR(VALUE(SUBSTITUTE('MSR RAW'!S625,",","")),0))</f>
        <v/>
      </c>
    </row>
    <row r="626" ht="68.65000000000001" customHeight="1" s="126">
      <c r="A626" t="n">
        <v>626</v>
      </c>
      <c r="B626" s="30">
        <f>IF('MSR RAW'!$A$3="","",'MSR RAW'!$A$3)</f>
        <v/>
      </c>
      <c r="C626">
        <f>IF(LEFT(TRIM('MSR RAW'!A626),11)="Department:",TRIM('MSR RAW'!A626),C625)</f>
        <v/>
      </c>
      <c r="D626">
        <f>IF(LEFT(TRIM('MSR RAW'!B626),9)="Location:",TRIM(MID('MSR RAW'!B626,10,999)),D625)</f>
        <v/>
      </c>
      <c r="E626">
        <f>IF(AND(ISNUMBER(SEARCH(" - ",TRIM('MSR RAW'!C626))),RIGHT(TRIM('MSR RAW'!C626),6)="Total:"),LEFT(TRIM('MSR RAW'!C626),SEARCH(" - ",TRIM('MSR RAW'!C626))-1),"")</f>
        <v/>
      </c>
      <c r="F626">
        <f>IF(E626="","",TRIM(MID(TRIM('MSR RAW'!C626),SEARCH(" - ",TRIM('MSR RAW'!C626))+3,LEN(TRIM('MSR RAW'!C626))-SEARCH(" - ",TRIM('MSR RAW'!C626))-9)))</f>
        <v/>
      </c>
      <c r="G626">
        <f>IF(E626="","",IFERROR(VLOOKUP(E626,'CATEGORY MAP'!$A$2:$B$20,2,FALSE()),"REVIEW"))</f>
        <v/>
      </c>
      <c r="H626">
        <f>IF(E626="","",IFERROR(VALUE(SUBSTITUTE('MSR RAW'!P626,",","")),0))</f>
        <v/>
      </c>
      <c r="I626">
        <f>IF(E626="","",IFERROR(VALUE(SUBSTITUTE('MSR RAW'!S626,",","")),0))</f>
        <v/>
      </c>
    </row>
    <row r="627" ht="68.65000000000001" customHeight="1" s="126">
      <c r="A627" t="n">
        <v>627</v>
      </c>
      <c r="B627" s="30">
        <f>IF('MSR RAW'!$A$3="","",'MSR RAW'!$A$3)</f>
        <v/>
      </c>
      <c r="C627">
        <f>IF(LEFT(TRIM('MSR RAW'!A627),11)="Department:",TRIM('MSR RAW'!A627),C626)</f>
        <v/>
      </c>
      <c r="D627">
        <f>IF(LEFT(TRIM('MSR RAW'!B627),9)="Location:",TRIM(MID('MSR RAW'!B627,10,999)),D626)</f>
        <v/>
      </c>
      <c r="E627">
        <f>IF(AND(ISNUMBER(SEARCH(" - ",TRIM('MSR RAW'!C627))),RIGHT(TRIM('MSR RAW'!C627),6)="Total:"),LEFT(TRIM('MSR RAW'!C627),SEARCH(" - ",TRIM('MSR RAW'!C627))-1),"")</f>
        <v/>
      </c>
      <c r="F627">
        <f>IF(E627="","",TRIM(MID(TRIM('MSR RAW'!C627),SEARCH(" - ",TRIM('MSR RAW'!C627))+3,LEN(TRIM('MSR RAW'!C627))-SEARCH(" - ",TRIM('MSR RAW'!C627))-9)))</f>
        <v/>
      </c>
      <c r="G627">
        <f>IF(E627="","",IFERROR(VLOOKUP(E627,'CATEGORY MAP'!$A$2:$B$20,2,FALSE()),"REVIEW"))</f>
        <v/>
      </c>
      <c r="H627">
        <f>IF(E627="","",IFERROR(VALUE(SUBSTITUTE('MSR RAW'!P627,",","")),0))</f>
        <v/>
      </c>
      <c r="I627">
        <f>IF(E627="","",IFERROR(VALUE(SUBSTITUTE('MSR RAW'!S627,",","")),0))</f>
        <v/>
      </c>
    </row>
    <row r="628" ht="68.65000000000001" customHeight="1" s="126">
      <c r="A628" t="n">
        <v>628</v>
      </c>
      <c r="B628" s="30">
        <f>IF('MSR RAW'!$A$3="","",'MSR RAW'!$A$3)</f>
        <v/>
      </c>
      <c r="C628">
        <f>IF(LEFT(TRIM('MSR RAW'!A628),11)="Department:",TRIM('MSR RAW'!A628),C627)</f>
        <v/>
      </c>
      <c r="D628">
        <f>IF(LEFT(TRIM('MSR RAW'!B628),9)="Location:",TRIM(MID('MSR RAW'!B628,10,999)),D627)</f>
        <v/>
      </c>
      <c r="E628">
        <f>IF(AND(ISNUMBER(SEARCH(" - ",TRIM('MSR RAW'!C628))),RIGHT(TRIM('MSR RAW'!C628),6)="Total:"),LEFT(TRIM('MSR RAW'!C628),SEARCH(" - ",TRIM('MSR RAW'!C628))-1),"")</f>
        <v/>
      </c>
      <c r="F628">
        <f>IF(E628="","",TRIM(MID(TRIM('MSR RAW'!C628),SEARCH(" - ",TRIM('MSR RAW'!C628))+3,LEN(TRIM('MSR RAW'!C628))-SEARCH(" - ",TRIM('MSR RAW'!C628))-9)))</f>
        <v/>
      </c>
      <c r="G628">
        <f>IF(E628="","",IFERROR(VLOOKUP(E628,'CATEGORY MAP'!$A$2:$B$20,2,FALSE()),"REVIEW"))</f>
        <v/>
      </c>
      <c r="H628">
        <f>IF(E628="","",IFERROR(VALUE(SUBSTITUTE('MSR RAW'!P628,",","")),0))</f>
        <v/>
      </c>
      <c r="I628">
        <f>IF(E628="","",IFERROR(VALUE(SUBSTITUTE('MSR RAW'!S628,",","")),0))</f>
        <v/>
      </c>
    </row>
    <row r="629" ht="68.65000000000001" customHeight="1" s="126">
      <c r="A629" t="n">
        <v>629</v>
      </c>
      <c r="B629" s="30">
        <f>IF('MSR RAW'!$A$3="","",'MSR RAW'!$A$3)</f>
        <v/>
      </c>
      <c r="C629">
        <f>IF(LEFT(TRIM('MSR RAW'!A629),11)="Department:",TRIM('MSR RAW'!A629),C628)</f>
        <v/>
      </c>
      <c r="D629">
        <f>IF(LEFT(TRIM('MSR RAW'!B629),9)="Location:",TRIM(MID('MSR RAW'!B629,10,999)),D628)</f>
        <v/>
      </c>
      <c r="E629">
        <f>IF(AND(ISNUMBER(SEARCH(" - ",TRIM('MSR RAW'!C629))),RIGHT(TRIM('MSR RAW'!C629),6)="Total:"),LEFT(TRIM('MSR RAW'!C629),SEARCH(" - ",TRIM('MSR RAW'!C629))-1),"")</f>
        <v/>
      </c>
      <c r="F629">
        <f>IF(E629="","",TRIM(MID(TRIM('MSR RAW'!C629),SEARCH(" - ",TRIM('MSR RAW'!C629))+3,LEN(TRIM('MSR RAW'!C629))-SEARCH(" - ",TRIM('MSR RAW'!C629))-9)))</f>
        <v/>
      </c>
      <c r="G629">
        <f>IF(E629="","",IFERROR(VLOOKUP(E629,'CATEGORY MAP'!$A$2:$B$20,2,FALSE()),"REVIEW"))</f>
        <v/>
      </c>
      <c r="H629">
        <f>IF(E629="","",IFERROR(VALUE(SUBSTITUTE('MSR RAW'!P629,",","")),0))</f>
        <v/>
      </c>
      <c r="I629">
        <f>IF(E629="","",IFERROR(VALUE(SUBSTITUTE('MSR RAW'!S629,",","")),0))</f>
        <v/>
      </c>
    </row>
    <row r="630" ht="68.65000000000001" customHeight="1" s="126">
      <c r="A630" t="n">
        <v>630</v>
      </c>
      <c r="B630" s="30">
        <f>IF('MSR RAW'!$A$3="","",'MSR RAW'!$A$3)</f>
        <v/>
      </c>
      <c r="C630">
        <f>IF(LEFT(TRIM('MSR RAW'!A630),11)="Department:",TRIM('MSR RAW'!A630),C629)</f>
        <v/>
      </c>
      <c r="D630">
        <f>IF(LEFT(TRIM('MSR RAW'!B630),9)="Location:",TRIM(MID('MSR RAW'!B630,10,999)),D629)</f>
        <v/>
      </c>
      <c r="E630">
        <f>IF(AND(ISNUMBER(SEARCH(" - ",TRIM('MSR RAW'!C630))),RIGHT(TRIM('MSR RAW'!C630),6)="Total:"),LEFT(TRIM('MSR RAW'!C630),SEARCH(" - ",TRIM('MSR RAW'!C630))-1),"")</f>
        <v/>
      </c>
      <c r="F630">
        <f>IF(E630="","",TRIM(MID(TRIM('MSR RAW'!C630),SEARCH(" - ",TRIM('MSR RAW'!C630))+3,LEN(TRIM('MSR RAW'!C630))-SEARCH(" - ",TRIM('MSR RAW'!C630))-9)))</f>
        <v/>
      </c>
      <c r="G630">
        <f>IF(E630="","",IFERROR(VLOOKUP(E630,'CATEGORY MAP'!$A$2:$B$20,2,FALSE()),"REVIEW"))</f>
        <v/>
      </c>
      <c r="H630">
        <f>IF(E630="","",IFERROR(VALUE(SUBSTITUTE('MSR RAW'!P630,",","")),0))</f>
        <v/>
      </c>
      <c r="I630">
        <f>IF(E630="","",IFERROR(VALUE(SUBSTITUTE('MSR RAW'!S630,",","")),0))</f>
        <v/>
      </c>
    </row>
    <row r="631" ht="68.65000000000001" customHeight="1" s="126">
      <c r="A631" t="n">
        <v>631</v>
      </c>
      <c r="B631" s="30">
        <f>IF('MSR RAW'!$A$3="","",'MSR RAW'!$A$3)</f>
        <v/>
      </c>
      <c r="C631">
        <f>IF(LEFT(TRIM('MSR RAW'!A631),11)="Department:",TRIM('MSR RAW'!A631),C630)</f>
        <v/>
      </c>
      <c r="D631">
        <f>IF(LEFT(TRIM('MSR RAW'!B631),9)="Location:",TRIM(MID('MSR RAW'!B631,10,999)),D630)</f>
        <v/>
      </c>
      <c r="E631">
        <f>IF(AND(ISNUMBER(SEARCH(" - ",TRIM('MSR RAW'!C631))),RIGHT(TRIM('MSR RAW'!C631),6)="Total:"),LEFT(TRIM('MSR RAW'!C631),SEARCH(" - ",TRIM('MSR RAW'!C631))-1),"")</f>
        <v/>
      </c>
      <c r="F631">
        <f>IF(E631="","",TRIM(MID(TRIM('MSR RAW'!C631),SEARCH(" - ",TRIM('MSR RAW'!C631))+3,LEN(TRIM('MSR RAW'!C631))-SEARCH(" - ",TRIM('MSR RAW'!C631))-9)))</f>
        <v/>
      </c>
      <c r="G631">
        <f>IF(E631="","",IFERROR(VLOOKUP(E631,'CATEGORY MAP'!$A$2:$B$20,2,FALSE()),"REVIEW"))</f>
        <v/>
      </c>
      <c r="H631">
        <f>IF(E631="","",IFERROR(VALUE(SUBSTITUTE('MSR RAW'!P631,",","")),0))</f>
        <v/>
      </c>
      <c r="I631">
        <f>IF(E631="","",IFERROR(VALUE(SUBSTITUTE('MSR RAW'!S631,",","")),0))</f>
        <v/>
      </c>
    </row>
    <row r="632" ht="68.65000000000001" customHeight="1" s="126">
      <c r="A632" t="n">
        <v>632</v>
      </c>
      <c r="B632" s="30">
        <f>IF('MSR RAW'!$A$3="","",'MSR RAW'!$A$3)</f>
        <v/>
      </c>
      <c r="C632">
        <f>IF(LEFT(TRIM('MSR RAW'!A632),11)="Department:",TRIM('MSR RAW'!A632),C631)</f>
        <v/>
      </c>
      <c r="D632">
        <f>IF(LEFT(TRIM('MSR RAW'!B632),9)="Location:",TRIM(MID('MSR RAW'!B632,10,999)),D631)</f>
        <v/>
      </c>
      <c r="E632">
        <f>IF(AND(ISNUMBER(SEARCH(" - ",TRIM('MSR RAW'!C632))),RIGHT(TRIM('MSR RAW'!C632),6)="Total:"),LEFT(TRIM('MSR RAW'!C632),SEARCH(" - ",TRIM('MSR RAW'!C632))-1),"")</f>
        <v/>
      </c>
      <c r="F632">
        <f>IF(E632="","",TRIM(MID(TRIM('MSR RAW'!C632),SEARCH(" - ",TRIM('MSR RAW'!C632))+3,LEN(TRIM('MSR RAW'!C632))-SEARCH(" - ",TRIM('MSR RAW'!C632))-9)))</f>
        <v/>
      </c>
      <c r="G632">
        <f>IF(E632="","",IFERROR(VLOOKUP(E632,'CATEGORY MAP'!$A$2:$B$20,2,FALSE()),"REVIEW"))</f>
        <v/>
      </c>
      <c r="H632">
        <f>IF(E632="","",IFERROR(VALUE(SUBSTITUTE('MSR RAW'!P632,",","")),0))</f>
        <v/>
      </c>
      <c r="I632">
        <f>IF(E632="","",IFERROR(VALUE(SUBSTITUTE('MSR RAW'!S632,",","")),0))</f>
        <v/>
      </c>
    </row>
    <row r="633" ht="68.65000000000001" customHeight="1" s="126">
      <c r="A633" t="n">
        <v>633</v>
      </c>
      <c r="B633" s="30">
        <f>IF('MSR RAW'!$A$3="","",'MSR RAW'!$A$3)</f>
        <v/>
      </c>
      <c r="C633">
        <f>IF(LEFT(TRIM('MSR RAW'!A633),11)="Department:",TRIM('MSR RAW'!A633),C632)</f>
        <v/>
      </c>
      <c r="D633">
        <f>IF(LEFT(TRIM('MSR RAW'!B633),9)="Location:",TRIM(MID('MSR RAW'!B633,10,999)),D632)</f>
        <v/>
      </c>
      <c r="E633">
        <f>IF(AND(ISNUMBER(SEARCH(" - ",TRIM('MSR RAW'!C633))),RIGHT(TRIM('MSR RAW'!C633),6)="Total:"),LEFT(TRIM('MSR RAW'!C633),SEARCH(" - ",TRIM('MSR RAW'!C633))-1),"")</f>
        <v/>
      </c>
      <c r="F633">
        <f>IF(E633="","",TRIM(MID(TRIM('MSR RAW'!C633),SEARCH(" - ",TRIM('MSR RAW'!C633))+3,LEN(TRIM('MSR RAW'!C633))-SEARCH(" - ",TRIM('MSR RAW'!C633))-9)))</f>
        <v/>
      </c>
      <c r="G633">
        <f>IF(E633="","",IFERROR(VLOOKUP(E633,'CATEGORY MAP'!$A$2:$B$20,2,FALSE()),"REVIEW"))</f>
        <v/>
      </c>
      <c r="H633">
        <f>IF(E633="","",IFERROR(VALUE(SUBSTITUTE('MSR RAW'!P633,",","")),0))</f>
        <v/>
      </c>
      <c r="I633">
        <f>IF(E633="","",IFERROR(VALUE(SUBSTITUTE('MSR RAW'!S633,",","")),0))</f>
        <v/>
      </c>
    </row>
    <row r="634" ht="68.65000000000001" customHeight="1" s="126">
      <c r="A634" t="n">
        <v>634</v>
      </c>
      <c r="B634" s="30">
        <f>IF('MSR RAW'!$A$3="","",'MSR RAW'!$A$3)</f>
        <v/>
      </c>
      <c r="C634">
        <f>IF(LEFT(TRIM('MSR RAW'!A634),11)="Department:",TRIM('MSR RAW'!A634),C633)</f>
        <v/>
      </c>
      <c r="D634">
        <f>IF(LEFT(TRIM('MSR RAW'!B634),9)="Location:",TRIM(MID('MSR RAW'!B634,10,999)),D633)</f>
        <v/>
      </c>
      <c r="E634">
        <f>IF(AND(ISNUMBER(SEARCH(" - ",TRIM('MSR RAW'!C634))),RIGHT(TRIM('MSR RAW'!C634),6)="Total:"),LEFT(TRIM('MSR RAW'!C634),SEARCH(" - ",TRIM('MSR RAW'!C634))-1),"")</f>
        <v/>
      </c>
      <c r="F634">
        <f>IF(E634="","",TRIM(MID(TRIM('MSR RAW'!C634),SEARCH(" - ",TRIM('MSR RAW'!C634))+3,LEN(TRIM('MSR RAW'!C634))-SEARCH(" - ",TRIM('MSR RAW'!C634))-9)))</f>
        <v/>
      </c>
      <c r="G634">
        <f>IF(E634="","",IFERROR(VLOOKUP(E634,'CATEGORY MAP'!$A$2:$B$20,2,FALSE()),"REVIEW"))</f>
        <v/>
      </c>
      <c r="H634">
        <f>IF(E634="","",IFERROR(VALUE(SUBSTITUTE('MSR RAW'!P634,",","")),0))</f>
        <v/>
      </c>
      <c r="I634">
        <f>IF(E634="","",IFERROR(VALUE(SUBSTITUTE('MSR RAW'!S634,",","")),0))</f>
        <v/>
      </c>
    </row>
    <row r="635" ht="68.65000000000001" customHeight="1" s="126">
      <c r="A635" t="n">
        <v>635</v>
      </c>
      <c r="B635" s="30">
        <f>IF('MSR RAW'!$A$3="","",'MSR RAW'!$A$3)</f>
        <v/>
      </c>
      <c r="C635">
        <f>IF(LEFT(TRIM('MSR RAW'!A635),11)="Department:",TRIM('MSR RAW'!A635),C634)</f>
        <v/>
      </c>
      <c r="D635">
        <f>IF(LEFT(TRIM('MSR RAW'!B635),9)="Location:",TRIM(MID('MSR RAW'!B635,10,999)),D634)</f>
        <v/>
      </c>
      <c r="E635">
        <f>IF(AND(ISNUMBER(SEARCH(" - ",TRIM('MSR RAW'!C635))),RIGHT(TRIM('MSR RAW'!C635),6)="Total:"),LEFT(TRIM('MSR RAW'!C635),SEARCH(" - ",TRIM('MSR RAW'!C635))-1),"")</f>
        <v/>
      </c>
      <c r="F635">
        <f>IF(E635="","",TRIM(MID(TRIM('MSR RAW'!C635),SEARCH(" - ",TRIM('MSR RAW'!C635))+3,LEN(TRIM('MSR RAW'!C635))-SEARCH(" - ",TRIM('MSR RAW'!C635))-9)))</f>
        <v/>
      </c>
      <c r="G635">
        <f>IF(E635="","",IFERROR(VLOOKUP(E635,'CATEGORY MAP'!$A$2:$B$20,2,FALSE()),"REVIEW"))</f>
        <v/>
      </c>
      <c r="H635">
        <f>IF(E635="","",IFERROR(VALUE(SUBSTITUTE('MSR RAW'!P635,",","")),0))</f>
        <v/>
      </c>
      <c r="I635">
        <f>IF(E635="","",IFERROR(VALUE(SUBSTITUTE('MSR RAW'!S635,",","")),0))</f>
        <v/>
      </c>
    </row>
    <row r="636" ht="68.65000000000001" customHeight="1" s="126">
      <c r="A636" t="n">
        <v>636</v>
      </c>
      <c r="B636" s="30">
        <f>IF('MSR RAW'!$A$3="","",'MSR RAW'!$A$3)</f>
        <v/>
      </c>
      <c r="C636">
        <f>IF(LEFT(TRIM('MSR RAW'!A636),11)="Department:",TRIM('MSR RAW'!A636),C635)</f>
        <v/>
      </c>
      <c r="D636">
        <f>IF(LEFT(TRIM('MSR RAW'!B636),9)="Location:",TRIM(MID('MSR RAW'!B636,10,999)),D635)</f>
        <v/>
      </c>
      <c r="E636">
        <f>IF(AND(ISNUMBER(SEARCH(" - ",TRIM('MSR RAW'!C636))),RIGHT(TRIM('MSR RAW'!C636),6)="Total:"),LEFT(TRIM('MSR RAW'!C636),SEARCH(" - ",TRIM('MSR RAW'!C636))-1),"")</f>
        <v/>
      </c>
      <c r="F636">
        <f>IF(E636="","",TRIM(MID(TRIM('MSR RAW'!C636),SEARCH(" - ",TRIM('MSR RAW'!C636))+3,LEN(TRIM('MSR RAW'!C636))-SEARCH(" - ",TRIM('MSR RAW'!C636))-9)))</f>
        <v/>
      </c>
      <c r="G636">
        <f>IF(E636="","",IFERROR(VLOOKUP(E636,'CATEGORY MAP'!$A$2:$B$20,2,FALSE()),"REVIEW"))</f>
        <v/>
      </c>
      <c r="H636">
        <f>IF(E636="","",IFERROR(VALUE(SUBSTITUTE('MSR RAW'!P636,",","")),0))</f>
        <v/>
      </c>
      <c r="I636">
        <f>IF(E636="","",IFERROR(VALUE(SUBSTITUTE('MSR RAW'!S636,",","")),0))</f>
        <v/>
      </c>
    </row>
    <row r="637" ht="68.65000000000001" customHeight="1" s="126">
      <c r="A637" t="n">
        <v>637</v>
      </c>
      <c r="B637" s="30">
        <f>IF('MSR RAW'!$A$3="","",'MSR RAW'!$A$3)</f>
        <v/>
      </c>
      <c r="C637">
        <f>IF(LEFT(TRIM('MSR RAW'!A637),11)="Department:",TRIM('MSR RAW'!A637),C636)</f>
        <v/>
      </c>
      <c r="D637">
        <f>IF(LEFT(TRIM('MSR RAW'!B637),9)="Location:",TRIM(MID('MSR RAW'!B637,10,999)),D636)</f>
        <v/>
      </c>
      <c r="E637">
        <f>IF(AND(ISNUMBER(SEARCH(" - ",TRIM('MSR RAW'!C637))),RIGHT(TRIM('MSR RAW'!C637),6)="Total:"),LEFT(TRIM('MSR RAW'!C637),SEARCH(" - ",TRIM('MSR RAW'!C637))-1),"")</f>
        <v/>
      </c>
      <c r="F637">
        <f>IF(E637="","",TRIM(MID(TRIM('MSR RAW'!C637),SEARCH(" - ",TRIM('MSR RAW'!C637))+3,LEN(TRIM('MSR RAW'!C637))-SEARCH(" - ",TRIM('MSR RAW'!C637))-9)))</f>
        <v/>
      </c>
      <c r="G637">
        <f>IF(E637="","",IFERROR(VLOOKUP(E637,'CATEGORY MAP'!$A$2:$B$20,2,FALSE()),"REVIEW"))</f>
        <v/>
      </c>
      <c r="H637">
        <f>IF(E637="","",IFERROR(VALUE(SUBSTITUTE('MSR RAW'!P637,",","")),0))</f>
        <v/>
      </c>
      <c r="I637">
        <f>IF(E637="","",IFERROR(VALUE(SUBSTITUTE('MSR RAW'!S637,",","")),0))</f>
        <v/>
      </c>
    </row>
    <row r="638" ht="68.65000000000001" customHeight="1" s="126">
      <c r="A638" t="n">
        <v>638</v>
      </c>
      <c r="B638" s="30">
        <f>IF('MSR RAW'!$A$3="","",'MSR RAW'!$A$3)</f>
        <v/>
      </c>
      <c r="C638">
        <f>IF(LEFT(TRIM('MSR RAW'!A638),11)="Department:",TRIM('MSR RAW'!A638),C637)</f>
        <v/>
      </c>
      <c r="D638">
        <f>IF(LEFT(TRIM('MSR RAW'!B638),9)="Location:",TRIM(MID('MSR RAW'!B638,10,999)),D637)</f>
        <v/>
      </c>
      <c r="E638">
        <f>IF(AND(ISNUMBER(SEARCH(" - ",TRIM('MSR RAW'!C638))),RIGHT(TRIM('MSR RAW'!C638),6)="Total:"),LEFT(TRIM('MSR RAW'!C638),SEARCH(" - ",TRIM('MSR RAW'!C638))-1),"")</f>
        <v/>
      </c>
      <c r="F638">
        <f>IF(E638="","",TRIM(MID(TRIM('MSR RAW'!C638),SEARCH(" - ",TRIM('MSR RAW'!C638))+3,LEN(TRIM('MSR RAW'!C638))-SEARCH(" - ",TRIM('MSR RAW'!C638))-9)))</f>
        <v/>
      </c>
      <c r="G638">
        <f>IF(E638="","",IFERROR(VLOOKUP(E638,'CATEGORY MAP'!$A$2:$B$20,2,FALSE()),"REVIEW"))</f>
        <v/>
      </c>
      <c r="H638">
        <f>IF(E638="","",IFERROR(VALUE(SUBSTITUTE('MSR RAW'!P638,",","")),0))</f>
        <v/>
      </c>
      <c r="I638">
        <f>IF(E638="","",IFERROR(VALUE(SUBSTITUTE('MSR RAW'!S638,",","")),0))</f>
        <v/>
      </c>
    </row>
    <row r="639" ht="68.65000000000001" customHeight="1" s="126">
      <c r="A639" t="n">
        <v>639</v>
      </c>
      <c r="B639" s="30">
        <f>IF('MSR RAW'!$A$3="","",'MSR RAW'!$A$3)</f>
        <v/>
      </c>
      <c r="C639">
        <f>IF(LEFT(TRIM('MSR RAW'!A639),11)="Department:",TRIM('MSR RAW'!A639),C638)</f>
        <v/>
      </c>
      <c r="D639">
        <f>IF(LEFT(TRIM('MSR RAW'!B639),9)="Location:",TRIM(MID('MSR RAW'!B639,10,999)),D638)</f>
        <v/>
      </c>
      <c r="E639">
        <f>IF(AND(ISNUMBER(SEARCH(" - ",TRIM('MSR RAW'!C639))),RIGHT(TRIM('MSR RAW'!C639),6)="Total:"),LEFT(TRIM('MSR RAW'!C639),SEARCH(" - ",TRIM('MSR RAW'!C639))-1),"")</f>
        <v/>
      </c>
      <c r="F639">
        <f>IF(E639="","",TRIM(MID(TRIM('MSR RAW'!C639),SEARCH(" - ",TRIM('MSR RAW'!C639))+3,LEN(TRIM('MSR RAW'!C639))-SEARCH(" - ",TRIM('MSR RAW'!C639))-9)))</f>
        <v/>
      </c>
      <c r="G639">
        <f>IF(E639="","",IFERROR(VLOOKUP(E639,'CATEGORY MAP'!$A$2:$B$20,2,FALSE()),"REVIEW"))</f>
        <v/>
      </c>
      <c r="H639">
        <f>IF(E639="","",IFERROR(VALUE(SUBSTITUTE('MSR RAW'!P639,",","")),0))</f>
        <v/>
      </c>
      <c r="I639">
        <f>IF(E639="","",IFERROR(VALUE(SUBSTITUTE('MSR RAW'!S639,",","")),0))</f>
        <v/>
      </c>
    </row>
    <row r="640" ht="68.65000000000001" customHeight="1" s="126">
      <c r="A640" t="n">
        <v>640</v>
      </c>
      <c r="B640" s="30">
        <f>IF('MSR RAW'!$A$3="","",'MSR RAW'!$A$3)</f>
        <v/>
      </c>
      <c r="C640">
        <f>IF(LEFT(TRIM('MSR RAW'!A640),11)="Department:",TRIM('MSR RAW'!A640),C639)</f>
        <v/>
      </c>
      <c r="D640">
        <f>IF(LEFT(TRIM('MSR RAW'!B640),9)="Location:",TRIM(MID('MSR RAW'!B640,10,999)),D639)</f>
        <v/>
      </c>
      <c r="E640">
        <f>IF(AND(ISNUMBER(SEARCH(" - ",TRIM('MSR RAW'!C640))),RIGHT(TRIM('MSR RAW'!C640),6)="Total:"),LEFT(TRIM('MSR RAW'!C640),SEARCH(" - ",TRIM('MSR RAW'!C640))-1),"")</f>
        <v/>
      </c>
      <c r="F640">
        <f>IF(E640="","",TRIM(MID(TRIM('MSR RAW'!C640),SEARCH(" - ",TRIM('MSR RAW'!C640))+3,LEN(TRIM('MSR RAW'!C640))-SEARCH(" - ",TRIM('MSR RAW'!C640))-9)))</f>
        <v/>
      </c>
      <c r="G640">
        <f>IF(E640="","",IFERROR(VLOOKUP(E640,'CATEGORY MAP'!$A$2:$B$20,2,FALSE()),"REVIEW"))</f>
        <v/>
      </c>
      <c r="H640">
        <f>IF(E640="","",IFERROR(VALUE(SUBSTITUTE('MSR RAW'!P640,",","")),0))</f>
        <v/>
      </c>
      <c r="I640">
        <f>IF(E640="","",IFERROR(VALUE(SUBSTITUTE('MSR RAW'!S640,",","")),0))</f>
        <v/>
      </c>
    </row>
    <row r="641" ht="68.65000000000001" customHeight="1" s="126">
      <c r="A641" t="n">
        <v>641</v>
      </c>
      <c r="B641" s="30">
        <f>IF('MSR RAW'!$A$3="","",'MSR RAW'!$A$3)</f>
        <v/>
      </c>
      <c r="C641">
        <f>IF(LEFT(TRIM('MSR RAW'!A641),11)="Department:",TRIM('MSR RAW'!A641),C640)</f>
        <v/>
      </c>
      <c r="D641">
        <f>IF(LEFT(TRIM('MSR RAW'!B641),9)="Location:",TRIM(MID('MSR RAW'!B641,10,999)),D640)</f>
        <v/>
      </c>
      <c r="E641">
        <f>IF(AND(ISNUMBER(SEARCH(" - ",TRIM('MSR RAW'!C641))),RIGHT(TRIM('MSR RAW'!C641),6)="Total:"),LEFT(TRIM('MSR RAW'!C641),SEARCH(" - ",TRIM('MSR RAW'!C641))-1),"")</f>
        <v/>
      </c>
      <c r="F641">
        <f>IF(E641="","",TRIM(MID(TRIM('MSR RAW'!C641),SEARCH(" - ",TRIM('MSR RAW'!C641))+3,LEN(TRIM('MSR RAW'!C641))-SEARCH(" - ",TRIM('MSR RAW'!C641))-9)))</f>
        <v/>
      </c>
      <c r="G641">
        <f>IF(E641="","",IFERROR(VLOOKUP(E641,'CATEGORY MAP'!$A$2:$B$20,2,FALSE()),"REVIEW"))</f>
        <v/>
      </c>
      <c r="H641">
        <f>IF(E641="","",IFERROR(VALUE(SUBSTITUTE('MSR RAW'!P641,",","")),0))</f>
        <v/>
      </c>
      <c r="I641">
        <f>IF(E641="","",IFERROR(VALUE(SUBSTITUTE('MSR RAW'!S641,",","")),0))</f>
        <v/>
      </c>
    </row>
    <row r="642" ht="68.65000000000001" customHeight="1" s="126">
      <c r="A642" t="n">
        <v>642</v>
      </c>
      <c r="B642" s="30">
        <f>IF('MSR RAW'!$A$3="","",'MSR RAW'!$A$3)</f>
        <v/>
      </c>
      <c r="C642">
        <f>IF(LEFT(TRIM('MSR RAW'!A642),11)="Department:",TRIM('MSR RAW'!A642),C641)</f>
        <v/>
      </c>
      <c r="D642">
        <f>IF(LEFT(TRIM('MSR RAW'!B642),9)="Location:",TRIM(MID('MSR RAW'!B642,10,999)),D641)</f>
        <v/>
      </c>
      <c r="E642">
        <f>IF(AND(ISNUMBER(SEARCH(" - ",TRIM('MSR RAW'!C642))),RIGHT(TRIM('MSR RAW'!C642),6)="Total:"),LEFT(TRIM('MSR RAW'!C642),SEARCH(" - ",TRIM('MSR RAW'!C642))-1),"")</f>
        <v/>
      </c>
      <c r="F642">
        <f>IF(E642="","",TRIM(MID(TRIM('MSR RAW'!C642),SEARCH(" - ",TRIM('MSR RAW'!C642))+3,LEN(TRIM('MSR RAW'!C642))-SEARCH(" - ",TRIM('MSR RAW'!C642))-9)))</f>
        <v/>
      </c>
      <c r="G642">
        <f>IF(E642="","",IFERROR(VLOOKUP(E642,'CATEGORY MAP'!$A$2:$B$20,2,FALSE()),"REVIEW"))</f>
        <v/>
      </c>
      <c r="H642">
        <f>IF(E642="","",IFERROR(VALUE(SUBSTITUTE('MSR RAW'!P642,",","")),0))</f>
        <v/>
      </c>
      <c r="I642">
        <f>IF(E642="","",IFERROR(VALUE(SUBSTITUTE('MSR RAW'!S642,",","")),0))</f>
        <v/>
      </c>
    </row>
    <row r="643" ht="68.65000000000001" customHeight="1" s="126">
      <c r="A643" t="n">
        <v>643</v>
      </c>
      <c r="B643" s="30">
        <f>IF('MSR RAW'!$A$3="","",'MSR RAW'!$A$3)</f>
        <v/>
      </c>
      <c r="C643">
        <f>IF(LEFT(TRIM('MSR RAW'!A643),11)="Department:",TRIM('MSR RAW'!A643),C642)</f>
        <v/>
      </c>
      <c r="D643">
        <f>IF(LEFT(TRIM('MSR RAW'!B643),9)="Location:",TRIM(MID('MSR RAW'!B643,10,999)),D642)</f>
        <v/>
      </c>
      <c r="E643">
        <f>IF(AND(ISNUMBER(SEARCH(" - ",TRIM('MSR RAW'!C643))),RIGHT(TRIM('MSR RAW'!C643),6)="Total:"),LEFT(TRIM('MSR RAW'!C643),SEARCH(" - ",TRIM('MSR RAW'!C643))-1),"")</f>
        <v/>
      </c>
      <c r="F643">
        <f>IF(E643="","",TRIM(MID(TRIM('MSR RAW'!C643),SEARCH(" - ",TRIM('MSR RAW'!C643))+3,LEN(TRIM('MSR RAW'!C643))-SEARCH(" - ",TRIM('MSR RAW'!C643))-9)))</f>
        <v/>
      </c>
      <c r="G643">
        <f>IF(E643="","",IFERROR(VLOOKUP(E643,'CATEGORY MAP'!$A$2:$B$20,2,FALSE()),"REVIEW"))</f>
        <v/>
      </c>
      <c r="H643">
        <f>IF(E643="","",IFERROR(VALUE(SUBSTITUTE('MSR RAW'!P643,",","")),0))</f>
        <v/>
      </c>
      <c r="I643">
        <f>IF(E643="","",IFERROR(VALUE(SUBSTITUTE('MSR RAW'!S643,",","")),0))</f>
        <v/>
      </c>
    </row>
    <row r="644" ht="68.65000000000001" customHeight="1" s="126">
      <c r="A644" t="n">
        <v>644</v>
      </c>
      <c r="B644" s="30">
        <f>IF('MSR RAW'!$A$3="","",'MSR RAW'!$A$3)</f>
        <v/>
      </c>
      <c r="C644">
        <f>IF(LEFT(TRIM('MSR RAW'!A644),11)="Department:",TRIM('MSR RAW'!A644),C643)</f>
        <v/>
      </c>
      <c r="D644">
        <f>IF(LEFT(TRIM('MSR RAW'!B644),9)="Location:",TRIM(MID('MSR RAW'!B644,10,999)),D643)</f>
        <v/>
      </c>
      <c r="E644">
        <f>IF(AND(ISNUMBER(SEARCH(" - ",TRIM('MSR RAW'!C644))),RIGHT(TRIM('MSR RAW'!C644),6)="Total:"),LEFT(TRIM('MSR RAW'!C644),SEARCH(" - ",TRIM('MSR RAW'!C644))-1),"")</f>
        <v/>
      </c>
      <c r="F644">
        <f>IF(E644="","",TRIM(MID(TRIM('MSR RAW'!C644),SEARCH(" - ",TRIM('MSR RAW'!C644))+3,LEN(TRIM('MSR RAW'!C644))-SEARCH(" - ",TRIM('MSR RAW'!C644))-9)))</f>
        <v/>
      </c>
      <c r="G644">
        <f>IF(E644="","",IFERROR(VLOOKUP(E644,'CATEGORY MAP'!$A$2:$B$20,2,FALSE()),"REVIEW"))</f>
        <v/>
      </c>
      <c r="H644">
        <f>IF(E644="","",IFERROR(VALUE(SUBSTITUTE('MSR RAW'!P644,",","")),0))</f>
        <v/>
      </c>
      <c r="I644">
        <f>IF(E644="","",IFERROR(VALUE(SUBSTITUTE('MSR RAW'!S644,",","")),0))</f>
        <v/>
      </c>
    </row>
    <row r="645" ht="68.65000000000001" customHeight="1" s="126">
      <c r="A645" t="n">
        <v>645</v>
      </c>
      <c r="B645" s="30">
        <f>IF('MSR RAW'!$A$3="","",'MSR RAW'!$A$3)</f>
        <v/>
      </c>
      <c r="C645">
        <f>IF(LEFT(TRIM('MSR RAW'!A645),11)="Department:",TRIM('MSR RAW'!A645),C644)</f>
        <v/>
      </c>
      <c r="D645">
        <f>IF(LEFT(TRIM('MSR RAW'!B645),9)="Location:",TRIM(MID('MSR RAW'!B645,10,999)),D644)</f>
        <v/>
      </c>
      <c r="E645">
        <f>IF(AND(ISNUMBER(SEARCH(" - ",TRIM('MSR RAW'!C645))),RIGHT(TRIM('MSR RAW'!C645),6)="Total:"),LEFT(TRIM('MSR RAW'!C645),SEARCH(" - ",TRIM('MSR RAW'!C645))-1),"")</f>
        <v/>
      </c>
      <c r="F645">
        <f>IF(E645="","",TRIM(MID(TRIM('MSR RAW'!C645),SEARCH(" - ",TRIM('MSR RAW'!C645))+3,LEN(TRIM('MSR RAW'!C645))-SEARCH(" - ",TRIM('MSR RAW'!C645))-9)))</f>
        <v/>
      </c>
      <c r="G645">
        <f>IF(E645="","",IFERROR(VLOOKUP(E645,'CATEGORY MAP'!$A$2:$B$20,2,FALSE()),"REVIEW"))</f>
        <v/>
      </c>
      <c r="H645">
        <f>IF(E645="","",IFERROR(VALUE(SUBSTITUTE('MSR RAW'!P645,",","")),0))</f>
        <v/>
      </c>
      <c r="I645">
        <f>IF(E645="","",IFERROR(VALUE(SUBSTITUTE('MSR RAW'!S645,",","")),0))</f>
        <v/>
      </c>
    </row>
    <row r="646" ht="68.65000000000001" customHeight="1" s="126">
      <c r="A646" t="n">
        <v>646</v>
      </c>
      <c r="B646" s="30">
        <f>IF('MSR RAW'!$A$3="","",'MSR RAW'!$A$3)</f>
        <v/>
      </c>
      <c r="C646">
        <f>IF(LEFT(TRIM('MSR RAW'!A646),11)="Department:",TRIM('MSR RAW'!A646),C645)</f>
        <v/>
      </c>
      <c r="D646">
        <f>IF(LEFT(TRIM('MSR RAW'!B646),9)="Location:",TRIM(MID('MSR RAW'!B646,10,999)),D645)</f>
        <v/>
      </c>
      <c r="E646">
        <f>IF(AND(ISNUMBER(SEARCH(" - ",TRIM('MSR RAW'!C646))),RIGHT(TRIM('MSR RAW'!C646),6)="Total:"),LEFT(TRIM('MSR RAW'!C646),SEARCH(" - ",TRIM('MSR RAW'!C646))-1),"")</f>
        <v/>
      </c>
      <c r="F646">
        <f>IF(E646="","",TRIM(MID(TRIM('MSR RAW'!C646),SEARCH(" - ",TRIM('MSR RAW'!C646))+3,LEN(TRIM('MSR RAW'!C646))-SEARCH(" - ",TRIM('MSR RAW'!C646))-9)))</f>
        <v/>
      </c>
      <c r="G646">
        <f>IF(E646="","",IFERROR(VLOOKUP(E646,'CATEGORY MAP'!$A$2:$B$20,2,FALSE()),"REVIEW"))</f>
        <v/>
      </c>
      <c r="H646">
        <f>IF(E646="","",IFERROR(VALUE(SUBSTITUTE('MSR RAW'!P646,",","")),0))</f>
        <v/>
      </c>
      <c r="I646">
        <f>IF(E646="","",IFERROR(VALUE(SUBSTITUTE('MSR RAW'!S646,",","")),0))</f>
        <v/>
      </c>
    </row>
    <row r="647" ht="68.65000000000001" customHeight="1" s="126">
      <c r="A647" t="n">
        <v>647</v>
      </c>
      <c r="B647" s="30">
        <f>IF('MSR RAW'!$A$3="","",'MSR RAW'!$A$3)</f>
        <v/>
      </c>
      <c r="C647">
        <f>IF(LEFT(TRIM('MSR RAW'!A647),11)="Department:",TRIM('MSR RAW'!A647),C646)</f>
        <v/>
      </c>
      <c r="D647">
        <f>IF(LEFT(TRIM('MSR RAW'!B647),9)="Location:",TRIM(MID('MSR RAW'!B647,10,999)),D646)</f>
        <v/>
      </c>
      <c r="E647">
        <f>IF(AND(ISNUMBER(SEARCH(" - ",TRIM('MSR RAW'!C647))),RIGHT(TRIM('MSR RAW'!C647),6)="Total:"),LEFT(TRIM('MSR RAW'!C647),SEARCH(" - ",TRIM('MSR RAW'!C647))-1),"")</f>
        <v/>
      </c>
      <c r="F647">
        <f>IF(E647="","",TRIM(MID(TRIM('MSR RAW'!C647),SEARCH(" - ",TRIM('MSR RAW'!C647))+3,LEN(TRIM('MSR RAW'!C647))-SEARCH(" - ",TRIM('MSR RAW'!C647))-9)))</f>
        <v/>
      </c>
      <c r="G647">
        <f>IF(E647="","",IFERROR(VLOOKUP(E647,'CATEGORY MAP'!$A$2:$B$20,2,FALSE()),"REVIEW"))</f>
        <v/>
      </c>
      <c r="H647">
        <f>IF(E647="","",IFERROR(VALUE(SUBSTITUTE('MSR RAW'!P647,",","")),0))</f>
        <v/>
      </c>
      <c r="I647">
        <f>IF(E647="","",IFERROR(VALUE(SUBSTITUTE('MSR RAW'!S647,",","")),0))</f>
        <v/>
      </c>
    </row>
    <row r="648" ht="68.65000000000001" customHeight="1" s="126">
      <c r="A648" t="n">
        <v>648</v>
      </c>
      <c r="B648" s="30">
        <f>IF('MSR RAW'!$A$3="","",'MSR RAW'!$A$3)</f>
        <v/>
      </c>
      <c r="C648">
        <f>IF(LEFT(TRIM('MSR RAW'!A648),11)="Department:",TRIM('MSR RAW'!A648),C647)</f>
        <v/>
      </c>
      <c r="D648">
        <f>IF(LEFT(TRIM('MSR RAW'!B648),9)="Location:",TRIM(MID('MSR RAW'!B648,10,999)),D647)</f>
        <v/>
      </c>
      <c r="E648">
        <f>IF(AND(ISNUMBER(SEARCH(" - ",TRIM('MSR RAW'!C648))),RIGHT(TRIM('MSR RAW'!C648),6)="Total:"),LEFT(TRIM('MSR RAW'!C648),SEARCH(" - ",TRIM('MSR RAW'!C648))-1),"")</f>
        <v/>
      </c>
      <c r="F648">
        <f>IF(E648="","",TRIM(MID(TRIM('MSR RAW'!C648),SEARCH(" - ",TRIM('MSR RAW'!C648))+3,LEN(TRIM('MSR RAW'!C648))-SEARCH(" - ",TRIM('MSR RAW'!C648))-9)))</f>
        <v/>
      </c>
      <c r="G648">
        <f>IF(E648="","",IFERROR(VLOOKUP(E648,'CATEGORY MAP'!$A$2:$B$20,2,FALSE()),"REVIEW"))</f>
        <v/>
      </c>
      <c r="H648">
        <f>IF(E648="","",IFERROR(VALUE(SUBSTITUTE('MSR RAW'!P648,",","")),0))</f>
        <v/>
      </c>
      <c r="I648">
        <f>IF(E648="","",IFERROR(VALUE(SUBSTITUTE('MSR RAW'!S648,",","")),0))</f>
        <v/>
      </c>
    </row>
    <row r="649" ht="68.65000000000001" customHeight="1" s="126">
      <c r="A649" t="n">
        <v>649</v>
      </c>
      <c r="B649" s="30">
        <f>IF('MSR RAW'!$A$3="","",'MSR RAW'!$A$3)</f>
        <v/>
      </c>
      <c r="C649">
        <f>IF(LEFT(TRIM('MSR RAW'!A649),11)="Department:",TRIM('MSR RAW'!A649),C648)</f>
        <v/>
      </c>
      <c r="D649">
        <f>IF(LEFT(TRIM('MSR RAW'!B649),9)="Location:",TRIM(MID('MSR RAW'!B649,10,999)),D648)</f>
        <v/>
      </c>
      <c r="E649">
        <f>IF(AND(ISNUMBER(SEARCH(" - ",TRIM('MSR RAW'!C649))),RIGHT(TRIM('MSR RAW'!C649),6)="Total:"),LEFT(TRIM('MSR RAW'!C649),SEARCH(" - ",TRIM('MSR RAW'!C649))-1),"")</f>
        <v/>
      </c>
      <c r="F649">
        <f>IF(E649="","",TRIM(MID(TRIM('MSR RAW'!C649),SEARCH(" - ",TRIM('MSR RAW'!C649))+3,LEN(TRIM('MSR RAW'!C649))-SEARCH(" - ",TRIM('MSR RAW'!C649))-9)))</f>
        <v/>
      </c>
      <c r="G649">
        <f>IF(E649="","",IFERROR(VLOOKUP(E649,'CATEGORY MAP'!$A$2:$B$20,2,FALSE()),"REVIEW"))</f>
        <v/>
      </c>
      <c r="H649">
        <f>IF(E649="","",IFERROR(VALUE(SUBSTITUTE('MSR RAW'!P649,",","")),0))</f>
        <v/>
      </c>
      <c r="I649">
        <f>IF(E649="","",IFERROR(VALUE(SUBSTITUTE('MSR RAW'!S649,",","")),0))</f>
        <v/>
      </c>
    </row>
    <row r="650" ht="68.65000000000001" customHeight="1" s="126">
      <c r="A650" t="n">
        <v>650</v>
      </c>
      <c r="B650" s="30">
        <f>IF('MSR RAW'!$A$3="","",'MSR RAW'!$A$3)</f>
        <v/>
      </c>
      <c r="C650">
        <f>IF(LEFT(TRIM('MSR RAW'!A650),11)="Department:",TRIM('MSR RAW'!A650),C649)</f>
        <v/>
      </c>
      <c r="D650">
        <f>IF(LEFT(TRIM('MSR RAW'!B650),9)="Location:",TRIM(MID('MSR RAW'!B650,10,999)),D649)</f>
        <v/>
      </c>
      <c r="E650">
        <f>IF(AND(ISNUMBER(SEARCH(" - ",TRIM('MSR RAW'!C650))),RIGHT(TRIM('MSR RAW'!C650),6)="Total:"),LEFT(TRIM('MSR RAW'!C650),SEARCH(" - ",TRIM('MSR RAW'!C650))-1),"")</f>
        <v/>
      </c>
      <c r="F650">
        <f>IF(E650="","",TRIM(MID(TRIM('MSR RAW'!C650),SEARCH(" - ",TRIM('MSR RAW'!C650))+3,LEN(TRIM('MSR RAW'!C650))-SEARCH(" - ",TRIM('MSR RAW'!C650))-9)))</f>
        <v/>
      </c>
      <c r="G650">
        <f>IF(E650="","",IFERROR(VLOOKUP(E650,'CATEGORY MAP'!$A$2:$B$20,2,FALSE()),"REVIEW"))</f>
        <v/>
      </c>
      <c r="H650">
        <f>IF(E650="","",IFERROR(VALUE(SUBSTITUTE('MSR RAW'!P650,",","")),0))</f>
        <v/>
      </c>
      <c r="I650">
        <f>IF(E650="","",IFERROR(VALUE(SUBSTITUTE('MSR RAW'!S650,",","")),0))</f>
        <v/>
      </c>
    </row>
    <row r="651" ht="68.65000000000001" customHeight="1" s="126">
      <c r="A651" t="n">
        <v>651</v>
      </c>
      <c r="B651" s="30">
        <f>IF('MSR RAW'!$A$3="","",'MSR RAW'!$A$3)</f>
        <v/>
      </c>
      <c r="C651">
        <f>IF(LEFT(TRIM('MSR RAW'!A651),11)="Department:",TRIM('MSR RAW'!A651),C650)</f>
        <v/>
      </c>
      <c r="D651">
        <f>IF(LEFT(TRIM('MSR RAW'!B651),9)="Location:",TRIM(MID('MSR RAW'!B651,10,999)),D650)</f>
        <v/>
      </c>
      <c r="E651">
        <f>IF(AND(ISNUMBER(SEARCH(" - ",TRIM('MSR RAW'!C651))),RIGHT(TRIM('MSR RAW'!C651),6)="Total:"),LEFT(TRIM('MSR RAW'!C651),SEARCH(" - ",TRIM('MSR RAW'!C651))-1),"")</f>
        <v/>
      </c>
      <c r="F651">
        <f>IF(E651="","",TRIM(MID(TRIM('MSR RAW'!C651),SEARCH(" - ",TRIM('MSR RAW'!C651))+3,LEN(TRIM('MSR RAW'!C651))-SEARCH(" - ",TRIM('MSR RAW'!C651))-9)))</f>
        <v/>
      </c>
      <c r="G651">
        <f>IF(E651="","",IFERROR(VLOOKUP(E651,'CATEGORY MAP'!$A$2:$B$20,2,FALSE()),"REVIEW"))</f>
        <v/>
      </c>
      <c r="H651">
        <f>IF(E651="","",IFERROR(VALUE(SUBSTITUTE('MSR RAW'!P651,",","")),0))</f>
        <v/>
      </c>
      <c r="I651">
        <f>IF(E651="","",IFERROR(VALUE(SUBSTITUTE('MSR RAW'!S651,",","")),0))</f>
        <v/>
      </c>
    </row>
    <row r="652" ht="68.65000000000001" customHeight="1" s="126">
      <c r="A652" t="n">
        <v>652</v>
      </c>
      <c r="B652" s="30">
        <f>IF('MSR RAW'!$A$3="","",'MSR RAW'!$A$3)</f>
        <v/>
      </c>
      <c r="C652">
        <f>IF(LEFT(TRIM('MSR RAW'!A652),11)="Department:",TRIM('MSR RAW'!A652),C651)</f>
        <v/>
      </c>
      <c r="D652">
        <f>IF(LEFT(TRIM('MSR RAW'!B652),9)="Location:",TRIM(MID('MSR RAW'!B652,10,999)),D651)</f>
        <v/>
      </c>
      <c r="E652">
        <f>IF(AND(ISNUMBER(SEARCH(" - ",TRIM('MSR RAW'!C652))),RIGHT(TRIM('MSR RAW'!C652),6)="Total:"),LEFT(TRIM('MSR RAW'!C652),SEARCH(" - ",TRIM('MSR RAW'!C652))-1),"")</f>
        <v/>
      </c>
      <c r="F652">
        <f>IF(E652="","",TRIM(MID(TRIM('MSR RAW'!C652),SEARCH(" - ",TRIM('MSR RAW'!C652))+3,LEN(TRIM('MSR RAW'!C652))-SEARCH(" - ",TRIM('MSR RAW'!C652))-9)))</f>
        <v/>
      </c>
      <c r="G652">
        <f>IF(E652="","",IFERROR(VLOOKUP(E652,'CATEGORY MAP'!$A$2:$B$20,2,FALSE()),"REVIEW"))</f>
        <v/>
      </c>
      <c r="H652">
        <f>IF(E652="","",IFERROR(VALUE(SUBSTITUTE('MSR RAW'!P652,",","")),0))</f>
        <v/>
      </c>
      <c r="I652">
        <f>IF(E652="","",IFERROR(VALUE(SUBSTITUTE('MSR RAW'!S652,",","")),0))</f>
        <v/>
      </c>
    </row>
    <row r="653" ht="68.65000000000001" customHeight="1" s="126">
      <c r="A653" t="n">
        <v>653</v>
      </c>
      <c r="B653" s="30">
        <f>IF('MSR RAW'!$A$3="","",'MSR RAW'!$A$3)</f>
        <v/>
      </c>
      <c r="C653">
        <f>IF(LEFT(TRIM('MSR RAW'!A653),11)="Department:",TRIM('MSR RAW'!A653),C652)</f>
        <v/>
      </c>
      <c r="D653">
        <f>IF(LEFT(TRIM('MSR RAW'!B653),9)="Location:",TRIM(MID('MSR RAW'!B653,10,999)),D652)</f>
        <v/>
      </c>
      <c r="E653">
        <f>IF(AND(ISNUMBER(SEARCH(" - ",TRIM('MSR RAW'!C653))),RIGHT(TRIM('MSR RAW'!C653),6)="Total:"),LEFT(TRIM('MSR RAW'!C653),SEARCH(" - ",TRIM('MSR RAW'!C653))-1),"")</f>
        <v/>
      </c>
      <c r="F653">
        <f>IF(E653="","",TRIM(MID(TRIM('MSR RAW'!C653),SEARCH(" - ",TRIM('MSR RAW'!C653))+3,LEN(TRIM('MSR RAW'!C653))-SEARCH(" - ",TRIM('MSR RAW'!C653))-9)))</f>
        <v/>
      </c>
      <c r="G653">
        <f>IF(E653="","",IFERROR(VLOOKUP(E653,'CATEGORY MAP'!$A$2:$B$20,2,FALSE()),"REVIEW"))</f>
        <v/>
      </c>
      <c r="H653">
        <f>IF(E653="","",IFERROR(VALUE(SUBSTITUTE('MSR RAW'!P653,",","")),0))</f>
        <v/>
      </c>
      <c r="I653">
        <f>IF(E653="","",IFERROR(VALUE(SUBSTITUTE('MSR RAW'!S653,",","")),0))</f>
        <v/>
      </c>
    </row>
    <row r="654" ht="68.65000000000001" customHeight="1" s="126">
      <c r="A654" t="n">
        <v>654</v>
      </c>
      <c r="B654" s="30">
        <f>IF('MSR RAW'!$A$3="","",'MSR RAW'!$A$3)</f>
        <v/>
      </c>
      <c r="C654">
        <f>IF(LEFT(TRIM('MSR RAW'!A654),11)="Department:",TRIM('MSR RAW'!A654),C653)</f>
        <v/>
      </c>
      <c r="D654">
        <f>IF(LEFT(TRIM('MSR RAW'!B654),9)="Location:",TRIM(MID('MSR RAW'!B654,10,999)),D653)</f>
        <v/>
      </c>
      <c r="E654">
        <f>IF(AND(ISNUMBER(SEARCH(" - ",TRIM('MSR RAW'!C654))),RIGHT(TRIM('MSR RAW'!C654),6)="Total:"),LEFT(TRIM('MSR RAW'!C654),SEARCH(" - ",TRIM('MSR RAW'!C654))-1),"")</f>
        <v/>
      </c>
      <c r="F654">
        <f>IF(E654="","",TRIM(MID(TRIM('MSR RAW'!C654),SEARCH(" - ",TRIM('MSR RAW'!C654))+3,LEN(TRIM('MSR RAW'!C654))-SEARCH(" - ",TRIM('MSR RAW'!C654))-9)))</f>
        <v/>
      </c>
      <c r="G654">
        <f>IF(E654="","",IFERROR(VLOOKUP(E654,'CATEGORY MAP'!$A$2:$B$20,2,FALSE()),"REVIEW"))</f>
        <v/>
      </c>
      <c r="H654">
        <f>IF(E654="","",IFERROR(VALUE(SUBSTITUTE('MSR RAW'!P654,",","")),0))</f>
        <v/>
      </c>
      <c r="I654">
        <f>IF(E654="","",IFERROR(VALUE(SUBSTITUTE('MSR RAW'!S654,",","")),0))</f>
        <v/>
      </c>
    </row>
    <row r="655" ht="68.65000000000001" customHeight="1" s="126">
      <c r="A655" t="n">
        <v>655</v>
      </c>
      <c r="B655" s="30">
        <f>IF('MSR RAW'!$A$3="","",'MSR RAW'!$A$3)</f>
        <v/>
      </c>
      <c r="C655">
        <f>IF(LEFT(TRIM('MSR RAW'!A655),11)="Department:",TRIM('MSR RAW'!A655),C654)</f>
        <v/>
      </c>
      <c r="D655">
        <f>IF(LEFT(TRIM('MSR RAW'!B655),9)="Location:",TRIM(MID('MSR RAW'!B655,10,999)),D654)</f>
        <v/>
      </c>
      <c r="E655">
        <f>IF(AND(ISNUMBER(SEARCH(" - ",TRIM('MSR RAW'!C655))),RIGHT(TRIM('MSR RAW'!C655),6)="Total:"),LEFT(TRIM('MSR RAW'!C655),SEARCH(" - ",TRIM('MSR RAW'!C655))-1),"")</f>
        <v/>
      </c>
      <c r="F655">
        <f>IF(E655="","",TRIM(MID(TRIM('MSR RAW'!C655),SEARCH(" - ",TRIM('MSR RAW'!C655))+3,LEN(TRIM('MSR RAW'!C655))-SEARCH(" - ",TRIM('MSR RAW'!C655))-9)))</f>
        <v/>
      </c>
      <c r="G655">
        <f>IF(E655="","",IFERROR(VLOOKUP(E655,'CATEGORY MAP'!$A$2:$B$20,2,FALSE()),"REVIEW"))</f>
        <v/>
      </c>
      <c r="H655">
        <f>IF(E655="","",IFERROR(VALUE(SUBSTITUTE('MSR RAW'!P655,",","")),0))</f>
        <v/>
      </c>
      <c r="I655">
        <f>IF(E655="","",IFERROR(VALUE(SUBSTITUTE('MSR RAW'!S655,",","")),0))</f>
        <v/>
      </c>
    </row>
    <row r="656" ht="68.65000000000001" customHeight="1" s="126">
      <c r="A656" t="n">
        <v>656</v>
      </c>
      <c r="B656" s="30">
        <f>IF('MSR RAW'!$A$3="","",'MSR RAW'!$A$3)</f>
        <v/>
      </c>
      <c r="C656">
        <f>IF(LEFT(TRIM('MSR RAW'!A656),11)="Department:",TRIM('MSR RAW'!A656),C655)</f>
        <v/>
      </c>
      <c r="D656">
        <f>IF(LEFT(TRIM('MSR RAW'!B656),9)="Location:",TRIM(MID('MSR RAW'!B656,10,999)),D655)</f>
        <v/>
      </c>
      <c r="E656">
        <f>IF(AND(ISNUMBER(SEARCH(" - ",TRIM('MSR RAW'!C656))),RIGHT(TRIM('MSR RAW'!C656),6)="Total:"),LEFT(TRIM('MSR RAW'!C656),SEARCH(" - ",TRIM('MSR RAW'!C656))-1),"")</f>
        <v/>
      </c>
      <c r="F656">
        <f>IF(E656="","",TRIM(MID(TRIM('MSR RAW'!C656),SEARCH(" - ",TRIM('MSR RAW'!C656))+3,LEN(TRIM('MSR RAW'!C656))-SEARCH(" - ",TRIM('MSR RAW'!C656))-9)))</f>
        <v/>
      </c>
      <c r="G656">
        <f>IF(E656="","",IFERROR(VLOOKUP(E656,'CATEGORY MAP'!$A$2:$B$20,2,FALSE()),"REVIEW"))</f>
        <v/>
      </c>
      <c r="H656">
        <f>IF(E656="","",IFERROR(VALUE(SUBSTITUTE('MSR RAW'!P656,",","")),0))</f>
        <v/>
      </c>
      <c r="I656">
        <f>IF(E656="","",IFERROR(VALUE(SUBSTITUTE('MSR RAW'!S656,",","")),0))</f>
        <v/>
      </c>
    </row>
    <row r="657" ht="68.65000000000001" customHeight="1" s="126">
      <c r="A657" t="n">
        <v>657</v>
      </c>
      <c r="B657" s="30">
        <f>IF('MSR RAW'!$A$3="","",'MSR RAW'!$A$3)</f>
        <v/>
      </c>
      <c r="C657">
        <f>IF(LEFT(TRIM('MSR RAW'!A657),11)="Department:",TRIM('MSR RAW'!A657),C656)</f>
        <v/>
      </c>
      <c r="D657">
        <f>IF(LEFT(TRIM('MSR RAW'!B657),9)="Location:",TRIM(MID('MSR RAW'!B657,10,999)),D656)</f>
        <v/>
      </c>
      <c r="E657">
        <f>IF(AND(ISNUMBER(SEARCH(" - ",TRIM('MSR RAW'!C657))),RIGHT(TRIM('MSR RAW'!C657),6)="Total:"),LEFT(TRIM('MSR RAW'!C657),SEARCH(" - ",TRIM('MSR RAW'!C657))-1),"")</f>
        <v/>
      </c>
      <c r="F657">
        <f>IF(E657="","",TRIM(MID(TRIM('MSR RAW'!C657),SEARCH(" - ",TRIM('MSR RAW'!C657))+3,LEN(TRIM('MSR RAW'!C657))-SEARCH(" - ",TRIM('MSR RAW'!C657))-9)))</f>
        <v/>
      </c>
      <c r="G657">
        <f>IF(E657="","",IFERROR(VLOOKUP(E657,'CATEGORY MAP'!$A$2:$B$20,2,FALSE()),"REVIEW"))</f>
        <v/>
      </c>
      <c r="H657">
        <f>IF(E657="","",IFERROR(VALUE(SUBSTITUTE('MSR RAW'!P657,",","")),0))</f>
        <v/>
      </c>
      <c r="I657">
        <f>IF(E657="","",IFERROR(VALUE(SUBSTITUTE('MSR RAW'!S657,",","")),0))</f>
        <v/>
      </c>
    </row>
    <row r="658" ht="68.65000000000001" customHeight="1" s="126">
      <c r="A658" t="n">
        <v>658</v>
      </c>
      <c r="B658" s="30">
        <f>IF('MSR RAW'!$A$3="","",'MSR RAW'!$A$3)</f>
        <v/>
      </c>
      <c r="C658">
        <f>IF(LEFT(TRIM('MSR RAW'!A658),11)="Department:",TRIM('MSR RAW'!A658),C657)</f>
        <v/>
      </c>
      <c r="D658">
        <f>IF(LEFT(TRIM('MSR RAW'!B658),9)="Location:",TRIM(MID('MSR RAW'!B658,10,999)),D657)</f>
        <v/>
      </c>
      <c r="E658">
        <f>IF(AND(ISNUMBER(SEARCH(" - ",TRIM('MSR RAW'!C658))),RIGHT(TRIM('MSR RAW'!C658),6)="Total:"),LEFT(TRIM('MSR RAW'!C658),SEARCH(" - ",TRIM('MSR RAW'!C658))-1),"")</f>
        <v/>
      </c>
      <c r="F658">
        <f>IF(E658="","",TRIM(MID(TRIM('MSR RAW'!C658),SEARCH(" - ",TRIM('MSR RAW'!C658))+3,LEN(TRIM('MSR RAW'!C658))-SEARCH(" - ",TRIM('MSR RAW'!C658))-9)))</f>
        <v/>
      </c>
      <c r="G658">
        <f>IF(E658="","",IFERROR(VLOOKUP(E658,'CATEGORY MAP'!$A$2:$B$20,2,FALSE()),"REVIEW"))</f>
        <v/>
      </c>
      <c r="H658">
        <f>IF(E658="","",IFERROR(VALUE(SUBSTITUTE('MSR RAW'!P658,",","")),0))</f>
        <v/>
      </c>
      <c r="I658">
        <f>IF(E658="","",IFERROR(VALUE(SUBSTITUTE('MSR RAW'!S658,",","")),0))</f>
        <v/>
      </c>
    </row>
    <row r="659" ht="68.65000000000001" customHeight="1" s="126">
      <c r="A659" t="n">
        <v>659</v>
      </c>
      <c r="B659" s="30">
        <f>IF('MSR RAW'!$A$3="","",'MSR RAW'!$A$3)</f>
        <v/>
      </c>
      <c r="C659">
        <f>IF(LEFT(TRIM('MSR RAW'!A659),11)="Department:",TRIM('MSR RAW'!A659),C658)</f>
        <v/>
      </c>
      <c r="D659">
        <f>IF(LEFT(TRIM('MSR RAW'!B659),9)="Location:",TRIM(MID('MSR RAW'!B659,10,999)),D658)</f>
        <v/>
      </c>
      <c r="E659">
        <f>IF(AND(ISNUMBER(SEARCH(" - ",TRIM('MSR RAW'!C659))),RIGHT(TRIM('MSR RAW'!C659),6)="Total:"),LEFT(TRIM('MSR RAW'!C659),SEARCH(" - ",TRIM('MSR RAW'!C659))-1),"")</f>
        <v/>
      </c>
      <c r="F659">
        <f>IF(E659="","",TRIM(MID(TRIM('MSR RAW'!C659),SEARCH(" - ",TRIM('MSR RAW'!C659))+3,LEN(TRIM('MSR RAW'!C659))-SEARCH(" - ",TRIM('MSR RAW'!C659))-9)))</f>
        <v/>
      </c>
      <c r="G659">
        <f>IF(E659="","",IFERROR(VLOOKUP(E659,'CATEGORY MAP'!$A$2:$B$20,2,FALSE()),"REVIEW"))</f>
        <v/>
      </c>
      <c r="H659">
        <f>IF(E659="","",IFERROR(VALUE(SUBSTITUTE('MSR RAW'!P659,",","")),0))</f>
        <v/>
      </c>
      <c r="I659">
        <f>IF(E659="","",IFERROR(VALUE(SUBSTITUTE('MSR RAW'!S659,",","")),0))</f>
        <v/>
      </c>
    </row>
    <row r="660" ht="68.65000000000001" customHeight="1" s="126">
      <c r="A660" t="n">
        <v>660</v>
      </c>
      <c r="B660" s="30">
        <f>IF('MSR RAW'!$A$3="","",'MSR RAW'!$A$3)</f>
        <v/>
      </c>
      <c r="C660">
        <f>IF(LEFT(TRIM('MSR RAW'!A660),11)="Department:",TRIM('MSR RAW'!A660),C659)</f>
        <v/>
      </c>
      <c r="D660">
        <f>IF(LEFT(TRIM('MSR RAW'!B660),9)="Location:",TRIM(MID('MSR RAW'!B660,10,999)),D659)</f>
        <v/>
      </c>
      <c r="E660">
        <f>IF(AND(ISNUMBER(SEARCH(" - ",TRIM('MSR RAW'!C660))),RIGHT(TRIM('MSR RAW'!C660),6)="Total:"),LEFT(TRIM('MSR RAW'!C660),SEARCH(" - ",TRIM('MSR RAW'!C660))-1),"")</f>
        <v/>
      </c>
      <c r="F660">
        <f>IF(E660="","",TRIM(MID(TRIM('MSR RAW'!C660),SEARCH(" - ",TRIM('MSR RAW'!C660))+3,LEN(TRIM('MSR RAW'!C660))-SEARCH(" - ",TRIM('MSR RAW'!C660))-9)))</f>
        <v/>
      </c>
      <c r="G660">
        <f>IF(E660="","",IFERROR(VLOOKUP(E660,'CATEGORY MAP'!$A$2:$B$20,2,FALSE()),"REVIEW"))</f>
        <v/>
      </c>
      <c r="H660">
        <f>IF(E660="","",IFERROR(VALUE(SUBSTITUTE('MSR RAW'!P660,",","")),0))</f>
        <v/>
      </c>
      <c r="I660">
        <f>IF(E660="","",IFERROR(VALUE(SUBSTITUTE('MSR RAW'!S660,",","")),0))</f>
        <v/>
      </c>
    </row>
    <row r="661" ht="68.65000000000001" customHeight="1" s="126">
      <c r="A661" t="n">
        <v>661</v>
      </c>
      <c r="B661" s="30">
        <f>IF('MSR RAW'!$A$3="","",'MSR RAW'!$A$3)</f>
        <v/>
      </c>
      <c r="C661">
        <f>IF(LEFT(TRIM('MSR RAW'!A661),11)="Department:",TRIM('MSR RAW'!A661),C660)</f>
        <v/>
      </c>
      <c r="D661">
        <f>IF(LEFT(TRIM('MSR RAW'!B661),9)="Location:",TRIM(MID('MSR RAW'!B661,10,999)),D660)</f>
        <v/>
      </c>
      <c r="E661">
        <f>IF(AND(ISNUMBER(SEARCH(" - ",TRIM('MSR RAW'!C661))),RIGHT(TRIM('MSR RAW'!C661),6)="Total:"),LEFT(TRIM('MSR RAW'!C661),SEARCH(" - ",TRIM('MSR RAW'!C661))-1),"")</f>
        <v/>
      </c>
      <c r="F661">
        <f>IF(E661="","",TRIM(MID(TRIM('MSR RAW'!C661),SEARCH(" - ",TRIM('MSR RAW'!C661))+3,LEN(TRIM('MSR RAW'!C661))-SEARCH(" - ",TRIM('MSR RAW'!C661))-9)))</f>
        <v/>
      </c>
      <c r="G661">
        <f>IF(E661="","",IFERROR(VLOOKUP(E661,'CATEGORY MAP'!$A$2:$B$20,2,FALSE()),"REVIEW"))</f>
        <v/>
      </c>
      <c r="H661">
        <f>IF(E661="","",IFERROR(VALUE(SUBSTITUTE('MSR RAW'!P661,",","")),0))</f>
        <v/>
      </c>
      <c r="I661">
        <f>IF(E661="","",IFERROR(VALUE(SUBSTITUTE('MSR RAW'!S661,",","")),0))</f>
        <v/>
      </c>
    </row>
    <row r="662" ht="68.65000000000001" customHeight="1" s="126">
      <c r="A662" t="n">
        <v>662</v>
      </c>
      <c r="B662" s="30">
        <f>IF('MSR RAW'!$A$3="","",'MSR RAW'!$A$3)</f>
        <v/>
      </c>
      <c r="C662">
        <f>IF(LEFT(TRIM('MSR RAW'!A662),11)="Department:",TRIM('MSR RAW'!A662),C661)</f>
        <v/>
      </c>
      <c r="D662">
        <f>IF(LEFT(TRIM('MSR RAW'!B662),9)="Location:",TRIM(MID('MSR RAW'!B662,10,999)),D661)</f>
        <v/>
      </c>
      <c r="E662">
        <f>IF(AND(ISNUMBER(SEARCH(" - ",TRIM('MSR RAW'!C662))),RIGHT(TRIM('MSR RAW'!C662),6)="Total:"),LEFT(TRIM('MSR RAW'!C662),SEARCH(" - ",TRIM('MSR RAW'!C662))-1),"")</f>
        <v/>
      </c>
      <c r="F662">
        <f>IF(E662="","",TRIM(MID(TRIM('MSR RAW'!C662),SEARCH(" - ",TRIM('MSR RAW'!C662))+3,LEN(TRIM('MSR RAW'!C662))-SEARCH(" - ",TRIM('MSR RAW'!C662))-9)))</f>
        <v/>
      </c>
      <c r="G662">
        <f>IF(E662="","",IFERROR(VLOOKUP(E662,'CATEGORY MAP'!$A$2:$B$20,2,FALSE()),"REVIEW"))</f>
        <v/>
      </c>
      <c r="H662">
        <f>IF(E662="","",IFERROR(VALUE(SUBSTITUTE('MSR RAW'!P662,",","")),0))</f>
        <v/>
      </c>
      <c r="I662">
        <f>IF(E662="","",IFERROR(VALUE(SUBSTITUTE('MSR RAW'!S662,",","")),0))</f>
        <v/>
      </c>
    </row>
    <row r="663" ht="68.65000000000001" customHeight="1" s="126">
      <c r="A663" t="n">
        <v>663</v>
      </c>
      <c r="B663" s="30">
        <f>IF('MSR RAW'!$A$3="","",'MSR RAW'!$A$3)</f>
        <v/>
      </c>
      <c r="C663">
        <f>IF(LEFT(TRIM('MSR RAW'!A663),11)="Department:",TRIM('MSR RAW'!A663),C662)</f>
        <v/>
      </c>
      <c r="D663">
        <f>IF(LEFT(TRIM('MSR RAW'!B663),9)="Location:",TRIM(MID('MSR RAW'!B663,10,999)),D662)</f>
        <v/>
      </c>
      <c r="E663">
        <f>IF(AND(ISNUMBER(SEARCH(" - ",TRIM('MSR RAW'!C663))),RIGHT(TRIM('MSR RAW'!C663),6)="Total:"),LEFT(TRIM('MSR RAW'!C663),SEARCH(" - ",TRIM('MSR RAW'!C663))-1),"")</f>
        <v/>
      </c>
      <c r="F663">
        <f>IF(E663="","",TRIM(MID(TRIM('MSR RAW'!C663),SEARCH(" - ",TRIM('MSR RAW'!C663))+3,LEN(TRIM('MSR RAW'!C663))-SEARCH(" - ",TRIM('MSR RAW'!C663))-9)))</f>
        <v/>
      </c>
      <c r="G663">
        <f>IF(E663="","",IFERROR(VLOOKUP(E663,'CATEGORY MAP'!$A$2:$B$20,2,FALSE()),"REVIEW"))</f>
        <v/>
      </c>
      <c r="H663">
        <f>IF(E663="","",IFERROR(VALUE(SUBSTITUTE('MSR RAW'!P663,",","")),0))</f>
        <v/>
      </c>
      <c r="I663">
        <f>IF(E663="","",IFERROR(VALUE(SUBSTITUTE('MSR RAW'!S663,",","")),0))</f>
        <v/>
      </c>
    </row>
    <row r="664" ht="68.65000000000001" customHeight="1" s="126">
      <c r="A664" t="n">
        <v>664</v>
      </c>
      <c r="B664" s="30">
        <f>IF('MSR RAW'!$A$3="","",'MSR RAW'!$A$3)</f>
        <v/>
      </c>
      <c r="C664">
        <f>IF(LEFT(TRIM('MSR RAW'!A664),11)="Department:",TRIM('MSR RAW'!A664),C663)</f>
        <v/>
      </c>
      <c r="D664">
        <f>IF(LEFT(TRIM('MSR RAW'!B664),9)="Location:",TRIM(MID('MSR RAW'!B664,10,999)),D663)</f>
        <v/>
      </c>
      <c r="E664">
        <f>IF(AND(ISNUMBER(SEARCH(" - ",TRIM('MSR RAW'!C664))),RIGHT(TRIM('MSR RAW'!C664),6)="Total:"),LEFT(TRIM('MSR RAW'!C664),SEARCH(" - ",TRIM('MSR RAW'!C664))-1),"")</f>
        <v/>
      </c>
      <c r="F664">
        <f>IF(E664="","",TRIM(MID(TRIM('MSR RAW'!C664),SEARCH(" - ",TRIM('MSR RAW'!C664))+3,LEN(TRIM('MSR RAW'!C664))-SEARCH(" - ",TRIM('MSR RAW'!C664))-9)))</f>
        <v/>
      </c>
      <c r="G664">
        <f>IF(E664="","",IFERROR(VLOOKUP(E664,'CATEGORY MAP'!$A$2:$B$20,2,FALSE()),"REVIEW"))</f>
        <v/>
      </c>
      <c r="H664">
        <f>IF(E664="","",IFERROR(VALUE(SUBSTITUTE('MSR RAW'!P664,",","")),0))</f>
        <v/>
      </c>
      <c r="I664">
        <f>IF(E664="","",IFERROR(VALUE(SUBSTITUTE('MSR RAW'!S664,",","")),0))</f>
        <v/>
      </c>
    </row>
    <row r="665" ht="68.65000000000001" customHeight="1" s="126">
      <c r="A665" t="n">
        <v>665</v>
      </c>
      <c r="B665" s="30">
        <f>IF('MSR RAW'!$A$3="","",'MSR RAW'!$A$3)</f>
        <v/>
      </c>
      <c r="C665">
        <f>IF(LEFT(TRIM('MSR RAW'!A665),11)="Department:",TRIM('MSR RAW'!A665),C664)</f>
        <v/>
      </c>
      <c r="D665">
        <f>IF(LEFT(TRIM('MSR RAW'!B665),9)="Location:",TRIM(MID('MSR RAW'!B665,10,999)),D664)</f>
        <v/>
      </c>
      <c r="E665">
        <f>IF(AND(ISNUMBER(SEARCH(" - ",TRIM('MSR RAW'!C665))),RIGHT(TRIM('MSR RAW'!C665),6)="Total:"),LEFT(TRIM('MSR RAW'!C665),SEARCH(" - ",TRIM('MSR RAW'!C665))-1),"")</f>
        <v/>
      </c>
      <c r="F665">
        <f>IF(E665="","",TRIM(MID(TRIM('MSR RAW'!C665),SEARCH(" - ",TRIM('MSR RAW'!C665))+3,LEN(TRIM('MSR RAW'!C665))-SEARCH(" - ",TRIM('MSR RAW'!C665))-9)))</f>
        <v/>
      </c>
      <c r="G665">
        <f>IF(E665="","",IFERROR(VLOOKUP(E665,'CATEGORY MAP'!$A$2:$B$20,2,FALSE()),"REVIEW"))</f>
        <v/>
      </c>
      <c r="H665">
        <f>IF(E665="","",IFERROR(VALUE(SUBSTITUTE('MSR RAW'!P665,",","")),0))</f>
        <v/>
      </c>
      <c r="I665">
        <f>IF(E665="","",IFERROR(VALUE(SUBSTITUTE('MSR RAW'!S665,",","")),0))</f>
        <v/>
      </c>
    </row>
    <row r="666" ht="68.65000000000001" customHeight="1" s="126">
      <c r="A666" t="n">
        <v>666</v>
      </c>
      <c r="B666" s="30">
        <f>IF('MSR RAW'!$A$3="","",'MSR RAW'!$A$3)</f>
        <v/>
      </c>
      <c r="C666">
        <f>IF(LEFT(TRIM('MSR RAW'!A666),11)="Department:",TRIM('MSR RAW'!A666),C665)</f>
        <v/>
      </c>
      <c r="D666">
        <f>IF(LEFT(TRIM('MSR RAW'!B666),9)="Location:",TRIM(MID('MSR RAW'!B666,10,999)),D665)</f>
        <v/>
      </c>
      <c r="E666">
        <f>IF(AND(ISNUMBER(SEARCH(" - ",TRIM('MSR RAW'!C666))),RIGHT(TRIM('MSR RAW'!C666),6)="Total:"),LEFT(TRIM('MSR RAW'!C666),SEARCH(" - ",TRIM('MSR RAW'!C666))-1),"")</f>
        <v/>
      </c>
      <c r="F666">
        <f>IF(E666="","",TRIM(MID(TRIM('MSR RAW'!C666),SEARCH(" - ",TRIM('MSR RAW'!C666))+3,LEN(TRIM('MSR RAW'!C666))-SEARCH(" - ",TRIM('MSR RAW'!C666))-9)))</f>
        <v/>
      </c>
      <c r="G666">
        <f>IF(E666="","",IFERROR(VLOOKUP(E666,'CATEGORY MAP'!$A$2:$B$20,2,FALSE()),"REVIEW"))</f>
        <v/>
      </c>
      <c r="H666">
        <f>IF(E666="","",IFERROR(VALUE(SUBSTITUTE('MSR RAW'!P666,",","")),0))</f>
        <v/>
      </c>
      <c r="I666">
        <f>IF(E666="","",IFERROR(VALUE(SUBSTITUTE('MSR RAW'!S666,",","")),0))</f>
        <v/>
      </c>
    </row>
    <row r="667" ht="68.65000000000001" customHeight="1" s="126">
      <c r="A667" t="n">
        <v>667</v>
      </c>
      <c r="B667" s="30">
        <f>IF('MSR RAW'!$A$3="","",'MSR RAW'!$A$3)</f>
        <v/>
      </c>
      <c r="C667">
        <f>IF(LEFT(TRIM('MSR RAW'!A667),11)="Department:",TRIM('MSR RAW'!A667),C666)</f>
        <v/>
      </c>
      <c r="D667">
        <f>IF(LEFT(TRIM('MSR RAW'!B667),9)="Location:",TRIM(MID('MSR RAW'!B667,10,999)),D666)</f>
        <v/>
      </c>
      <c r="E667">
        <f>IF(AND(ISNUMBER(SEARCH(" - ",TRIM('MSR RAW'!C667))),RIGHT(TRIM('MSR RAW'!C667),6)="Total:"),LEFT(TRIM('MSR RAW'!C667),SEARCH(" - ",TRIM('MSR RAW'!C667))-1),"")</f>
        <v/>
      </c>
      <c r="F667">
        <f>IF(E667="","",TRIM(MID(TRIM('MSR RAW'!C667),SEARCH(" - ",TRIM('MSR RAW'!C667))+3,LEN(TRIM('MSR RAW'!C667))-SEARCH(" - ",TRIM('MSR RAW'!C667))-9)))</f>
        <v/>
      </c>
      <c r="G667">
        <f>IF(E667="","",IFERROR(VLOOKUP(E667,'CATEGORY MAP'!$A$2:$B$20,2,FALSE()),"REVIEW"))</f>
        <v/>
      </c>
      <c r="H667">
        <f>IF(E667="","",IFERROR(VALUE(SUBSTITUTE('MSR RAW'!P667,",","")),0))</f>
        <v/>
      </c>
      <c r="I667">
        <f>IF(E667="","",IFERROR(VALUE(SUBSTITUTE('MSR RAW'!S667,",","")),0))</f>
        <v/>
      </c>
    </row>
    <row r="668" ht="68.65000000000001" customHeight="1" s="126">
      <c r="A668" t="n">
        <v>668</v>
      </c>
      <c r="B668" s="30">
        <f>IF('MSR RAW'!$A$3="","",'MSR RAW'!$A$3)</f>
        <v/>
      </c>
      <c r="C668">
        <f>IF(LEFT(TRIM('MSR RAW'!A668),11)="Department:",TRIM('MSR RAW'!A668),C667)</f>
        <v/>
      </c>
      <c r="D668">
        <f>IF(LEFT(TRIM('MSR RAW'!B668),9)="Location:",TRIM(MID('MSR RAW'!B668,10,999)),D667)</f>
        <v/>
      </c>
      <c r="E668">
        <f>IF(AND(ISNUMBER(SEARCH(" - ",TRIM('MSR RAW'!C668))),RIGHT(TRIM('MSR RAW'!C668),6)="Total:"),LEFT(TRIM('MSR RAW'!C668),SEARCH(" - ",TRIM('MSR RAW'!C668))-1),"")</f>
        <v/>
      </c>
      <c r="F668">
        <f>IF(E668="","",TRIM(MID(TRIM('MSR RAW'!C668),SEARCH(" - ",TRIM('MSR RAW'!C668))+3,LEN(TRIM('MSR RAW'!C668))-SEARCH(" - ",TRIM('MSR RAW'!C668))-9)))</f>
        <v/>
      </c>
      <c r="G668">
        <f>IF(E668="","",IFERROR(VLOOKUP(E668,'CATEGORY MAP'!$A$2:$B$20,2,FALSE()),"REVIEW"))</f>
        <v/>
      </c>
      <c r="H668">
        <f>IF(E668="","",IFERROR(VALUE(SUBSTITUTE('MSR RAW'!P668,",","")),0))</f>
        <v/>
      </c>
      <c r="I668">
        <f>IF(E668="","",IFERROR(VALUE(SUBSTITUTE('MSR RAW'!S668,",","")),0))</f>
        <v/>
      </c>
    </row>
    <row r="669" ht="68.65000000000001" customHeight="1" s="126">
      <c r="A669" t="n">
        <v>669</v>
      </c>
      <c r="B669" s="30">
        <f>IF('MSR RAW'!$A$3="","",'MSR RAW'!$A$3)</f>
        <v/>
      </c>
      <c r="C669">
        <f>IF(LEFT(TRIM('MSR RAW'!A669),11)="Department:",TRIM('MSR RAW'!A669),C668)</f>
        <v/>
      </c>
      <c r="D669">
        <f>IF(LEFT(TRIM('MSR RAW'!B669),9)="Location:",TRIM(MID('MSR RAW'!B669,10,999)),D668)</f>
        <v/>
      </c>
      <c r="E669">
        <f>IF(AND(ISNUMBER(SEARCH(" - ",TRIM('MSR RAW'!C669))),RIGHT(TRIM('MSR RAW'!C669),6)="Total:"),LEFT(TRIM('MSR RAW'!C669),SEARCH(" - ",TRIM('MSR RAW'!C669))-1),"")</f>
        <v/>
      </c>
      <c r="F669">
        <f>IF(E669="","",TRIM(MID(TRIM('MSR RAW'!C669),SEARCH(" - ",TRIM('MSR RAW'!C669))+3,LEN(TRIM('MSR RAW'!C669))-SEARCH(" - ",TRIM('MSR RAW'!C669))-9)))</f>
        <v/>
      </c>
      <c r="G669">
        <f>IF(E669="","",IFERROR(VLOOKUP(E669,'CATEGORY MAP'!$A$2:$B$20,2,FALSE()),"REVIEW"))</f>
        <v/>
      </c>
      <c r="H669">
        <f>IF(E669="","",IFERROR(VALUE(SUBSTITUTE('MSR RAW'!P669,",","")),0))</f>
        <v/>
      </c>
      <c r="I669">
        <f>IF(E669="","",IFERROR(VALUE(SUBSTITUTE('MSR RAW'!S669,",","")),0))</f>
        <v/>
      </c>
    </row>
    <row r="670" ht="68.65000000000001" customHeight="1" s="126">
      <c r="A670" t="n">
        <v>670</v>
      </c>
      <c r="B670" s="30">
        <f>IF('MSR RAW'!$A$3="","",'MSR RAW'!$A$3)</f>
        <v/>
      </c>
      <c r="C670">
        <f>IF(LEFT(TRIM('MSR RAW'!A670),11)="Department:",TRIM('MSR RAW'!A670),C669)</f>
        <v/>
      </c>
      <c r="D670">
        <f>IF(LEFT(TRIM('MSR RAW'!B670),9)="Location:",TRIM(MID('MSR RAW'!B670,10,999)),D669)</f>
        <v/>
      </c>
      <c r="E670">
        <f>IF(AND(ISNUMBER(SEARCH(" - ",TRIM('MSR RAW'!C670))),RIGHT(TRIM('MSR RAW'!C670),6)="Total:"),LEFT(TRIM('MSR RAW'!C670),SEARCH(" - ",TRIM('MSR RAW'!C670))-1),"")</f>
        <v/>
      </c>
      <c r="F670">
        <f>IF(E670="","",TRIM(MID(TRIM('MSR RAW'!C670),SEARCH(" - ",TRIM('MSR RAW'!C670))+3,LEN(TRIM('MSR RAW'!C670))-SEARCH(" - ",TRIM('MSR RAW'!C670))-9)))</f>
        <v/>
      </c>
      <c r="G670">
        <f>IF(E670="","",IFERROR(VLOOKUP(E670,'CATEGORY MAP'!$A$2:$B$20,2,FALSE()),"REVIEW"))</f>
        <v/>
      </c>
      <c r="H670">
        <f>IF(E670="","",IFERROR(VALUE(SUBSTITUTE('MSR RAW'!P670,",","")),0))</f>
        <v/>
      </c>
      <c r="I670">
        <f>IF(E670="","",IFERROR(VALUE(SUBSTITUTE('MSR RAW'!S670,",","")),0))</f>
        <v/>
      </c>
    </row>
    <row r="671" ht="68.65000000000001" customHeight="1" s="126">
      <c r="A671" t="n">
        <v>671</v>
      </c>
      <c r="B671" s="30">
        <f>IF('MSR RAW'!$A$3="","",'MSR RAW'!$A$3)</f>
        <v/>
      </c>
      <c r="C671">
        <f>IF(LEFT(TRIM('MSR RAW'!A671),11)="Department:",TRIM('MSR RAW'!A671),C670)</f>
        <v/>
      </c>
      <c r="D671">
        <f>IF(LEFT(TRIM('MSR RAW'!B671),9)="Location:",TRIM(MID('MSR RAW'!B671,10,999)),D670)</f>
        <v/>
      </c>
      <c r="E671">
        <f>IF(AND(ISNUMBER(SEARCH(" - ",TRIM('MSR RAW'!C671))),RIGHT(TRIM('MSR RAW'!C671),6)="Total:"),LEFT(TRIM('MSR RAW'!C671),SEARCH(" - ",TRIM('MSR RAW'!C671))-1),"")</f>
        <v/>
      </c>
      <c r="F671">
        <f>IF(E671="","",TRIM(MID(TRIM('MSR RAW'!C671),SEARCH(" - ",TRIM('MSR RAW'!C671))+3,LEN(TRIM('MSR RAW'!C671))-SEARCH(" - ",TRIM('MSR RAW'!C671))-9)))</f>
        <v/>
      </c>
      <c r="G671">
        <f>IF(E671="","",IFERROR(VLOOKUP(E671,'CATEGORY MAP'!$A$2:$B$20,2,FALSE()),"REVIEW"))</f>
        <v/>
      </c>
      <c r="H671">
        <f>IF(E671="","",IFERROR(VALUE(SUBSTITUTE('MSR RAW'!P671,",","")),0))</f>
        <v/>
      </c>
      <c r="I671">
        <f>IF(E671="","",IFERROR(VALUE(SUBSTITUTE('MSR RAW'!S671,",","")),0))</f>
        <v/>
      </c>
    </row>
    <row r="672" ht="68.65000000000001" customHeight="1" s="126">
      <c r="A672" t="n">
        <v>672</v>
      </c>
      <c r="B672" s="30">
        <f>IF('MSR RAW'!$A$3="","",'MSR RAW'!$A$3)</f>
        <v/>
      </c>
      <c r="C672">
        <f>IF(LEFT(TRIM('MSR RAW'!A672),11)="Department:",TRIM('MSR RAW'!A672),C671)</f>
        <v/>
      </c>
      <c r="D672">
        <f>IF(LEFT(TRIM('MSR RAW'!B672),9)="Location:",TRIM(MID('MSR RAW'!B672,10,999)),D671)</f>
        <v/>
      </c>
      <c r="E672">
        <f>IF(AND(ISNUMBER(SEARCH(" - ",TRIM('MSR RAW'!C672))),RIGHT(TRIM('MSR RAW'!C672),6)="Total:"),LEFT(TRIM('MSR RAW'!C672),SEARCH(" - ",TRIM('MSR RAW'!C672))-1),"")</f>
        <v/>
      </c>
      <c r="F672">
        <f>IF(E672="","",TRIM(MID(TRIM('MSR RAW'!C672),SEARCH(" - ",TRIM('MSR RAW'!C672))+3,LEN(TRIM('MSR RAW'!C672))-SEARCH(" - ",TRIM('MSR RAW'!C672))-9)))</f>
        <v/>
      </c>
      <c r="G672">
        <f>IF(E672="","",IFERROR(VLOOKUP(E672,'CATEGORY MAP'!$A$2:$B$20,2,FALSE()),"REVIEW"))</f>
        <v/>
      </c>
      <c r="H672">
        <f>IF(E672="","",IFERROR(VALUE(SUBSTITUTE('MSR RAW'!P672,",","")),0))</f>
        <v/>
      </c>
      <c r="I672">
        <f>IF(E672="","",IFERROR(VALUE(SUBSTITUTE('MSR RAW'!S672,",","")),0))</f>
        <v/>
      </c>
    </row>
    <row r="673" ht="68.65000000000001" customHeight="1" s="126">
      <c r="A673" t="n">
        <v>673</v>
      </c>
      <c r="B673" s="30">
        <f>IF('MSR RAW'!$A$3="","",'MSR RAW'!$A$3)</f>
        <v/>
      </c>
      <c r="C673">
        <f>IF(LEFT(TRIM('MSR RAW'!A673),11)="Department:",TRIM('MSR RAW'!A673),C672)</f>
        <v/>
      </c>
      <c r="D673">
        <f>IF(LEFT(TRIM('MSR RAW'!B673),9)="Location:",TRIM(MID('MSR RAW'!B673,10,999)),D672)</f>
        <v/>
      </c>
      <c r="E673">
        <f>IF(AND(ISNUMBER(SEARCH(" - ",TRIM('MSR RAW'!C673))),RIGHT(TRIM('MSR RAW'!C673),6)="Total:"),LEFT(TRIM('MSR RAW'!C673),SEARCH(" - ",TRIM('MSR RAW'!C673))-1),"")</f>
        <v/>
      </c>
      <c r="F673">
        <f>IF(E673="","",TRIM(MID(TRIM('MSR RAW'!C673),SEARCH(" - ",TRIM('MSR RAW'!C673))+3,LEN(TRIM('MSR RAW'!C673))-SEARCH(" - ",TRIM('MSR RAW'!C673))-9)))</f>
        <v/>
      </c>
      <c r="G673">
        <f>IF(E673="","",IFERROR(VLOOKUP(E673,'CATEGORY MAP'!$A$2:$B$20,2,FALSE()),"REVIEW"))</f>
        <v/>
      </c>
      <c r="H673">
        <f>IF(E673="","",IFERROR(VALUE(SUBSTITUTE('MSR RAW'!P673,",","")),0))</f>
        <v/>
      </c>
      <c r="I673">
        <f>IF(E673="","",IFERROR(VALUE(SUBSTITUTE('MSR RAW'!S673,",","")),0))</f>
        <v/>
      </c>
    </row>
    <row r="674" ht="68.65000000000001" customHeight="1" s="126">
      <c r="A674" t="n">
        <v>674</v>
      </c>
      <c r="B674" s="30">
        <f>IF('MSR RAW'!$A$3="","",'MSR RAW'!$A$3)</f>
        <v/>
      </c>
      <c r="C674">
        <f>IF(LEFT(TRIM('MSR RAW'!A674),11)="Department:",TRIM('MSR RAW'!A674),C673)</f>
        <v/>
      </c>
      <c r="D674">
        <f>IF(LEFT(TRIM('MSR RAW'!B674),9)="Location:",TRIM(MID('MSR RAW'!B674,10,999)),D673)</f>
        <v/>
      </c>
      <c r="E674">
        <f>IF(AND(ISNUMBER(SEARCH(" - ",TRIM('MSR RAW'!C674))),RIGHT(TRIM('MSR RAW'!C674),6)="Total:"),LEFT(TRIM('MSR RAW'!C674),SEARCH(" - ",TRIM('MSR RAW'!C674))-1),"")</f>
        <v/>
      </c>
      <c r="F674">
        <f>IF(E674="","",TRIM(MID(TRIM('MSR RAW'!C674),SEARCH(" - ",TRIM('MSR RAW'!C674))+3,LEN(TRIM('MSR RAW'!C674))-SEARCH(" - ",TRIM('MSR RAW'!C674))-9)))</f>
        <v/>
      </c>
      <c r="G674">
        <f>IF(E674="","",IFERROR(VLOOKUP(E674,'CATEGORY MAP'!$A$2:$B$20,2,FALSE()),"REVIEW"))</f>
        <v/>
      </c>
      <c r="H674">
        <f>IF(E674="","",IFERROR(VALUE(SUBSTITUTE('MSR RAW'!P674,",","")),0))</f>
        <v/>
      </c>
      <c r="I674">
        <f>IF(E674="","",IFERROR(VALUE(SUBSTITUTE('MSR RAW'!S674,",","")),0))</f>
        <v/>
      </c>
    </row>
    <row r="675" ht="68.65000000000001" customHeight="1" s="126">
      <c r="A675" t="n">
        <v>675</v>
      </c>
      <c r="B675" s="30">
        <f>IF('MSR RAW'!$A$3="","",'MSR RAW'!$A$3)</f>
        <v/>
      </c>
      <c r="C675">
        <f>IF(LEFT(TRIM('MSR RAW'!A675),11)="Department:",TRIM('MSR RAW'!A675),C674)</f>
        <v/>
      </c>
      <c r="D675">
        <f>IF(LEFT(TRIM('MSR RAW'!B675),9)="Location:",TRIM(MID('MSR RAW'!B675,10,999)),D674)</f>
        <v/>
      </c>
      <c r="E675">
        <f>IF(AND(ISNUMBER(SEARCH(" - ",TRIM('MSR RAW'!C675))),RIGHT(TRIM('MSR RAW'!C675),6)="Total:"),LEFT(TRIM('MSR RAW'!C675),SEARCH(" - ",TRIM('MSR RAW'!C675))-1),"")</f>
        <v/>
      </c>
      <c r="F675">
        <f>IF(E675="","",TRIM(MID(TRIM('MSR RAW'!C675),SEARCH(" - ",TRIM('MSR RAW'!C675))+3,LEN(TRIM('MSR RAW'!C675))-SEARCH(" - ",TRIM('MSR RAW'!C675))-9)))</f>
        <v/>
      </c>
      <c r="G675">
        <f>IF(E675="","",IFERROR(VLOOKUP(E675,'CATEGORY MAP'!$A$2:$B$20,2,FALSE()),"REVIEW"))</f>
        <v/>
      </c>
      <c r="H675">
        <f>IF(E675="","",IFERROR(VALUE(SUBSTITUTE('MSR RAW'!P675,",","")),0))</f>
        <v/>
      </c>
      <c r="I675">
        <f>IF(E675="","",IFERROR(VALUE(SUBSTITUTE('MSR RAW'!S675,",","")),0))</f>
        <v/>
      </c>
    </row>
    <row r="676" ht="68.65000000000001" customHeight="1" s="126">
      <c r="A676" t="n">
        <v>676</v>
      </c>
      <c r="B676" s="30">
        <f>IF('MSR RAW'!$A$3="","",'MSR RAW'!$A$3)</f>
        <v/>
      </c>
      <c r="C676">
        <f>IF(LEFT(TRIM('MSR RAW'!A676),11)="Department:",TRIM('MSR RAW'!A676),C675)</f>
        <v/>
      </c>
      <c r="D676">
        <f>IF(LEFT(TRIM('MSR RAW'!B676),9)="Location:",TRIM(MID('MSR RAW'!B676,10,999)),D675)</f>
        <v/>
      </c>
      <c r="E676">
        <f>IF(AND(ISNUMBER(SEARCH(" - ",TRIM('MSR RAW'!C676))),RIGHT(TRIM('MSR RAW'!C676),6)="Total:"),LEFT(TRIM('MSR RAW'!C676),SEARCH(" - ",TRIM('MSR RAW'!C676))-1),"")</f>
        <v/>
      </c>
      <c r="F676">
        <f>IF(E676="","",TRIM(MID(TRIM('MSR RAW'!C676),SEARCH(" - ",TRIM('MSR RAW'!C676))+3,LEN(TRIM('MSR RAW'!C676))-SEARCH(" - ",TRIM('MSR RAW'!C676))-9)))</f>
        <v/>
      </c>
      <c r="G676">
        <f>IF(E676="","",IFERROR(VLOOKUP(E676,'CATEGORY MAP'!$A$2:$B$20,2,FALSE()),"REVIEW"))</f>
        <v/>
      </c>
      <c r="H676">
        <f>IF(E676="","",IFERROR(VALUE(SUBSTITUTE('MSR RAW'!P676,",","")),0))</f>
        <v/>
      </c>
      <c r="I676">
        <f>IF(E676="","",IFERROR(VALUE(SUBSTITUTE('MSR RAW'!S676,",","")),0))</f>
        <v/>
      </c>
    </row>
    <row r="677" ht="68.65000000000001" customHeight="1" s="126">
      <c r="A677" t="n">
        <v>677</v>
      </c>
      <c r="B677" s="30">
        <f>IF('MSR RAW'!$A$3="","",'MSR RAW'!$A$3)</f>
        <v/>
      </c>
      <c r="C677">
        <f>IF(LEFT(TRIM('MSR RAW'!A677),11)="Department:",TRIM('MSR RAW'!A677),C676)</f>
        <v/>
      </c>
      <c r="D677">
        <f>IF(LEFT(TRIM('MSR RAW'!B677),9)="Location:",TRIM(MID('MSR RAW'!B677,10,999)),D676)</f>
        <v/>
      </c>
      <c r="E677">
        <f>IF(AND(ISNUMBER(SEARCH(" - ",TRIM('MSR RAW'!C677))),RIGHT(TRIM('MSR RAW'!C677),6)="Total:"),LEFT(TRIM('MSR RAW'!C677),SEARCH(" - ",TRIM('MSR RAW'!C677))-1),"")</f>
        <v/>
      </c>
      <c r="F677">
        <f>IF(E677="","",TRIM(MID(TRIM('MSR RAW'!C677),SEARCH(" - ",TRIM('MSR RAW'!C677))+3,LEN(TRIM('MSR RAW'!C677))-SEARCH(" - ",TRIM('MSR RAW'!C677))-9)))</f>
        <v/>
      </c>
      <c r="G677">
        <f>IF(E677="","",IFERROR(VLOOKUP(E677,'CATEGORY MAP'!$A$2:$B$20,2,FALSE()),"REVIEW"))</f>
        <v/>
      </c>
      <c r="H677">
        <f>IF(E677="","",IFERROR(VALUE(SUBSTITUTE('MSR RAW'!P677,",","")),0))</f>
        <v/>
      </c>
      <c r="I677">
        <f>IF(E677="","",IFERROR(VALUE(SUBSTITUTE('MSR RAW'!S677,",","")),0))</f>
        <v/>
      </c>
    </row>
    <row r="678" ht="68.65000000000001" customHeight="1" s="126">
      <c r="A678" t="n">
        <v>678</v>
      </c>
      <c r="B678" s="30">
        <f>IF('MSR RAW'!$A$3="","",'MSR RAW'!$A$3)</f>
        <v/>
      </c>
      <c r="C678">
        <f>IF(LEFT(TRIM('MSR RAW'!A678),11)="Department:",TRIM('MSR RAW'!A678),C677)</f>
        <v/>
      </c>
      <c r="D678">
        <f>IF(LEFT(TRIM('MSR RAW'!B678),9)="Location:",TRIM(MID('MSR RAW'!B678,10,999)),D677)</f>
        <v/>
      </c>
      <c r="E678">
        <f>IF(AND(ISNUMBER(SEARCH(" - ",TRIM('MSR RAW'!C678))),RIGHT(TRIM('MSR RAW'!C678),6)="Total:"),LEFT(TRIM('MSR RAW'!C678),SEARCH(" - ",TRIM('MSR RAW'!C678))-1),"")</f>
        <v/>
      </c>
      <c r="F678">
        <f>IF(E678="","",TRIM(MID(TRIM('MSR RAW'!C678),SEARCH(" - ",TRIM('MSR RAW'!C678))+3,LEN(TRIM('MSR RAW'!C678))-SEARCH(" - ",TRIM('MSR RAW'!C678))-9)))</f>
        <v/>
      </c>
      <c r="G678">
        <f>IF(E678="","",IFERROR(VLOOKUP(E678,'CATEGORY MAP'!$A$2:$B$20,2,FALSE()),"REVIEW"))</f>
        <v/>
      </c>
      <c r="H678">
        <f>IF(E678="","",IFERROR(VALUE(SUBSTITUTE('MSR RAW'!P678,",","")),0))</f>
        <v/>
      </c>
      <c r="I678">
        <f>IF(E678="","",IFERROR(VALUE(SUBSTITUTE('MSR RAW'!S678,",","")),0))</f>
        <v/>
      </c>
    </row>
    <row r="679" ht="68.65000000000001" customHeight="1" s="126">
      <c r="A679" t="n">
        <v>679</v>
      </c>
      <c r="B679" s="30">
        <f>IF('MSR RAW'!$A$3="","",'MSR RAW'!$A$3)</f>
        <v/>
      </c>
      <c r="C679">
        <f>IF(LEFT(TRIM('MSR RAW'!A679),11)="Department:",TRIM('MSR RAW'!A679),C678)</f>
        <v/>
      </c>
      <c r="D679">
        <f>IF(LEFT(TRIM('MSR RAW'!B679),9)="Location:",TRIM(MID('MSR RAW'!B679,10,999)),D678)</f>
        <v/>
      </c>
      <c r="E679">
        <f>IF(AND(ISNUMBER(SEARCH(" - ",TRIM('MSR RAW'!C679))),RIGHT(TRIM('MSR RAW'!C679),6)="Total:"),LEFT(TRIM('MSR RAW'!C679),SEARCH(" - ",TRIM('MSR RAW'!C679))-1),"")</f>
        <v/>
      </c>
      <c r="F679">
        <f>IF(E679="","",TRIM(MID(TRIM('MSR RAW'!C679),SEARCH(" - ",TRIM('MSR RAW'!C679))+3,LEN(TRIM('MSR RAW'!C679))-SEARCH(" - ",TRIM('MSR RAW'!C679))-9)))</f>
        <v/>
      </c>
      <c r="G679">
        <f>IF(E679="","",IFERROR(VLOOKUP(E679,'CATEGORY MAP'!$A$2:$B$20,2,FALSE()),"REVIEW"))</f>
        <v/>
      </c>
      <c r="H679">
        <f>IF(E679="","",IFERROR(VALUE(SUBSTITUTE('MSR RAW'!P679,",","")),0))</f>
        <v/>
      </c>
      <c r="I679">
        <f>IF(E679="","",IFERROR(VALUE(SUBSTITUTE('MSR RAW'!S679,",","")),0))</f>
        <v/>
      </c>
    </row>
    <row r="680" ht="68.65000000000001" customHeight="1" s="126">
      <c r="A680" t="n">
        <v>680</v>
      </c>
      <c r="B680" s="30">
        <f>IF('MSR RAW'!$A$3="","",'MSR RAW'!$A$3)</f>
        <v/>
      </c>
      <c r="C680">
        <f>IF(LEFT(TRIM('MSR RAW'!A680),11)="Department:",TRIM('MSR RAW'!A680),C679)</f>
        <v/>
      </c>
      <c r="D680">
        <f>IF(LEFT(TRIM('MSR RAW'!B680),9)="Location:",TRIM(MID('MSR RAW'!B680,10,999)),D679)</f>
        <v/>
      </c>
      <c r="E680">
        <f>IF(AND(ISNUMBER(SEARCH(" - ",TRIM('MSR RAW'!C680))),RIGHT(TRIM('MSR RAW'!C680),6)="Total:"),LEFT(TRIM('MSR RAW'!C680),SEARCH(" - ",TRIM('MSR RAW'!C680))-1),"")</f>
        <v/>
      </c>
      <c r="F680">
        <f>IF(E680="","",TRIM(MID(TRIM('MSR RAW'!C680),SEARCH(" - ",TRIM('MSR RAW'!C680))+3,LEN(TRIM('MSR RAW'!C680))-SEARCH(" - ",TRIM('MSR RAW'!C680))-9)))</f>
        <v/>
      </c>
      <c r="G680">
        <f>IF(E680="","",IFERROR(VLOOKUP(E680,'CATEGORY MAP'!$A$2:$B$20,2,FALSE()),"REVIEW"))</f>
        <v/>
      </c>
      <c r="H680">
        <f>IF(E680="","",IFERROR(VALUE(SUBSTITUTE('MSR RAW'!P680,",","")),0))</f>
        <v/>
      </c>
      <c r="I680">
        <f>IF(E680="","",IFERROR(VALUE(SUBSTITUTE('MSR RAW'!S680,",","")),0))</f>
        <v/>
      </c>
    </row>
    <row r="681" ht="68.65000000000001" customHeight="1" s="126">
      <c r="A681" t="n">
        <v>681</v>
      </c>
      <c r="B681" s="30">
        <f>IF('MSR RAW'!$A$3="","",'MSR RAW'!$A$3)</f>
        <v/>
      </c>
      <c r="C681">
        <f>IF(LEFT(TRIM('MSR RAW'!A681),11)="Department:",TRIM('MSR RAW'!A681),C680)</f>
        <v/>
      </c>
      <c r="D681">
        <f>IF(LEFT(TRIM('MSR RAW'!B681),9)="Location:",TRIM(MID('MSR RAW'!B681,10,999)),D680)</f>
        <v/>
      </c>
      <c r="E681">
        <f>IF(AND(ISNUMBER(SEARCH(" - ",TRIM('MSR RAW'!C681))),RIGHT(TRIM('MSR RAW'!C681),6)="Total:"),LEFT(TRIM('MSR RAW'!C681),SEARCH(" - ",TRIM('MSR RAW'!C681))-1),"")</f>
        <v/>
      </c>
      <c r="F681">
        <f>IF(E681="","",TRIM(MID(TRIM('MSR RAW'!C681),SEARCH(" - ",TRIM('MSR RAW'!C681))+3,LEN(TRIM('MSR RAW'!C681))-SEARCH(" - ",TRIM('MSR RAW'!C681))-9)))</f>
        <v/>
      </c>
      <c r="G681">
        <f>IF(E681="","",IFERROR(VLOOKUP(E681,'CATEGORY MAP'!$A$2:$B$20,2,FALSE()),"REVIEW"))</f>
        <v/>
      </c>
      <c r="H681">
        <f>IF(E681="","",IFERROR(VALUE(SUBSTITUTE('MSR RAW'!P681,",","")),0))</f>
        <v/>
      </c>
      <c r="I681">
        <f>IF(E681="","",IFERROR(VALUE(SUBSTITUTE('MSR RAW'!S681,",","")),0))</f>
        <v/>
      </c>
    </row>
    <row r="682" ht="68.65000000000001" customHeight="1" s="126">
      <c r="A682" t="n">
        <v>682</v>
      </c>
      <c r="B682" s="30">
        <f>IF('MSR RAW'!$A$3="","",'MSR RAW'!$A$3)</f>
        <v/>
      </c>
      <c r="C682">
        <f>IF(LEFT(TRIM('MSR RAW'!A682),11)="Department:",TRIM('MSR RAW'!A682),C681)</f>
        <v/>
      </c>
      <c r="D682">
        <f>IF(LEFT(TRIM('MSR RAW'!B682),9)="Location:",TRIM(MID('MSR RAW'!B682,10,999)),D681)</f>
        <v/>
      </c>
      <c r="E682">
        <f>IF(AND(ISNUMBER(SEARCH(" - ",TRIM('MSR RAW'!C682))),RIGHT(TRIM('MSR RAW'!C682),6)="Total:"),LEFT(TRIM('MSR RAW'!C682),SEARCH(" - ",TRIM('MSR RAW'!C682))-1),"")</f>
        <v/>
      </c>
      <c r="F682">
        <f>IF(E682="","",TRIM(MID(TRIM('MSR RAW'!C682),SEARCH(" - ",TRIM('MSR RAW'!C682))+3,LEN(TRIM('MSR RAW'!C682))-SEARCH(" - ",TRIM('MSR RAW'!C682))-9)))</f>
        <v/>
      </c>
      <c r="G682">
        <f>IF(E682="","",IFERROR(VLOOKUP(E682,'CATEGORY MAP'!$A$2:$B$20,2,FALSE()),"REVIEW"))</f>
        <v/>
      </c>
      <c r="H682">
        <f>IF(E682="","",IFERROR(VALUE(SUBSTITUTE('MSR RAW'!P682,",","")),0))</f>
        <v/>
      </c>
      <c r="I682">
        <f>IF(E682="","",IFERROR(VALUE(SUBSTITUTE('MSR RAW'!S682,",","")),0))</f>
        <v/>
      </c>
    </row>
    <row r="683" ht="68.65000000000001" customHeight="1" s="126">
      <c r="A683" t="n">
        <v>683</v>
      </c>
      <c r="B683" s="30">
        <f>IF('MSR RAW'!$A$3="","",'MSR RAW'!$A$3)</f>
        <v/>
      </c>
      <c r="C683">
        <f>IF(LEFT(TRIM('MSR RAW'!A683),11)="Department:",TRIM('MSR RAW'!A683),C682)</f>
        <v/>
      </c>
      <c r="D683">
        <f>IF(LEFT(TRIM('MSR RAW'!B683),9)="Location:",TRIM(MID('MSR RAW'!B683,10,999)),D682)</f>
        <v/>
      </c>
      <c r="E683">
        <f>IF(AND(ISNUMBER(SEARCH(" - ",TRIM('MSR RAW'!C683))),RIGHT(TRIM('MSR RAW'!C683),6)="Total:"),LEFT(TRIM('MSR RAW'!C683),SEARCH(" - ",TRIM('MSR RAW'!C683))-1),"")</f>
        <v/>
      </c>
      <c r="F683">
        <f>IF(E683="","",TRIM(MID(TRIM('MSR RAW'!C683),SEARCH(" - ",TRIM('MSR RAW'!C683))+3,LEN(TRIM('MSR RAW'!C683))-SEARCH(" - ",TRIM('MSR RAW'!C683))-9)))</f>
        <v/>
      </c>
      <c r="G683">
        <f>IF(E683="","",IFERROR(VLOOKUP(E683,'CATEGORY MAP'!$A$2:$B$20,2,FALSE()),"REVIEW"))</f>
        <v/>
      </c>
      <c r="H683">
        <f>IF(E683="","",IFERROR(VALUE(SUBSTITUTE('MSR RAW'!P683,",","")),0))</f>
        <v/>
      </c>
      <c r="I683">
        <f>IF(E683="","",IFERROR(VALUE(SUBSTITUTE('MSR RAW'!S683,",","")),0))</f>
        <v/>
      </c>
    </row>
    <row r="684" ht="68.65000000000001" customHeight="1" s="126">
      <c r="A684" t="n">
        <v>684</v>
      </c>
      <c r="B684" s="30">
        <f>IF('MSR RAW'!$A$3="","",'MSR RAW'!$A$3)</f>
        <v/>
      </c>
      <c r="C684">
        <f>IF(LEFT(TRIM('MSR RAW'!A684),11)="Department:",TRIM('MSR RAW'!A684),C683)</f>
        <v/>
      </c>
      <c r="D684">
        <f>IF(LEFT(TRIM('MSR RAW'!B684),9)="Location:",TRIM(MID('MSR RAW'!B684,10,999)),D683)</f>
        <v/>
      </c>
      <c r="E684">
        <f>IF(AND(ISNUMBER(SEARCH(" - ",TRIM('MSR RAW'!C684))),RIGHT(TRIM('MSR RAW'!C684),6)="Total:"),LEFT(TRIM('MSR RAW'!C684),SEARCH(" - ",TRIM('MSR RAW'!C684))-1),"")</f>
        <v/>
      </c>
      <c r="F684">
        <f>IF(E684="","",TRIM(MID(TRIM('MSR RAW'!C684),SEARCH(" - ",TRIM('MSR RAW'!C684))+3,LEN(TRIM('MSR RAW'!C684))-SEARCH(" - ",TRIM('MSR RAW'!C684))-9)))</f>
        <v/>
      </c>
      <c r="G684">
        <f>IF(E684="","",IFERROR(VLOOKUP(E684,'CATEGORY MAP'!$A$2:$B$20,2,FALSE()),"REVIEW"))</f>
        <v/>
      </c>
      <c r="H684">
        <f>IF(E684="","",IFERROR(VALUE(SUBSTITUTE('MSR RAW'!P684,",","")),0))</f>
        <v/>
      </c>
      <c r="I684">
        <f>IF(E684="","",IFERROR(VALUE(SUBSTITUTE('MSR RAW'!S684,",","")),0))</f>
        <v/>
      </c>
    </row>
    <row r="685" ht="68.65000000000001" customHeight="1" s="126">
      <c r="A685" t="n">
        <v>685</v>
      </c>
      <c r="B685" s="30">
        <f>IF('MSR RAW'!$A$3="","",'MSR RAW'!$A$3)</f>
        <v/>
      </c>
      <c r="C685">
        <f>IF(LEFT(TRIM('MSR RAW'!A685),11)="Department:",TRIM('MSR RAW'!A685),C684)</f>
        <v/>
      </c>
      <c r="D685">
        <f>IF(LEFT(TRIM('MSR RAW'!B685),9)="Location:",TRIM(MID('MSR RAW'!B685,10,999)),D684)</f>
        <v/>
      </c>
      <c r="E685">
        <f>IF(AND(ISNUMBER(SEARCH(" - ",TRIM('MSR RAW'!C685))),RIGHT(TRIM('MSR RAW'!C685),6)="Total:"),LEFT(TRIM('MSR RAW'!C685),SEARCH(" - ",TRIM('MSR RAW'!C685))-1),"")</f>
        <v/>
      </c>
      <c r="F685">
        <f>IF(E685="","",TRIM(MID(TRIM('MSR RAW'!C685),SEARCH(" - ",TRIM('MSR RAW'!C685))+3,LEN(TRIM('MSR RAW'!C685))-SEARCH(" - ",TRIM('MSR RAW'!C685))-9)))</f>
        <v/>
      </c>
      <c r="G685">
        <f>IF(E685="","",IFERROR(VLOOKUP(E685,'CATEGORY MAP'!$A$2:$B$20,2,FALSE()),"REVIEW"))</f>
        <v/>
      </c>
      <c r="H685">
        <f>IF(E685="","",IFERROR(VALUE(SUBSTITUTE('MSR RAW'!P685,",","")),0))</f>
        <v/>
      </c>
      <c r="I685">
        <f>IF(E685="","",IFERROR(VALUE(SUBSTITUTE('MSR RAW'!S685,",","")),0))</f>
        <v/>
      </c>
    </row>
    <row r="686" ht="68.65000000000001" customHeight="1" s="126">
      <c r="A686" t="n">
        <v>686</v>
      </c>
      <c r="B686" s="30">
        <f>IF('MSR RAW'!$A$3="","",'MSR RAW'!$A$3)</f>
        <v/>
      </c>
      <c r="C686">
        <f>IF(LEFT(TRIM('MSR RAW'!A686),11)="Department:",TRIM('MSR RAW'!A686),C685)</f>
        <v/>
      </c>
      <c r="D686">
        <f>IF(LEFT(TRIM('MSR RAW'!B686),9)="Location:",TRIM(MID('MSR RAW'!B686,10,999)),D685)</f>
        <v/>
      </c>
      <c r="E686">
        <f>IF(AND(ISNUMBER(SEARCH(" - ",TRIM('MSR RAW'!C686))),RIGHT(TRIM('MSR RAW'!C686),6)="Total:"),LEFT(TRIM('MSR RAW'!C686),SEARCH(" - ",TRIM('MSR RAW'!C686))-1),"")</f>
        <v/>
      </c>
      <c r="F686">
        <f>IF(E686="","",TRIM(MID(TRIM('MSR RAW'!C686),SEARCH(" - ",TRIM('MSR RAW'!C686))+3,LEN(TRIM('MSR RAW'!C686))-SEARCH(" - ",TRIM('MSR RAW'!C686))-9)))</f>
        <v/>
      </c>
      <c r="G686">
        <f>IF(E686="","",IFERROR(VLOOKUP(E686,'CATEGORY MAP'!$A$2:$B$20,2,FALSE()),"REVIEW"))</f>
        <v/>
      </c>
      <c r="H686">
        <f>IF(E686="","",IFERROR(VALUE(SUBSTITUTE('MSR RAW'!P686,",","")),0))</f>
        <v/>
      </c>
      <c r="I686">
        <f>IF(E686="","",IFERROR(VALUE(SUBSTITUTE('MSR RAW'!S686,",","")),0))</f>
        <v/>
      </c>
    </row>
    <row r="687" ht="68.65000000000001" customHeight="1" s="126">
      <c r="A687" t="n">
        <v>687</v>
      </c>
      <c r="B687" s="30">
        <f>IF('MSR RAW'!$A$3="","",'MSR RAW'!$A$3)</f>
        <v/>
      </c>
      <c r="C687">
        <f>IF(LEFT(TRIM('MSR RAW'!A687),11)="Department:",TRIM('MSR RAW'!A687),C686)</f>
        <v/>
      </c>
      <c r="D687">
        <f>IF(LEFT(TRIM('MSR RAW'!B687),9)="Location:",TRIM(MID('MSR RAW'!B687,10,999)),D686)</f>
        <v/>
      </c>
      <c r="E687">
        <f>IF(AND(ISNUMBER(SEARCH(" - ",TRIM('MSR RAW'!C687))),RIGHT(TRIM('MSR RAW'!C687),6)="Total:"),LEFT(TRIM('MSR RAW'!C687),SEARCH(" - ",TRIM('MSR RAW'!C687))-1),"")</f>
        <v/>
      </c>
      <c r="F687">
        <f>IF(E687="","",TRIM(MID(TRIM('MSR RAW'!C687),SEARCH(" - ",TRIM('MSR RAW'!C687))+3,LEN(TRIM('MSR RAW'!C687))-SEARCH(" - ",TRIM('MSR RAW'!C687))-9)))</f>
        <v/>
      </c>
      <c r="G687">
        <f>IF(E687="","",IFERROR(VLOOKUP(E687,'CATEGORY MAP'!$A$2:$B$20,2,FALSE()),"REVIEW"))</f>
        <v/>
      </c>
      <c r="H687">
        <f>IF(E687="","",IFERROR(VALUE(SUBSTITUTE('MSR RAW'!P687,",","")),0))</f>
        <v/>
      </c>
      <c r="I687">
        <f>IF(E687="","",IFERROR(VALUE(SUBSTITUTE('MSR RAW'!S687,",","")),0))</f>
        <v/>
      </c>
    </row>
    <row r="688" ht="68.65000000000001" customHeight="1" s="126">
      <c r="A688" t="n">
        <v>688</v>
      </c>
      <c r="B688" s="30">
        <f>IF('MSR RAW'!$A$3="","",'MSR RAW'!$A$3)</f>
        <v/>
      </c>
      <c r="C688">
        <f>IF(LEFT(TRIM('MSR RAW'!A688),11)="Department:",TRIM('MSR RAW'!A688),C687)</f>
        <v/>
      </c>
      <c r="D688">
        <f>IF(LEFT(TRIM('MSR RAW'!B688),9)="Location:",TRIM(MID('MSR RAW'!B688,10,999)),D687)</f>
        <v/>
      </c>
      <c r="E688">
        <f>IF(AND(ISNUMBER(SEARCH(" - ",TRIM('MSR RAW'!C688))),RIGHT(TRIM('MSR RAW'!C688),6)="Total:"),LEFT(TRIM('MSR RAW'!C688),SEARCH(" - ",TRIM('MSR RAW'!C688))-1),"")</f>
        <v/>
      </c>
      <c r="F688">
        <f>IF(E688="","",TRIM(MID(TRIM('MSR RAW'!C688),SEARCH(" - ",TRIM('MSR RAW'!C688))+3,LEN(TRIM('MSR RAW'!C688))-SEARCH(" - ",TRIM('MSR RAW'!C688))-9)))</f>
        <v/>
      </c>
      <c r="G688">
        <f>IF(E688="","",IFERROR(VLOOKUP(E688,'CATEGORY MAP'!$A$2:$B$20,2,FALSE()),"REVIEW"))</f>
        <v/>
      </c>
      <c r="H688">
        <f>IF(E688="","",IFERROR(VALUE(SUBSTITUTE('MSR RAW'!P688,",","")),0))</f>
        <v/>
      </c>
      <c r="I688">
        <f>IF(E688="","",IFERROR(VALUE(SUBSTITUTE('MSR RAW'!S688,",","")),0))</f>
        <v/>
      </c>
    </row>
    <row r="689" ht="68.65000000000001" customHeight="1" s="126">
      <c r="A689" t="n">
        <v>689</v>
      </c>
      <c r="B689" s="30">
        <f>IF('MSR RAW'!$A$3="","",'MSR RAW'!$A$3)</f>
        <v/>
      </c>
      <c r="C689">
        <f>IF(LEFT(TRIM('MSR RAW'!A689),11)="Department:",TRIM('MSR RAW'!A689),C688)</f>
        <v/>
      </c>
      <c r="D689">
        <f>IF(LEFT(TRIM('MSR RAW'!B689),9)="Location:",TRIM(MID('MSR RAW'!B689,10,999)),D688)</f>
        <v/>
      </c>
      <c r="E689">
        <f>IF(AND(ISNUMBER(SEARCH(" - ",TRIM('MSR RAW'!C689))),RIGHT(TRIM('MSR RAW'!C689),6)="Total:"),LEFT(TRIM('MSR RAW'!C689),SEARCH(" - ",TRIM('MSR RAW'!C689))-1),"")</f>
        <v/>
      </c>
      <c r="F689">
        <f>IF(E689="","",TRIM(MID(TRIM('MSR RAW'!C689),SEARCH(" - ",TRIM('MSR RAW'!C689))+3,LEN(TRIM('MSR RAW'!C689))-SEARCH(" - ",TRIM('MSR RAW'!C689))-9)))</f>
        <v/>
      </c>
      <c r="G689">
        <f>IF(E689="","",IFERROR(VLOOKUP(E689,'CATEGORY MAP'!$A$2:$B$20,2,FALSE()),"REVIEW"))</f>
        <v/>
      </c>
      <c r="H689">
        <f>IF(E689="","",IFERROR(VALUE(SUBSTITUTE('MSR RAW'!P689,",","")),0))</f>
        <v/>
      </c>
      <c r="I689">
        <f>IF(E689="","",IFERROR(VALUE(SUBSTITUTE('MSR RAW'!S689,",","")),0))</f>
        <v/>
      </c>
    </row>
    <row r="690" ht="68.65000000000001" customHeight="1" s="126">
      <c r="A690" t="n">
        <v>690</v>
      </c>
      <c r="B690" s="30">
        <f>IF('MSR RAW'!$A$3="","",'MSR RAW'!$A$3)</f>
        <v/>
      </c>
      <c r="C690">
        <f>IF(LEFT(TRIM('MSR RAW'!A690),11)="Department:",TRIM('MSR RAW'!A690),C689)</f>
        <v/>
      </c>
      <c r="D690">
        <f>IF(LEFT(TRIM('MSR RAW'!B690),9)="Location:",TRIM(MID('MSR RAW'!B690,10,999)),D689)</f>
        <v/>
      </c>
      <c r="E690">
        <f>IF(AND(ISNUMBER(SEARCH(" - ",TRIM('MSR RAW'!C690))),RIGHT(TRIM('MSR RAW'!C690),6)="Total:"),LEFT(TRIM('MSR RAW'!C690),SEARCH(" - ",TRIM('MSR RAW'!C690))-1),"")</f>
        <v/>
      </c>
      <c r="F690">
        <f>IF(E690="","",TRIM(MID(TRIM('MSR RAW'!C690),SEARCH(" - ",TRIM('MSR RAW'!C690))+3,LEN(TRIM('MSR RAW'!C690))-SEARCH(" - ",TRIM('MSR RAW'!C690))-9)))</f>
        <v/>
      </c>
      <c r="G690">
        <f>IF(E690="","",IFERROR(VLOOKUP(E690,'CATEGORY MAP'!$A$2:$B$20,2,FALSE()),"REVIEW"))</f>
        <v/>
      </c>
      <c r="H690">
        <f>IF(E690="","",IFERROR(VALUE(SUBSTITUTE('MSR RAW'!P690,",","")),0))</f>
        <v/>
      </c>
      <c r="I690">
        <f>IF(E690="","",IFERROR(VALUE(SUBSTITUTE('MSR RAW'!S690,",","")),0))</f>
        <v/>
      </c>
    </row>
    <row r="691" ht="68.65000000000001" customHeight="1" s="126">
      <c r="A691" t="n">
        <v>691</v>
      </c>
      <c r="B691" s="30">
        <f>IF('MSR RAW'!$A$3="","",'MSR RAW'!$A$3)</f>
        <v/>
      </c>
      <c r="C691">
        <f>IF(LEFT(TRIM('MSR RAW'!A691),11)="Department:",TRIM('MSR RAW'!A691),C690)</f>
        <v/>
      </c>
      <c r="D691">
        <f>IF(LEFT(TRIM('MSR RAW'!B691),9)="Location:",TRIM(MID('MSR RAW'!B691,10,999)),D690)</f>
        <v/>
      </c>
      <c r="E691">
        <f>IF(AND(ISNUMBER(SEARCH(" - ",TRIM('MSR RAW'!C691))),RIGHT(TRIM('MSR RAW'!C691),6)="Total:"),LEFT(TRIM('MSR RAW'!C691),SEARCH(" - ",TRIM('MSR RAW'!C691))-1),"")</f>
        <v/>
      </c>
      <c r="F691">
        <f>IF(E691="","",TRIM(MID(TRIM('MSR RAW'!C691),SEARCH(" - ",TRIM('MSR RAW'!C691))+3,LEN(TRIM('MSR RAW'!C691))-SEARCH(" - ",TRIM('MSR RAW'!C691))-9)))</f>
        <v/>
      </c>
      <c r="G691">
        <f>IF(E691="","",IFERROR(VLOOKUP(E691,'CATEGORY MAP'!$A$2:$B$20,2,FALSE()),"REVIEW"))</f>
        <v/>
      </c>
      <c r="H691">
        <f>IF(E691="","",IFERROR(VALUE(SUBSTITUTE('MSR RAW'!P691,",","")),0))</f>
        <v/>
      </c>
      <c r="I691">
        <f>IF(E691="","",IFERROR(VALUE(SUBSTITUTE('MSR RAW'!S691,",","")),0))</f>
        <v/>
      </c>
    </row>
    <row r="692" ht="68.65000000000001" customHeight="1" s="126">
      <c r="A692" t="n">
        <v>692</v>
      </c>
      <c r="B692" s="30">
        <f>IF('MSR RAW'!$A$3="","",'MSR RAW'!$A$3)</f>
        <v/>
      </c>
      <c r="C692">
        <f>IF(LEFT(TRIM('MSR RAW'!A692),11)="Department:",TRIM('MSR RAW'!A692),C691)</f>
        <v/>
      </c>
      <c r="D692">
        <f>IF(LEFT(TRIM('MSR RAW'!B692),9)="Location:",TRIM(MID('MSR RAW'!B692,10,999)),D691)</f>
        <v/>
      </c>
      <c r="E692">
        <f>IF(AND(ISNUMBER(SEARCH(" - ",TRIM('MSR RAW'!C692))),RIGHT(TRIM('MSR RAW'!C692),6)="Total:"),LEFT(TRIM('MSR RAW'!C692),SEARCH(" - ",TRIM('MSR RAW'!C692))-1),"")</f>
        <v/>
      </c>
      <c r="F692">
        <f>IF(E692="","",TRIM(MID(TRIM('MSR RAW'!C692),SEARCH(" - ",TRIM('MSR RAW'!C692))+3,LEN(TRIM('MSR RAW'!C692))-SEARCH(" - ",TRIM('MSR RAW'!C692))-9)))</f>
        <v/>
      </c>
      <c r="G692">
        <f>IF(E692="","",IFERROR(VLOOKUP(E692,'CATEGORY MAP'!$A$2:$B$20,2,FALSE()),"REVIEW"))</f>
        <v/>
      </c>
      <c r="H692">
        <f>IF(E692="","",IFERROR(VALUE(SUBSTITUTE('MSR RAW'!P692,",","")),0))</f>
        <v/>
      </c>
      <c r="I692">
        <f>IF(E692="","",IFERROR(VALUE(SUBSTITUTE('MSR RAW'!S692,",","")),0))</f>
        <v/>
      </c>
    </row>
    <row r="693" ht="68.65000000000001" customHeight="1" s="126">
      <c r="A693" t="n">
        <v>693</v>
      </c>
      <c r="B693" s="30">
        <f>IF('MSR RAW'!$A$3="","",'MSR RAW'!$A$3)</f>
        <v/>
      </c>
      <c r="C693">
        <f>IF(LEFT(TRIM('MSR RAW'!A693),11)="Department:",TRIM('MSR RAW'!A693),C692)</f>
        <v/>
      </c>
      <c r="D693">
        <f>IF(LEFT(TRIM('MSR RAW'!B693),9)="Location:",TRIM(MID('MSR RAW'!B693,10,999)),D692)</f>
        <v/>
      </c>
      <c r="E693">
        <f>IF(AND(ISNUMBER(SEARCH(" - ",TRIM('MSR RAW'!C693))),RIGHT(TRIM('MSR RAW'!C693),6)="Total:"),LEFT(TRIM('MSR RAW'!C693),SEARCH(" - ",TRIM('MSR RAW'!C693))-1),"")</f>
        <v/>
      </c>
      <c r="F693">
        <f>IF(E693="","",TRIM(MID(TRIM('MSR RAW'!C693),SEARCH(" - ",TRIM('MSR RAW'!C693))+3,LEN(TRIM('MSR RAW'!C693))-SEARCH(" - ",TRIM('MSR RAW'!C693))-9)))</f>
        <v/>
      </c>
      <c r="G693">
        <f>IF(E693="","",IFERROR(VLOOKUP(E693,'CATEGORY MAP'!$A$2:$B$20,2,FALSE()),"REVIEW"))</f>
        <v/>
      </c>
      <c r="H693">
        <f>IF(E693="","",IFERROR(VALUE(SUBSTITUTE('MSR RAW'!P693,",","")),0))</f>
        <v/>
      </c>
      <c r="I693">
        <f>IF(E693="","",IFERROR(VALUE(SUBSTITUTE('MSR RAW'!S693,",","")),0))</f>
        <v/>
      </c>
    </row>
    <row r="694" ht="68.65000000000001" customHeight="1" s="126">
      <c r="A694" t="n">
        <v>694</v>
      </c>
      <c r="B694" s="30">
        <f>IF('MSR RAW'!$A$3="","",'MSR RAW'!$A$3)</f>
        <v/>
      </c>
      <c r="C694">
        <f>IF(LEFT(TRIM('MSR RAW'!A694),11)="Department:",TRIM('MSR RAW'!A694),C693)</f>
        <v/>
      </c>
      <c r="D694">
        <f>IF(LEFT(TRIM('MSR RAW'!B694),9)="Location:",TRIM(MID('MSR RAW'!B694,10,999)),D693)</f>
        <v/>
      </c>
      <c r="E694">
        <f>IF(AND(ISNUMBER(SEARCH(" - ",TRIM('MSR RAW'!C694))),RIGHT(TRIM('MSR RAW'!C694),6)="Total:"),LEFT(TRIM('MSR RAW'!C694),SEARCH(" - ",TRIM('MSR RAW'!C694))-1),"")</f>
        <v/>
      </c>
      <c r="F694">
        <f>IF(E694="","",TRIM(MID(TRIM('MSR RAW'!C694),SEARCH(" - ",TRIM('MSR RAW'!C694))+3,LEN(TRIM('MSR RAW'!C694))-SEARCH(" - ",TRIM('MSR RAW'!C694))-9)))</f>
        <v/>
      </c>
      <c r="G694">
        <f>IF(E694="","",IFERROR(VLOOKUP(E694,'CATEGORY MAP'!$A$2:$B$20,2,FALSE()),"REVIEW"))</f>
        <v/>
      </c>
      <c r="H694">
        <f>IF(E694="","",IFERROR(VALUE(SUBSTITUTE('MSR RAW'!P694,",","")),0))</f>
        <v/>
      </c>
      <c r="I694">
        <f>IF(E694="","",IFERROR(VALUE(SUBSTITUTE('MSR RAW'!S694,",","")),0))</f>
        <v/>
      </c>
    </row>
    <row r="695" ht="68.65000000000001" customHeight="1" s="126">
      <c r="A695" t="n">
        <v>695</v>
      </c>
      <c r="B695" s="30">
        <f>IF('MSR RAW'!$A$3="","",'MSR RAW'!$A$3)</f>
        <v/>
      </c>
      <c r="C695">
        <f>IF(LEFT(TRIM('MSR RAW'!A695),11)="Department:",TRIM('MSR RAW'!A695),C694)</f>
        <v/>
      </c>
      <c r="D695">
        <f>IF(LEFT(TRIM('MSR RAW'!B695),9)="Location:",TRIM(MID('MSR RAW'!B695,10,999)),D694)</f>
        <v/>
      </c>
      <c r="E695">
        <f>IF(AND(ISNUMBER(SEARCH(" - ",TRIM('MSR RAW'!C695))),RIGHT(TRIM('MSR RAW'!C695),6)="Total:"),LEFT(TRIM('MSR RAW'!C695),SEARCH(" - ",TRIM('MSR RAW'!C695))-1),"")</f>
        <v/>
      </c>
      <c r="F695">
        <f>IF(E695="","",TRIM(MID(TRIM('MSR RAW'!C695),SEARCH(" - ",TRIM('MSR RAW'!C695))+3,LEN(TRIM('MSR RAW'!C695))-SEARCH(" - ",TRIM('MSR RAW'!C695))-9)))</f>
        <v/>
      </c>
      <c r="G695">
        <f>IF(E695="","",IFERROR(VLOOKUP(E695,'CATEGORY MAP'!$A$2:$B$20,2,FALSE()),"REVIEW"))</f>
        <v/>
      </c>
      <c r="H695">
        <f>IF(E695="","",IFERROR(VALUE(SUBSTITUTE('MSR RAW'!P695,",","")),0))</f>
        <v/>
      </c>
      <c r="I695">
        <f>IF(E695="","",IFERROR(VALUE(SUBSTITUTE('MSR RAW'!S695,",","")),0))</f>
        <v/>
      </c>
    </row>
    <row r="696" ht="68.65000000000001" customHeight="1" s="126">
      <c r="A696" t="n">
        <v>696</v>
      </c>
      <c r="B696" s="30">
        <f>IF('MSR RAW'!$A$3="","",'MSR RAW'!$A$3)</f>
        <v/>
      </c>
      <c r="C696">
        <f>IF(LEFT(TRIM('MSR RAW'!A696),11)="Department:",TRIM('MSR RAW'!A696),C695)</f>
        <v/>
      </c>
      <c r="D696">
        <f>IF(LEFT(TRIM('MSR RAW'!B696),9)="Location:",TRIM(MID('MSR RAW'!B696,10,999)),D695)</f>
        <v/>
      </c>
      <c r="E696">
        <f>IF(AND(ISNUMBER(SEARCH(" - ",TRIM('MSR RAW'!C696))),RIGHT(TRIM('MSR RAW'!C696),6)="Total:"),LEFT(TRIM('MSR RAW'!C696),SEARCH(" - ",TRIM('MSR RAW'!C696))-1),"")</f>
        <v/>
      </c>
      <c r="F696">
        <f>IF(E696="","",TRIM(MID(TRIM('MSR RAW'!C696),SEARCH(" - ",TRIM('MSR RAW'!C696))+3,LEN(TRIM('MSR RAW'!C696))-SEARCH(" - ",TRIM('MSR RAW'!C696))-9)))</f>
        <v/>
      </c>
      <c r="G696">
        <f>IF(E696="","",IFERROR(VLOOKUP(E696,'CATEGORY MAP'!$A$2:$B$20,2,FALSE()),"REVIEW"))</f>
        <v/>
      </c>
      <c r="H696">
        <f>IF(E696="","",IFERROR(VALUE(SUBSTITUTE('MSR RAW'!P696,",","")),0))</f>
        <v/>
      </c>
      <c r="I696">
        <f>IF(E696="","",IFERROR(VALUE(SUBSTITUTE('MSR RAW'!S696,",","")),0))</f>
        <v/>
      </c>
    </row>
    <row r="697" ht="68.65000000000001" customHeight="1" s="126">
      <c r="A697" t="n">
        <v>697</v>
      </c>
      <c r="B697" s="30">
        <f>IF('MSR RAW'!$A$3="","",'MSR RAW'!$A$3)</f>
        <v/>
      </c>
      <c r="C697">
        <f>IF(LEFT(TRIM('MSR RAW'!A697),11)="Department:",TRIM('MSR RAW'!A697),C696)</f>
        <v/>
      </c>
      <c r="D697">
        <f>IF(LEFT(TRIM('MSR RAW'!B697),9)="Location:",TRIM(MID('MSR RAW'!B697,10,999)),D696)</f>
        <v/>
      </c>
      <c r="E697">
        <f>IF(AND(ISNUMBER(SEARCH(" - ",TRIM('MSR RAW'!C697))),RIGHT(TRIM('MSR RAW'!C697),6)="Total:"),LEFT(TRIM('MSR RAW'!C697),SEARCH(" - ",TRIM('MSR RAW'!C697))-1),"")</f>
        <v/>
      </c>
      <c r="F697">
        <f>IF(E697="","",TRIM(MID(TRIM('MSR RAW'!C697),SEARCH(" - ",TRIM('MSR RAW'!C697))+3,LEN(TRIM('MSR RAW'!C697))-SEARCH(" - ",TRIM('MSR RAW'!C697))-9)))</f>
        <v/>
      </c>
      <c r="G697">
        <f>IF(E697="","",IFERROR(VLOOKUP(E697,'CATEGORY MAP'!$A$2:$B$20,2,FALSE()),"REVIEW"))</f>
        <v/>
      </c>
      <c r="H697">
        <f>IF(E697="","",IFERROR(VALUE(SUBSTITUTE('MSR RAW'!P697,",","")),0))</f>
        <v/>
      </c>
      <c r="I697">
        <f>IF(E697="","",IFERROR(VALUE(SUBSTITUTE('MSR RAW'!S697,",","")),0))</f>
        <v/>
      </c>
    </row>
    <row r="698" ht="68.65000000000001" customHeight="1" s="126">
      <c r="A698" t="n">
        <v>698</v>
      </c>
      <c r="B698" s="30">
        <f>IF('MSR RAW'!$A$3="","",'MSR RAW'!$A$3)</f>
        <v/>
      </c>
      <c r="C698">
        <f>IF(LEFT(TRIM('MSR RAW'!A698),11)="Department:",TRIM('MSR RAW'!A698),C697)</f>
        <v/>
      </c>
      <c r="D698">
        <f>IF(LEFT(TRIM('MSR RAW'!B698),9)="Location:",TRIM(MID('MSR RAW'!B698,10,999)),D697)</f>
        <v/>
      </c>
      <c r="E698">
        <f>IF(AND(ISNUMBER(SEARCH(" - ",TRIM('MSR RAW'!C698))),RIGHT(TRIM('MSR RAW'!C698),6)="Total:"),LEFT(TRIM('MSR RAW'!C698),SEARCH(" - ",TRIM('MSR RAW'!C698))-1),"")</f>
        <v/>
      </c>
      <c r="F698">
        <f>IF(E698="","",TRIM(MID(TRIM('MSR RAW'!C698),SEARCH(" - ",TRIM('MSR RAW'!C698))+3,LEN(TRIM('MSR RAW'!C698))-SEARCH(" - ",TRIM('MSR RAW'!C698))-9)))</f>
        <v/>
      </c>
      <c r="G698">
        <f>IF(E698="","",IFERROR(VLOOKUP(E698,'CATEGORY MAP'!$A$2:$B$20,2,FALSE()),"REVIEW"))</f>
        <v/>
      </c>
      <c r="H698">
        <f>IF(E698="","",IFERROR(VALUE(SUBSTITUTE('MSR RAW'!P698,",","")),0))</f>
        <v/>
      </c>
      <c r="I698">
        <f>IF(E698="","",IFERROR(VALUE(SUBSTITUTE('MSR RAW'!S698,",","")),0))</f>
        <v/>
      </c>
    </row>
    <row r="699" ht="68.65000000000001" customHeight="1" s="126">
      <c r="A699" t="n">
        <v>699</v>
      </c>
      <c r="B699" s="30">
        <f>IF('MSR RAW'!$A$3="","",'MSR RAW'!$A$3)</f>
        <v/>
      </c>
      <c r="C699">
        <f>IF(LEFT(TRIM('MSR RAW'!A699),11)="Department:",TRIM('MSR RAW'!A699),C698)</f>
        <v/>
      </c>
      <c r="D699">
        <f>IF(LEFT(TRIM('MSR RAW'!B699),9)="Location:",TRIM(MID('MSR RAW'!B699,10,999)),D698)</f>
        <v/>
      </c>
      <c r="E699">
        <f>IF(AND(ISNUMBER(SEARCH(" - ",TRIM('MSR RAW'!C699))),RIGHT(TRIM('MSR RAW'!C699),6)="Total:"),LEFT(TRIM('MSR RAW'!C699),SEARCH(" - ",TRIM('MSR RAW'!C699))-1),"")</f>
        <v/>
      </c>
      <c r="F699">
        <f>IF(E699="","",TRIM(MID(TRIM('MSR RAW'!C699),SEARCH(" - ",TRIM('MSR RAW'!C699))+3,LEN(TRIM('MSR RAW'!C699))-SEARCH(" - ",TRIM('MSR RAW'!C699))-9)))</f>
        <v/>
      </c>
      <c r="G699">
        <f>IF(E699="","",IFERROR(VLOOKUP(E699,'CATEGORY MAP'!$A$2:$B$20,2,FALSE()),"REVIEW"))</f>
        <v/>
      </c>
      <c r="H699">
        <f>IF(E699="","",IFERROR(VALUE(SUBSTITUTE('MSR RAW'!P699,",","")),0))</f>
        <v/>
      </c>
      <c r="I699">
        <f>IF(E699="","",IFERROR(VALUE(SUBSTITUTE('MSR RAW'!S699,",","")),0))</f>
        <v/>
      </c>
    </row>
    <row r="700" ht="68.65000000000001" customHeight="1" s="126">
      <c r="A700" t="n">
        <v>700</v>
      </c>
      <c r="B700" s="30">
        <f>IF('MSR RAW'!$A$3="","",'MSR RAW'!$A$3)</f>
        <v/>
      </c>
      <c r="C700">
        <f>IF(LEFT(TRIM('MSR RAW'!A700),11)="Department:",TRIM('MSR RAW'!A700),C699)</f>
        <v/>
      </c>
      <c r="D700">
        <f>IF(LEFT(TRIM('MSR RAW'!B700),9)="Location:",TRIM(MID('MSR RAW'!B700,10,999)),D699)</f>
        <v/>
      </c>
      <c r="E700">
        <f>IF(AND(ISNUMBER(SEARCH(" - ",TRIM('MSR RAW'!C700))),RIGHT(TRIM('MSR RAW'!C700),6)="Total:"),LEFT(TRIM('MSR RAW'!C700),SEARCH(" - ",TRIM('MSR RAW'!C700))-1),"")</f>
        <v/>
      </c>
      <c r="F700">
        <f>IF(E700="","",TRIM(MID(TRIM('MSR RAW'!C700),SEARCH(" - ",TRIM('MSR RAW'!C700))+3,LEN(TRIM('MSR RAW'!C700))-SEARCH(" - ",TRIM('MSR RAW'!C700))-9)))</f>
        <v/>
      </c>
      <c r="G700">
        <f>IF(E700="","",IFERROR(VLOOKUP(E700,'CATEGORY MAP'!$A$2:$B$20,2,FALSE()),"REVIEW"))</f>
        <v/>
      </c>
      <c r="H700">
        <f>IF(E700="","",IFERROR(VALUE(SUBSTITUTE('MSR RAW'!P700,",","")),0))</f>
        <v/>
      </c>
      <c r="I700">
        <f>IF(E700="","",IFERROR(VALUE(SUBSTITUTE('MSR RAW'!S700,",","")),0))</f>
        <v/>
      </c>
    </row>
    <row r="701" ht="68.65000000000001" customHeight="1" s="126">
      <c r="A701" t="n">
        <v>701</v>
      </c>
      <c r="B701" s="30">
        <f>IF('MSR RAW'!$A$3="","",'MSR RAW'!$A$3)</f>
        <v/>
      </c>
      <c r="C701">
        <f>IF(LEFT(TRIM('MSR RAW'!A701),11)="Department:",TRIM('MSR RAW'!A701),C700)</f>
        <v/>
      </c>
      <c r="D701">
        <f>IF(LEFT(TRIM('MSR RAW'!B701),9)="Location:",TRIM(MID('MSR RAW'!B701,10,999)),D700)</f>
        <v/>
      </c>
      <c r="E701">
        <f>IF(AND(ISNUMBER(SEARCH(" - ",TRIM('MSR RAW'!C701))),RIGHT(TRIM('MSR RAW'!C701),6)="Total:"),LEFT(TRIM('MSR RAW'!C701),SEARCH(" - ",TRIM('MSR RAW'!C701))-1),"")</f>
        <v/>
      </c>
      <c r="F701">
        <f>IF(E701="","",TRIM(MID(TRIM('MSR RAW'!C701),SEARCH(" - ",TRIM('MSR RAW'!C701))+3,LEN(TRIM('MSR RAW'!C701))-SEARCH(" - ",TRIM('MSR RAW'!C701))-9)))</f>
        <v/>
      </c>
      <c r="G701">
        <f>IF(E701="","",IFERROR(VLOOKUP(E701,'CATEGORY MAP'!$A$2:$B$20,2,FALSE()),"REVIEW"))</f>
        <v/>
      </c>
      <c r="H701">
        <f>IF(E701="","",IFERROR(VALUE(SUBSTITUTE('MSR RAW'!P701,",","")),0))</f>
        <v/>
      </c>
      <c r="I701">
        <f>IF(E701="","",IFERROR(VALUE(SUBSTITUTE('MSR RAW'!S701,",","")),0))</f>
        <v/>
      </c>
    </row>
    <row r="702" ht="68.65000000000001" customHeight="1" s="126">
      <c r="A702" t="n">
        <v>702</v>
      </c>
      <c r="B702" s="30">
        <f>IF('MSR RAW'!$A$3="","",'MSR RAW'!$A$3)</f>
        <v/>
      </c>
      <c r="C702">
        <f>IF(LEFT(TRIM('MSR RAW'!A702),11)="Department:",TRIM('MSR RAW'!A702),C701)</f>
        <v/>
      </c>
      <c r="D702">
        <f>IF(LEFT(TRIM('MSR RAW'!B702),9)="Location:",TRIM(MID('MSR RAW'!B702,10,999)),D701)</f>
        <v/>
      </c>
      <c r="E702">
        <f>IF(AND(ISNUMBER(SEARCH(" - ",TRIM('MSR RAW'!C702))),RIGHT(TRIM('MSR RAW'!C702),6)="Total:"),LEFT(TRIM('MSR RAW'!C702),SEARCH(" - ",TRIM('MSR RAW'!C702))-1),"")</f>
        <v/>
      </c>
      <c r="F702">
        <f>IF(E702="","",TRIM(MID(TRIM('MSR RAW'!C702),SEARCH(" - ",TRIM('MSR RAW'!C702))+3,LEN(TRIM('MSR RAW'!C702))-SEARCH(" - ",TRIM('MSR RAW'!C702))-9)))</f>
        <v/>
      </c>
      <c r="G702">
        <f>IF(E702="","",IFERROR(VLOOKUP(E702,'CATEGORY MAP'!$A$2:$B$20,2,FALSE()),"REVIEW"))</f>
        <v/>
      </c>
      <c r="H702">
        <f>IF(E702="","",IFERROR(VALUE(SUBSTITUTE('MSR RAW'!P702,",","")),0))</f>
        <v/>
      </c>
      <c r="I702">
        <f>IF(E702="","",IFERROR(VALUE(SUBSTITUTE('MSR RAW'!S702,",","")),0))</f>
        <v/>
      </c>
    </row>
    <row r="703" ht="68.65000000000001" customHeight="1" s="126">
      <c r="A703" t="n">
        <v>703</v>
      </c>
      <c r="B703" s="30">
        <f>IF('MSR RAW'!$A$3="","",'MSR RAW'!$A$3)</f>
        <v/>
      </c>
      <c r="C703">
        <f>IF(LEFT(TRIM('MSR RAW'!A703),11)="Department:",TRIM('MSR RAW'!A703),C702)</f>
        <v/>
      </c>
      <c r="D703">
        <f>IF(LEFT(TRIM('MSR RAW'!B703),9)="Location:",TRIM(MID('MSR RAW'!B703,10,999)),D702)</f>
        <v/>
      </c>
      <c r="E703">
        <f>IF(AND(ISNUMBER(SEARCH(" - ",TRIM('MSR RAW'!C703))),RIGHT(TRIM('MSR RAW'!C703),6)="Total:"),LEFT(TRIM('MSR RAW'!C703),SEARCH(" - ",TRIM('MSR RAW'!C703))-1),"")</f>
        <v/>
      </c>
      <c r="F703">
        <f>IF(E703="","",TRIM(MID(TRIM('MSR RAW'!C703),SEARCH(" - ",TRIM('MSR RAW'!C703))+3,LEN(TRIM('MSR RAW'!C703))-SEARCH(" - ",TRIM('MSR RAW'!C703))-9)))</f>
        <v/>
      </c>
      <c r="G703">
        <f>IF(E703="","",IFERROR(VLOOKUP(E703,'CATEGORY MAP'!$A$2:$B$20,2,FALSE()),"REVIEW"))</f>
        <v/>
      </c>
      <c r="H703">
        <f>IF(E703="","",IFERROR(VALUE(SUBSTITUTE('MSR RAW'!P703,",","")),0))</f>
        <v/>
      </c>
      <c r="I703">
        <f>IF(E703="","",IFERROR(VALUE(SUBSTITUTE('MSR RAW'!S703,",","")),0))</f>
        <v/>
      </c>
    </row>
    <row r="704" ht="68.65000000000001" customHeight="1" s="126">
      <c r="A704" t="n">
        <v>704</v>
      </c>
      <c r="B704" s="30">
        <f>IF('MSR RAW'!$A$3="","",'MSR RAW'!$A$3)</f>
        <v/>
      </c>
      <c r="C704">
        <f>IF(LEFT(TRIM('MSR RAW'!A704),11)="Department:",TRIM('MSR RAW'!A704),C703)</f>
        <v/>
      </c>
      <c r="D704">
        <f>IF(LEFT(TRIM('MSR RAW'!B704),9)="Location:",TRIM(MID('MSR RAW'!B704,10,999)),D703)</f>
        <v/>
      </c>
      <c r="E704">
        <f>IF(AND(ISNUMBER(SEARCH(" - ",TRIM('MSR RAW'!C704))),RIGHT(TRIM('MSR RAW'!C704),6)="Total:"),LEFT(TRIM('MSR RAW'!C704),SEARCH(" - ",TRIM('MSR RAW'!C704))-1),"")</f>
        <v/>
      </c>
      <c r="F704">
        <f>IF(E704="","",TRIM(MID(TRIM('MSR RAW'!C704),SEARCH(" - ",TRIM('MSR RAW'!C704))+3,LEN(TRIM('MSR RAW'!C704))-SEARCH(" - ",TRIM('MSR RAW'!C704))-9)))</f>
        <v/>
      </c>
      <c r="G704">
        <f>IF(E704="","",IFERROR(VLOOKUP(E704,'CATEGORY MAP'!$A$2:$B$20,2,FALSE()),"REVIEW"))</f>
        <v/>
      </c>
      <c r="H704">
        <f>IF(E704="","",IFERROR(VALUE(SUBSTITUTE('MSR RAW'!P704,",","")),0))</f>
        <v/>
      </c>
      <c r="I704">
        <f>IF(E704="","",IFERROR(VALUE(SUBSTITUTE('MSR RAW'!S704,",","")),0))</f>
        <v/>
      </c>
    </row>
    <row r="705" ht="68.65000000000001" customHeight="1" s="126">
      <c r="A705" t="n">
        <v>705</v>
      </c>
      <c r="B705" s="30">
        <f>IF('MSR RAW'!$A$3="","",'MSR RAW'!$A$3)</f>
        <v/>
      </c>
      <c r="C705">
        <f>IF(LEFT(TRIM('MSR RAW'!A705),11)="Department:",TRIM('MSR RAW'!A705),C704)</f>
        <v/>
      </c>
      <c r="D705">
        <f>IF(LEFT(TRIM('MSR RAW'!B705),9)="Location:",TRIM(MID('MSR RAW'!B705,10,999)),D704)</f>
        <v/>
      </c>
      <c r="E705">
        <f>IF(AND(ISNUMBER(SEARCH(" - ",TRIM('MSR RAW'!C705))),RIGHT(TRIM('MSR RAW'!C705),6)="Total:"),LEFT(TRIM('MSR RAW'!C705),SEARCH(" - ",TRIM('MSR RAW'!C705))-1),"")</f>
        <v/>
      </c>
      <c r="F705">
        <f>IF(E705="","",TRIM(MID(TRIM('MSR RAW'!C705),SEARCH(" - ",TRIM('MSR RAW'!C705))+3,LEN(TRIM('MSR RAW'!C705))-SEARCH(" - ",TRIM('MSR RAW'!C705))-9)))</f>
        <v/>
      </c>
      <c r="G705">
        <f>IF(E705="","",IFERROR(VLOOKUP(E705,'CATEGORY MAP'!$A$2:$B$20,2,FALSE()),"REVIEW"))</f>
        <v/>
      </c>
      <c r="H705">
        <f>IF(E705="","",IFERROR(VALUE(SUBSTITUTE('MSR RAW'!P705,",","")),0))</f>
        <v/>
      </c>
      <c r="I705">
        <f>IF(E705="","",IFERROR(VALUE(SUBSTITUTE('MSR RAW'!S705,",","")),0))</f>
        <v/>
      </c>
    </row>
    <row r="706" ht="68.65000000000001" customHeight="1" s="126">
      <c r="A706" t="n">
        <v>706</v>
      </c>
      <c r="B706" s="30">
        <f>IF('MSR RAW'!$A$3="","",'MSR RAW'!$A$3)</f>
        <v/>
      </c>
      <c r="C706">
        <f>IF(LEFT(TRIM('MSR RAW'!A706),11)="Department:",TRIM('MSR RAW'!A706),C705)</f>
        <v/>
      </c>
      <c r="D706">
        <f>IF(LEFT(TRIM('MSR RAW'!B706),9)="Location:",TRIM(MID('MSR RAW'!B706,10,999)),D705)</f>
        <v/>
      </c>
      <c r="E706">
        <f>IF(AND(ISNUMBER(SEARCH(" - ",TRIM('MSR RAW'!C706))),RIGHT(TRIM('MSR RAW'!C706),6)="Total:"),LEFT(TRIM('MSR RAW'!C706),SEARCH(" - ",TRIM('MSR RAW'!C706))-1),"")</f>
        <v/>
      </c>
      <c r="F706">
        <f>IF(E706="","",TRIM(MID(TRIM('MSR RAW'!C706),SEARCH(" - ",TRIM('MSR RAW'!C706))+3,LEN(TRIM('MSR RAW'!C706))-SEARCH(" - ",TRIM('MSR RAW'!C706))-9)))</f>
        <v/>
      </c>
      <c r="G706">
        <f>IF(E706="","",IFERROR(VLOOKUP(E706,'CATEGORY MAP'!$A$2:$B$20,2,FALSE()),"REVIEW"))</f>
        <v/>
      </c>
      <c r="H706">
        <f>IF(E706="","",IFERROR(VALUE(SUBSTITUTE('MSR RAW'!P706,",","")),0))</f>
        <v/>
      </c>
      <c r="I706">
        <f>IF(E706="","",IFERROR(VALUE(SUBSTITUTE('MSR RAW'!S706,",","")),0))</f>
        <v/>
      </c>
    </row>
    <row r="707" ht="68.65000000000001" customHeight="1" s="126">
      <c r="A707" t="n">
        <v>707</v>
      </c>
      <c r="B707" s="30">
        <f>IF('MSR RAW'!$A$3="","",'MSR RAW'!$A$3)</f>
        <v/>
      </c>
      <c r="C707">
        <f>IF(LEFT(TRIM('MSR RAW'!A707),11)="Department:",TRIM('MSR RAW'!A707),C706)</f>
        <v/>
      </c>
      <c r="D707">
        <f>IF(LEFT(TRIM('MSR RAW'!B707),9)="Location:",TRIM(MID('MSR RAW'!B707,10,999)),D706)</f>
        <v/>
      </c>
      <c r="E707">
        <f>IF(AND(ISNUMBER(SEARCH(" - ",TRIM('MSR RAW'!C707))),RIGHT(TRIM('MSR RAW'!C707),6)="Total:"),LEFT(TRIM('MSR RAW'!C707),SEARCH(" - ",TRIM('MSR RAW'!C707))-1),"")</f>
        <v/>
      </c>
      <c r="F707">
        <f>IF(E707="","",TRIM(MID(TRIM('MSR RAW'!C707),SEARCH(" - ",TRIM('MSR RAW'!C707))+3,LEN(TRIM('MSR RAW'!C707))-SEARCH(" - ",TRIM('MSR RAW'!C707))-9)))</f>
        <v/>
      </c>
      <c r="G707">
        <f>IF(E707="","",IFERROR(VLOOKUP(E707,'CATEGORY MAP'!$A$2:$B$20,2,FALSE()),"REVIEW"))</f>
        <v/>
      </c>
      <c r="H707">
        <f>IF(E707="","",IFERROR(VALUE(SUBSTITUTE('MSR RAW'!P707,",","")),0))</f>
        <v/>
      </c>
      <c r="I707">
        <f>IF(E707="","",IFERROR(VALUE(SUBSTITUTE('MSR RAW'!S707,",","")),0))</f>
        <v/>
      </c>
    </row>
    <row r="708" ht="68.65000000000001" customHeight="1" s="126">
      <c r="A708" t="n">
        <v>708</v>
      </c>
      <c r="B708" s="30">
        <f>IF('MSR RAW'!$A$3="","",'MSR RAW'!$A$3)</f>
        <v/>
      </c>
      <c r="C708">
        <f>IF(LEFT(TRIM('MSR RAW'!A708),11)="Department:",TRIM('MSR RAW'!A708),C707)</f>
        <v/>
      </c>
      <c r="D708">
        <f>IF(LEFT(TRIM('MSR RAW'!B708),9)="Location:",TRIM(MID('MSR RAW'!B708,10,999)),D707)</f>
        <v/>
      </c>
      <c r="E708">
        <f>IF(AND(ISNUMBER(SEARCH(" - ",TRIM('MSR RAW'!C708))),RIGHT(TRIM('MSR RAW'!C708),6)="Total:"),LEFT(TRIM('MSR RAW'!C708),SEARCH(" - ",TRIM('MSR RAW'!C708))-1),"")</f>
        <v/>
      </c>
      <c r="F708">
        <f>IF(E708="","",TRIM(MID(TRIM('MSR RAW'!C708),SEARCH(" - ",TRIM('MSR RAW'!C708))+3,LEN(TRIM('MSR RAW'!C708))-SEARCH(" - ",TRIM('MSR RAW'!C708))-9)))</f>
        <v/>
      </c>
      <c r="G708">
        <f>IF(E708="","",IFERROR(VLOOKUP(E708,'CATEGORY MAP'!$A$2:$B$20,2,FALSE()),"REVIEW"))</f>
        <v/>
      </c>
      <c r="H708">
        <f>IF(E708="","",IFERROR(VALUE(SUBSTITUTE('MSR RAW'!P708,",","")),0))</f>
        <v/>
      </c>
      <c r="I708">
        <f>IF(E708="","",IFERROR(VALUE(SUBSTITUTE('MSR RAW'!S708,",","")),0))</f>
        <v/>
      </c>
    </row>
    <row r="709" ht="68.65000000000001" customHeight="1" s="126">
      <c r="A709" t="n">
        <v>709</v>
      </c>
      <c r="B709" s="30">
        <f>IF('MSR RAW'!$A$3="","",'MSR RAW'!$A$3)</f>
        <v/>
      </c>
      <c r="C709">
        <f>IF(LEFT(TRIM('MSR RAW'!A709),11)="Department:",TRIM('MSR RAW'!A709),C708)</f>
        <v/>
      </c>
      <c r="D709">
        <f>IF(LEFT(TRIM('MSR RAW'!B709),9)="Location:",TRIM(MID('MSR RAW'!B709,10,999)),D708)</f>
        <v/>
      </c>
      <c r="E709">
        <f>IF(AND(ISNUMBER(SEARCH(" - ",TRIM('MSR RAW'!C709))),RIGHT(TRIM('MSR RAW'!C709),6)="Total:"),LEFT(TRIM('MSR RAW'!C709),SEARCH(" - ",TRIM('MSR RAW'!C709))-1),"")</f>
        <v/>
      </c>
      <c r="F709">
        <f>IF(E709="","",TRIM(MID(TRIM('MSR RAW'!C709),SEARCH(" - ",TRIM('MSR RAW'!C709))+3,LEN(TRIM('MSR RAW'!C709))-SEARCH(" - ",TRIM('MSR RAW'!C709))-9)))</f>
        <v/>
      </c>
      <c r="G709">
        <f>IF(E709="","",IFERROR(VLOOKUP(E709,'CATEGORY MAP'!$A$2:$B$20,2,FALSE()),"REVIEW"))</f>
        <v/>
      </c>
      <c r="H709">
        <f>IF(E709="","",IFERROR(VALUE(SUBSTITUTE('MSR RAW'!P709,",","")),0))</f>
        <v/>
      </c>
      <c r="I709">
        <f>IF(E709="","",IFERROR(VALUE(SUBSTITUTE('MSR RAW'!S709,",","")),0))</f>
        <v/>
      </c>
    </row>
    <row r="710" ht="68.65000000000001" customHeight="1" s="126">
      <c r="A710" t="n">
        <v>710</v>
      </c>
      <c r="B710" s="30">
        <f>IF('MSR RAW'!$A$3="","",'MSR RAW'!$A$3)</f>
        <v/>
      </c>
      <c r="C710">
        <f>IF(LEFT(TRIM('MSR RAW'!A710),11)="Department:",TRIM('MSR RAW'!A710),C709)</f>
        <v/>
      </c>
      <c r="D710">
        <f>IF(LEFT(TRIM('MSR RAW'!B710),9)="Location:",TRIM(MID('MSR RAW'!B710,10,999)),D709)</f>
        <v/>
      </c>
      <c r="E710">
        <f>IF(AND(ISNUMBER(SEARCH(" - ",TRIM('MSR RAW'!C710))),RIGHT(TRIM('MSR RAW'!C710),6)="Total:"),LEFT(TRIM('MSR RAW'!C710),SEARCH(" - ",TRIM('MSR RAW'!C710))-1),"")</f>
        <v/>
      </c>
      <c r="F710">
        <f>IF(E710="","",TRIM(MID(TRIM('MSR RAW'!C710),SEARCH(" - ",TRIM('MSR RAW'!C710))+3,LEN(TRIM('MSR RAW'!C710))-SEARCH(" - ",TRIM('MSR RAW'!C710))-9)))</f>
        <v/>
      </c>
      <c r="G710">
        <f>IF(E710="","",IFERROR(VLOOKUP(E710,'CATEGORY MAP'!$A$2:$B$20,2,FALSE()),"REVIEW"))</f>
        <v/>
      </c>
      <c r="H710">
        <f>IF(E710="","",IFERROR(VALUE(SUBSTITUTE('MSR RAW'!P710,",","")),0))</f>
        <v/>
      </c>
      <c r="I710">
        <f>IF(E710="","",IFERROR(VALUE(SUBSTITUTE('MSR RAW'!S710,",","")),0))</f>
        <v/>
      </c>
    </row>
    <row r="711" ht="68.65000000000001" customHeight="1" s="126">
      <c r="A711" t="n">
        <v>711</v>
      </c>
      <c r="B711" s="30">
        <f>IF('MSR RAW'!$A$3="","",'MSR RAW'!$A$3)</f>
        <v/>
      </c>
      <c r="C711">
        <f>IF(LEFT(TRIM('MSR RAW'!A711),11)="Department:",TRIM('MSR RAW'!A711),C710)</f>
        <v/>
      </c>
      <c r="D711">
        <f>IF(LEFT(TRIM('MSR RAW'!B711),9)="Location:",TRIM(MID('MSR RAW'!B711,10,999)),D710)</f>
        <v/>
      </c>
      <c r="E711">
        <f>IF(AND(ISNUMBER(SEARCH(" - ",TRIM('MSR RAW'!C711))),RIGHT(TRIM('MSR RAW'!C711),6)="Total:"),LEFT(TRIM('MSR RAW'!C711),SEARCH(" - ",TRIM('MSR RAW'!C711))-1),"")</f>
        <v/>
      </c>
      <c r="F711">
        <f>IF(E711="","",TRIM(MID(TRIM('MSR RAW'!C711),SEARCH(" - ",TRIM('MSR RAW'!C711))+3,LEN(TRIM('MSR RAW'!C711))-SEARCH(" - ",TRIM('MSR RAW'!C711))-9)))</f>
        <v/>
      </c>
      <c r="G711">
        <f>IF(E711="","",IFERROR(VLOOKUP(E711,'CATEGORY MAP'!$A$2:$B$20,2,FALSE()),"REVIEW"))</f>
        <v/>
      </c>
      <c r="H711">
        <f>IF(E711="","",IFERROR(VALUE(SUBSTITUTE('MSR RAW'!P711,",","")),0))</f>
        <v/>
      </c>
      <c r="I711">
        <f>IF(E711="","",IFERROR(VALUE(SUBSTITUTE('MSR RAW'!S711,",","")),0))</f>
        <v/>
      </c>
    </row>
    <row r="712" ht="68.65000000000001" customHeight="1" s="126">
      <c r="A712" t="n">
        <v>712</v>
      </c>
      <c r="B712" s="30">
        <f>IF('MSR RAW'!$A$3="","",'MSR RAW'!$A$3)</f>
        <v/>
      </c>
      <c r="C712">
        <f>IF(LEFT(TRIM('MSR RAW'!A712),11)="Department:",TRIM('MSR RAW'!A712),C711)</f>
        <v/>
      </c>
      <c r="D712">
        <f>IF(LEFT(TRIM('MSR RAW'!B712),9)="Location:",TRIM(MID('MSR RAW'!B712,10,999)),D711)</f>
        <v/>
      </c>
      <c r="E712">
        <f>IF(AND(ISNUMBER(SEARCH(" - ",TRIM('MSR RAW'!C712))),RIGHT(TRIM('MSR RAW'!C712),6)="Total:"),LEFT(TRIM('MSR RAW'!C712),SEARCH(" - ",TRIM('MSR RAW'!C712))-1),"")</f>
        <v/>
      </c>
      <c r="F712">
        <f>IF(E712="","",TRIM(MID(TRIM('MSR RAW'!C712),SEARCH(" - ",TRIM('MSR RAW'!C712))+3,LEN(TRIM('MSR RAW'!C712))-SEARCH(" - ",TRIM('MSR RAW'!C712))-9)))</f>
        <v/>
      </c>
      <c r="G712">
        <f>IF(E712="","",IFERROR(VLOOKUP(E712,'CATEGORY MAP'!$A$2:$B$20,2,FALSE()),"REVIEW"))</f>
        <v/>
      </c>
      <c r="H712">
        <f>IF(E712="","",IFERROR(VALUE(SUBSTITUTE('MSR RAW'!P712,",","")),0))</f>
        <v/>
      </c>
      <c r="I712">
        <f>IF(E712="","",IFERROR(VALUE(SUBSTITUTE('MSR RAW'!S712,",","")),0))</f>
        <v/>
      </c>
    </row>
    <row r="713" ht="68.65000000000001" customHeight="1" s="126">
      <c r="A713" t="n">
        <v>713</v>
      </c>
      <c r="B713" s="30">
        <f>IF('MSR RAW'!$A$3="","",'MSR RAW'!$A$3)</f>
        <v/>
      </c>
      <c r="C713">
        <f>IF(LEFT(TRIM('MSR RAW'!A713),11)="Department:",TRIM('MSR RAW'!A713),C712)</f>
        <v/>
      </c>
      <c r="D713">
        <f>IF(LEFT(TRIM('MSR RAW'!B713),9)="Location:",TRIM(MID('MSR RAW'!B713,10,999)),D712)</f>
        <v/>
      </c>
      <c r="E713">
        <f>IF(AND(ISNUMBER(SEARCH(" - ",TRIM('MSR RAW'!C713))),RIGHT(TRIM('MSR RAW'!C713),6)="Total:"),LEFT(TRIM('MSR RAW'!C713),SEARCH(" - ",TRIM('MSR RAW'!C713))-1),"")</f>
        <v/>
      </c>
      <c r="F713">
        <f>IF(E713="","",TRIM(MID(TRIM('MSR RAW'!C713),SEARCH(" - ",TRIM('MSR RAW'!C713))+3,LEN(TRIM('MSR RAW'!C713))-SEARCH(" - ",TRIM('MSR RAW'!C713))-9)))</f>
        <v/>
      </c>
      <c r="G713">
        <f>IF(E713="","",IFERROR(VLOOKUP(E713,'CATEGORY MAP'!$A$2:$B$20,2,FALSE()),"REVIEW"))</f>
        <v/>
      </c>
      <c r="H713">
        <f>IF(E713="","",IFERROR(VALUE(SUBSTITUTE('MSR RAW'!P713,",","")),0))</f>
        <v/>
      </c>
      <c r="I713">
        <f>IF(E713="","",IFERROR(VALUE(SUBSTITUTE('MSR RAW'!S713,",","")),0))</f>
        <v/>
      </c>
    </row>
    <row r="714" ht="68.65000000000001" customHeight="1" s="126">
      <c r="A714" t="n">
        <v>714</v>
      </c>
      <c r="B714" s="30">
        <f>IF('MSR RAW'!$A$3="","",'MSR RAW'!$A$3)</f>
        <v/>
      </c>
      <c r="C714">
        <f>IF(LEFT(TRIM('MSR RAW'!A714),11)="Department:",TRIM('MSR RAW'!A714),C713)</f>
        <v/>
      </c>
      <c r="D714">
        <f>IF(LEFT(TRIM('MSR RAW'!B714),9)="Location:",TRIM(MID('MSR RAW'!B714,10,999)),D713)</f>
        <v/>
      </c>
      <c r="E714">
        <f>IF(AND(ISNUMBER(SEARCH(" - ",TRIM('MSR RAW'!C714))),RIGHT(TRIM('MSR RAW'!C714),6)="Total:"),LEFT(TRIM('MSR RAW'!C714),SEARCH(" - ",TRIM('MSR RAW'!C714))-1),"")</f>
        <v/>
      </c>
      <c r="F714">
        <f>IF(E714="","",TRIM(MID(TRIM('MSR RAW'!C714),SEARCH(" - ",TRIM('MSR RAW'!C714))+3,LEN(TRIM('MSR RAW'!C714))-SEARCH(" - ",TRIM('MSR RAW'!C714))-9)))</f>
        <v/>
      </c>
      <c r="G714">
        <f>IF(E714="","",IFERROR(VLOOKUP(E714,'CATEGORY MAP'!$A$2:$B$20,2,FALSE()),"REVIEW"))</f>
        <v/>
      </c>
      <c r="H714">
        <f>IF(E714="","",IFERROR(VALUE(SUBSTITUTE('MSR RAW'!P714,",","")),0))</f>
        <v/>
      </c>
      <c r="I714">
        <f>IF(E714="","",IFERROR(VALUE(SUBSTITUTE('MSR RAW'!S714,",","")),0))</f>
        <v/>
      </c>
    </row>
    <row r="715" ht="68.65000000000001" customHeight="1" s="126">
      <c r="A715" t="n">
        <v>715</v>
      </c>
      <c r="B715" s="30">
        <f>IF('MSR RAW'!$A$3="","",'MSR RAW'!$A$3)</f>
        <v/>
      </c>
      <c r="C715">
        <f>IF(LEFT(TRIM('MSR RAW'!A715),11)="Department:",TRIM('MSR RAW'!A715),C714)</f>
        <v/>
      </c>
      <c r="D715">
        <f>IF(LEFT(TRIM('MSR RAW'!B715),9)="Location:",TRIM(MID('MSR RAW'!B715,10,999)),D714)</f>
        <v/>
      </c>
      <c r="E715">
        <f>IF(AND(ISNUMBER(SEARCH(" - ",TRIM('MSR RAW'!C715))),RIGHT(TRIM('MSR RAW'!C715),6)="Total:"),LEFT(TRIM('MSR RAW'!C715),SEARCH(" - ",TRIM('MSR RAW'!C715))-1),"")</f>
        <v/>
      </c>
      <c r="F715">
        <f>IF(E715="","",TRIM(MID(TRIM('MSR RAW'!C715),SEARCH(" - ",TRIM('MSR RAW'!C715))+3,LEN(TRIM('MSR RAW'!C715))-SEARCH(" - ",TRIM('MSR RAW'!C715))-9)))</f>
        <v/>
      </c>
      <c r="G715">
        <f>IF(E715="","",IFERROR(VLOOKUP(E715,'CATEGORY MAP'!$A$2:$B$20,2,FALSE()),"REVIEW"))</f>
        <v/>
      </c>
      <c r="H715">
        <f>IF(E715="","",IFERROR(VALUE(SUBSTITUTE('MSR RAW'!P715,",","")),0))</f>
        <v/>
      </c>
      <c r="I715">
        <f>IF(E715="","",IFERROR(VALUE(SUBSTITUTE('MSR RAW'!S715,",","")),0))</f>
        <v/>
      </c>
    </row>
    <row r="716" ht="68.65000000000001" customHeight="1" s="126">
      <c r="A716" t="n">
        <v>716</v>
      </c>
      <c r="B716" s="30">
        <f>IF('MSR RAW'!$A$3="","",'MSR RAW'!$A$3)</f>
        <v/>
      </c>
      <c r="C716">
        <f>IF(LEFT(TRIM('MSR RAW'!A716),11)="Department:",TRIM('MSR RAW'!A716),C715)</f>
        <v/>
      </c>
      <c r="D716">
        <f>IF(LEFT(TRIM('MSR RAW'!B716),9)="Location:",TRIM(MID('MSR RAW'!B716,10,999)),D715)</f>
        <v/>
      </c>
      <c r="E716">
        <f>IF(AND(ISNUMBER(SEARCH(" - ",TRIM('MSR RAW'!C716))),RIGHT(TRIM('MSR RAW'!C716),6)="Total:"),LEFT(TRIM('MSR RAW'!C716),SEARCH(" - ",TRIM('MSR RAW'!C716))-1),"")</f>
        <v/>
      </c>
      <c r="F716">
        <f>IF(E716="","",TRIM(MID(TRIM('MSR RAW'!C716),SEARCH(" - ",TRIM('MSR RAW'!C716))+3,LEN(TRIM('MSR RAW'!C716))-SEARCH(" - ",TRIM('MSR RAW'!C716))-9)))</f>
        <v/>
      </c>
      <c r="G716">
        <f>IF(E716="","",IFERROR(VLOOKUP(E716,'CATEGORY MAP'!$A$2:$B$20,2,FALSE()),"REVIEW"))</f>
        <v/>
      </c>
      <c r="H716">
        <f>IF(E716="","",IFERROR(VALUE(SUBSTITUTE('MSR RAW'!P716,",","")),0))</f>
        <v/>
      </c>
      <c r="I716">
        <f>IF(E716="","",IFERROR(VALUE(SUBSTITUTE('MSR RAW'!S716,",","")),0))</f>
        <v/>
      </c>
    </row>
    <row r="717" ht="68.65000000000001" customHeight="1" s="126">
      <c r="A717" t="n">
        <v>717</v>
      </c>
      <c r="B717" s="30">
        <f>IF('MSR RAW'!$A$3="","",'MSR RAW'!$A$3)</f>
        <v/>
      </c>
      <c r="C717">
        <f>IF(LEFT(TRIM('MSR RAW'!A717),11)="Department:",TRIM('MSR RAW'!A717),C716)</f>
        <v/>
      </c>
      <c r="D717">
        <f>IF(LEFT(TRIM('MSR RAW'!B717),9)="Location:",TRIM(MID('MSR RAW'!B717,10,999)),D716)</f>
        <v/>
      </c>
      <c r="E717">
        <f>IF(AND(ISNUMBER(SEARCH(" - ",TRIM('MSR RAW'!C717))),RIGHT(TRIM('MSR RAW'!C717),6)="Total:"),LEFT(TRIM('MSR RAW'!C717),SEARCH(" - ",TRIM('MSR RAW'!C717))-1),"")</f>
        <v/>
      </c>
      <c r="F717">
        <f>IF(E717="","",TRIM(MID(TRIM('MSR RAW'!C717),SEARCH(" - ",TRIM('MSR RAW'!C717))+3,LEN(TRIM('MSR RAW'!C717))-SEARCH(" - ",TRIM('MSR RAW'!C717))-9)))</f>
        <v/>
      </c>
      <c r="G717">
        <f>IF(E717="","",IFERROR(VLOOKUP(E717,'CATEGORY MAP'!$A$2:$B$20,2,FALSE()),"REVIEW"))</f>
        <v/>
      </c>
      <c r="H717">
        <f>IF(E717="","",IFERROR(VALUE(SUBSTITUTE('MSR RAW'!P717,",","")),0))</f>
        <v/>
      </c>
      <c r="I717">
        <f>IF(E717="","",IFERROR(VALUE(SUBSTITUTE('MSR RAW'!S717,",","")),0))</f>
        <v/>
      </c>
    </row>
    <row r="718" ht="68.65000000000001" customHeight="1" s="126">
      <c r="A718" t="n">
        <v>718</v>
      </c>
      <c r="B718" s="30">
        <f>IF('MSR RAW'!$A$3="","",'MSR RAW'!$A$3)</f>
        <v/>
      </c>
      <c r="C718">
        <f>IF(LEFT(TRIM('MSR RAW'!A718),11)="Department:",TRIM('MSR RAW'!A718),C717)</f>
        <v/>
      </c>
      <c r="D718">
        <f>IF(LEFT(TRIM('MSR RAW'!B718),9)="Location:",TRIM(MID('MSR RAW'!B718,10,999)),D717)</f>
        <v/>
      </c>
      <c r="E718">
        <f>IF(AND(ISNUMBER(SEARCH(" - ",TRIM('MSR RAW'!C718))),RIGHT(TRIM('MSR RAW'!C718),6)="Total:"),LEFT(TRIM('MSR RAW'!C718),SEARCH(" - ",TRIM('MSR RAW'!C718))-1),"")</f>
        <v/>
      </c>
      <c r="F718">
        <f>IF(E718="","",TRIM(MID(TRIM('MSR RAW'!C718),SEARCH(" - ",TRIM('MSR RAW'!C718))+3,LEN(TRIM('MSR RAW'!C718))-SEARCH(" - ",TRIM('MSR RAW'!C718))-9)))</f>
        <v/>
      </c>
      <c r="G718">
        <f>IF(E718="","",IFERROR(VLOOKUP(E718,'CATEGORY MAP'!$A$2:$B$20,2,FALSE()),"REVIEW"))</f>
        <v/>
      </c>
      <c r="H718">
        <f>IF(E718="","",IFERROR(VALUE(SUBSTITUTE('MSR RAW'!P718,",","")),0))</f>
        <v/>
      </c>
      <c r="I718">
        <f>IF(E718="","",IFERROR(VALUE(SUBSTITUTE('MSR RAW'!S718,",","")),0))</f>
        <v/>
      </c>
    </row>
    <row r="719" ht="68.65000000000001" customHeight="1" s="126">
      <c r="A719" t="n">
        <v>719</v>
      </c>
      <c r="B719" s="30">
        <f>IF('MSR RAW'!$A$3="","",'MSR RAW'!$A$3)</f>
        <v/>
      </c>
      <c r="C719">
        <f>IF(LEFT(TRIM('MSR RAW'!A719),11)="Department:",TRIM('MSR RAW'!A719),C718)</f>
        <v/>
      </c>
      <c r="D719">
        <f>IF(LEFT(TRIM('MSR RAW'!B719),9)="Location:",TRIM(MID('MSR RAW'!B719,10,999)),D718)</f>
        <v/>
      </c>
      <c r="E719">
        <f>IF(AND(ISNUMBER(SEARCH(" - ",TRIM('MSR RAW'!C719))),RIGHT(TRIM('MSR RAW'!C719),6)="Total:"),LEFT(TRIM('MSR RAW'!C719),SEARCH(" - ",TRIM('MSR RAW'!C719))-1),"")</f>
        <v/>
      </c>
      <c r="F719">
        <f>IF(E719="","",TRIM(MID(TRIM('MSR RAW'!C719),SEARCH(" - ",TRIM('MSR RAW'!C719))+3,LEN(TRIM('MSR RAW'!C719))-SEARCH(" - ",TRIM('MSR RAW'!C719))-9)))</f>
        <v/>
      </c>
      <c r="G719">
        <f>IF(E719="","",IFERROR(VLOOKUP(E719,'CATEGORY MAP'!$A$2:$B$20,2,FALSE()),"REVIEW"))</f>
        <v/>
      </c>
      <c r="H719">
        <f>IF(E719="","",IFERROR(VALUE(SUBSTITUTE('MSR RAW'!P719,",","")),0))</f>
        <v/>
      </c>
      <c r="I719">
        <f>IF(E719="","",IFERROR(VALUE(SUBSTITUTE('MSR RAW'!S719,",","")),0))</f>
        <v/>
      </c>
    </row>
    <row r="720" ht="68.65000000000001" customHeight="1" s="126">
      <c r="A720" t="n">
        <v>720</v>
      </c>
      <c r="B720" s="30">
        <f>IF('MSR RAW'!$A$3="","",'MSR RAW'!$A$3)</f>
        <v/>
      </c>
      <c r="C720">
        <f>IF(LEFT(TRIM('MSR RAW'!A720),11)="Department:",TRIM('MSR RAW'!A720),C719)</f>
        <v/>
      </c>
      <c r="D720">
        <f>IF(LEFT(TRIM('MSR RAW'!B720),9)="Location:",TRIM(MID('MSR RAW'!B720,10,999)),D719)</f>
        <v/>
      </c>
      <c r="E720">
        <f>IF(AND(ISNUMBER(SEARCH(" - ",TRIM('MSR RAW'!C720))),RIGHT(TRIM('MSR RAW'!C720),6)="Total:"),LEFT(TRIM('MSR RAW'!C720),SEARCH(" - ",TRIM('MSR RAW'!C720))-1),"")</f>
        <v/>
      </c>
      <c r="F720">
        <f>IF(E720="","",TRIM(MID(TRIM('MSR RAW'!C720),SEARCH(" - ",TRIM('MSR RAW'!C720))+3,LEN(TRIM('MSR RAW'!C720))-SEARCH(" - ",TRIM('MSR RAW'!C720))-9)))</f>
        <v/>
      </c>
      <c r="G720">
        <f>IF(E720="","",IFERROR(VLOOKUP(E720,'CATEGORY MAP'!$A$2:$B$20,2,FALSE()),"REVIEW"))</f>
        <v/>
      </c>
      <c r="H720">
        <f>IF(E720="","",IFERROR(VALUE(SUBSTITUTE('MSR RAW'!P720,",","")),0))</f>
        <v/>
      </c>
      <c r="I720">
        <f>IF(E720="","",IFERROR(VALUE(SUBSTITUTE('MSR RAW'!S720,",","")),0))</f>
        <v/>
      </c>
    </row>
    <row r="721" ht="68.65000000000001" customHeight="1" s="126">
      <c r="A721" t="n">
        <v>721</v>
      </c>
      <c r="B721" s="30">
        <f>IF('MSR RAW'!$A$3="","",'MSR RAW'!$A$3)</f>
        <v/>
      </c>
      <c r="C721">
        <f>IF(LEFT(TRIM('MSR RAW'!A721),11)="Department:",TRIM('MSR RAW'!A721),C720)</f>
        <v/>
      </c>
      <c r="D721">
        <f>IF(LEFT(TRIM('MSR RAW'!B721),9)="Location:",TRIM(MID('MSR RAW'!B721,10,999)),D720)</f>
        <v/>
      </c>
      <c r="E721">
        <f>IF(AND(ISNUMBER(SEARCH(" - ",TRIM('MSR RAW'!C721))),RIGHT(TRIM('MSR RAW'!C721),6)="Total:"),LEFT(TRIM('MSR RAW'!C721),SEARCH(" - ",TRIM('MSR RAW'!C721))-1),"")</f>
        <v/>
      </c>
      <c r="F721">
        <f>IF(E721="","",TRIM(MID(TRIM('MSR RAW'!C721),SEARCH(" - ",TRIM('MSR RAW'!C721))+3,LEN(TRIM('MSR RAW'!C721))-SEARCH(" - ",TRIM('MSR RAW'!C721))-9)))</f>
        <v/>
      </c>
      <c r="G721">
        <f>IF(E721="","",IFERROR(VLOOKUP(E721,'CATEGORY MAP'!$A$2:$B$20,2,FALSE()),"REVIEW"))</f>
        <v/>
      </c>
      <c r="H721">
        <f>IF(E721="","",IFERROR(VALUE(SUBSTITUTE('MSR RAW'!P721,",","")),0))</f>
        <v/>
      </c>
      <c r="I721">
        <f>IF(E721="","",IFERROR(VALUE(SUBSTITUTE('MSR RAW'!S721,",","")),0))</f>
        <v/>
      </c>
    </row>
    <row r="722" ht="68.65000000000001" customHeight="1" s="126">
      <c r="A722" t="n">
        <v>722</v>
      </c>
      <c r="B722" s="30">
        <f>IF('MSR RAW'!$A$3="","",'MSR RAW'!$A$3)</f>
        <v/>
      </c>
      <c r="C722">
        <f>IF(LEFT(TRIM('MSR RAW'!A722),11)="Department:",TRIM('MSR RAW'!A722),C721)</f>
        <v/>
      </c>
      <c r="D722">
        <f>IF(LEFT(TRIM('MSR RAW'!B722),9)="Location:",TRIM(MID('MSR RAW'!B722,10,999)),D721)</f>
        <v/>
      </c>
      <c r="E722">
        <f>IF(AND(ISNUMBER(SEARCH(" - ",TRIM('MSR RAW'!C722))),RIGHT(TRIM('MSR RAW'!C722),6)="Total:"),LEFT(TRIM('MSR RAW'!C722),SEARCH(" - ",TRIM('MSR RAW'!C722))-1),"")</f>
        <v/>
      </c>
      <c r="F722">
        <f>IF(E722="","",TRIM(MID(TRIM('MSR RAW'!C722),SEARCH(" - ",TRIM('MSR RAW'!C722))+3,LEN(TRIM('MSR RAW'!C722))-SEARCH(" - ",TRIM('MSR RAW'!C722))-9)))</f>
        <v/>
      </c>
      <c r="G722">
        <f>IF(E722="","",IFERROR(VLOOKUP(E722,'CATEGORY MAP'!$A$2:$B$20,2,FALSE()),"REVIEW"))</f>
        <v/>
      </c>
      <c r="H722">
        <f>IF(E722="","",IFERROR(VALUE(SUBSTITUTE('MSR RAW'!P722,",","")),0))</f>
        <v/>
      </c>
      <c r="I722">
        <f>IF(E722="","",IFERROR(VALUE(SUBSTITUTE('MSR RAW'!S722,",","")),0))</f>
        <v/>
      </c>
    </row>
    <row r="723" ht="68.65000000000001" customHeight="1" s="126">
      <c r="A723" t="n">
        <v>723</v>
      </c>
      <c r="B723" s="30">
        <f>IF('MSR RAW'!$A$3="","",'MSR RAW'!$A$3)</f>
        <v/>
      </c>
      <c r="C723">
        <f>IF(LEFT(TRIM('MSR RAW'!A723),11)="Department:",TRIM('MSR RAW'!A723),C722)</f>
        <v/>
      </c>
      <c r="D723">
        <f>IF(LEFT(TRIM('MSR RAW'!B723),9)="Location:",TRIM(MID('MSR RAW'!B723,10,999)),D722)</f>
        <v/>
      </c>
      <c r="E723">
        <f>IF(AND(ISNUMBER(SEARCH(" - ",TRIM('MSR RAW'!C723))),RIGHT(TRIM('MSR RAW'!C723),6)="Total:"),LEFT(TRIM('MSR RAW'!C723),SEARCH(" - ",TRIM('MSR RAW'!C723))-1),"")</f>
        <v/>
      </c>
      <c r="F723">
        <f>IF(E723="","",TRIM(MID(TRIM('MSR RAW'!C723),SEARCH(" - ",TRIM('MSR RAW'!C723))+3,LEN(TRIM('MSR RAW'!C723))-SEARCH(" - ",TRIM('MSR RAW'!C723))-9)))</f>
        <v/>
      </c>
      <c r="G723">
        <f>IF(E723="","",IFERROR(VLOOKUP(E723,'CATEGORY MAP'!$A$2:$B$20,2,FALSE()),"REVIEW"))</f>
        <v/>
      </c>
      <c r="H723">
        <f>IF(E723="","",IFERROR(VALUE(SUBSTITUTE('MSR RAW'!P723,",","")),0))</f>
        <v/>
      </c>
      <c r="I723">
        <f>IF(E723="","",IFERROR(VALUE(SUBSTITUTE('MSR RAW'!S723,",","")),0))</f>
        <v/>
      </c>
    </row>
    <row r="724" ht="68.65000000000001" customHeight="1" s="126">
      <c r="A724" t="n">
        <v>724</v>
      </c>
      <c r="B724" s="30">
        <f>IF('MSR RAW'!$A$3="","",'MSR RAW'!$A$3)</f>
        <v/>
      </c>
      <c r="C724">
        <f>IF(LEFT(TRIM('MSR RAW'!A724),11)="Department:",TRIM('MSR RAW'!A724),C723)</f>
        <v/>
      </c>
      <c r="D724">
        <f>IF(LEFT(TRIM('MSR RAW'!B724),9)="Location:",TRIM(MID('MSR RAW'!B724,10,999)),D723)</f>
        <v/>
      </c>
      <c r="E724">
        <f>IF(AND(ISNUMBER(SEARCH(" - ",TRIM('MSR RAW'!C724))),RIGHT(TRIM('MSR RAW'!C724),6)="Total:"),LEFT(TRIM('MSR RAW'!C724),SEARCH(" - ",TRIM('MSR RAW'!C724))-1),"")</f>
        <v/>
      </c>
      <c r="F724">
        <f>IF(E724="","",TRIM(MID(TRIM('MSR RAW'!C724),SEARCH(" - ",TRIM('MSR RAW'!C724))+3,LEN(TRIM('MSR RAW'!C724))-SEARCH(" - ",TRIM('MSR RAW'!C724))-9)))</f>
        <v/>
      </c>
      <c r="G724">
        <f>IF(E724="","",IFERROR(VLOOKUP(E724,'CATEGORY MAP'!$A$2:$B$20,2,FALSE()),"REVIEW"))</f>
        <v/>
      </c>
      <c r="H724">
        <f>IF(E724="","",IFERROR(VALUE(SUBSTITUTE('MSR RAW'!P724,",","")),0))</f>
        <v/>
      </c>
      <c r="I724">
        <f>IF(E724="","",IFERROR(VALUE(SUBSTITUTE('MSR RAW'!S724,",","")),0))</f>
        <v/>
      </c>
    </row>
    <row r="725" ht="68.65000000000001" customHeight="1" s="126">
      <c r="A725" t="n">
        <v>725</v>
      </c>
      <c r="B725" s="30">
        <f>IF('MSR RAW'!$A$3="","",'MSR RAW'!$A$3)</f>
        <v/>
      </c>
      <c r="C725">
        <f>IF(LEFT(TRIM('MSR RAW'!A725),11)="Department:",TRIM('MSR RAW'!A725),C724)</f>
        <v/>
      </c>
      <c r="D725">
        <f>IF(LEFT(TRIM('MSR RAW'!B725),9)="Location:",TRIM(MID('MSR RAW'!B725,10,999)),D724)</f>
        <v/>
      </c>
      <c r="E725">
        <f>IF(AND(ISNUMBER(SEARCH(" - ",TRIM('MSR RAW'!C725))),RIGHT(TRIM('MSR RAW'!C725),6)="Total:"),LEFT(TRIM('MSR RAW'!C725),SEARCH(" - ",TRIM('MSR RAW'!C725))-1),"")</f>
        <v/>
      </c>
      <c r="F725">
        <f>IF(E725="","",TRIM(MID(TRIM('MSR RAW'!C725),SEARCH(" - ",TRIM('MSR RAW'!C725))+3,LEN(TRIM('MSR RAW'!C725))-SEARCH(" - ",TRIM('MSR RAW'!C725))-9)))</f>
        <v/>
      </c>
      <c r="G725">
        <f>IF(E725="","",IFERROR(VLOOKUP(E725,'CATEGORY MAP'!$A$2:$B$20,2,FALSE()),"REVIEW"))</f>
        <v/>
      </c>
      <c r="H725">
        <f>IF(E725="","",IFERROR(VALUE(SUBSTITUTE('MSR RAW'!P725,",","")),0))</f>
        <v/>
      </c>
      <c r="I725">
        <f>IF(E725="","",IFERROR(VALUE(SUBSTITUTE('MSR RAW'!S725,",","")),0))</f>
        <v/>
      </c>
    </row>
    <row r="726" ht="68.65000000000001" customHeight="1" s="126">
      <c r="A726" t="n">
        <v>726</v>
      </c>
      <c r="B726" s="30">
        <f>IF('MSR RAW'!$A$3="","",'MSR RAW'!$A$3)</f>
        <v/>
      </c>
      <c r="C726">
        <f>IF(LEFT(TRIM('MSR RAW'!A726),11)="Department:",TRIM('MSR RAW'!A726),C725)</f>
        <v/>
      </c>
      <c r="D726">
        <f>IF(LEFT(TRIM('MSR RAW'!B726),9)="Location:",TRIM(MID('MSR RAW'!B726,10,999)),D725)</f>
        <v/>
      </c>
      <c r="E726">
        <f>IF(AND(ISNUMBER(SEARCH(" - ",TRIM('MSR RAW'!C726))),RIGHT(TRIM('MSR RAW'!C726),6)="Total:"),LEFT(TRIM('MSR RAW'!C726),SEARCH(" - ",TRIM('MSR RAW'!C726))-1),"")</f>
        <v/>
      </c>
      <c r="F726">
        <f>IF(E726="","",TRIM(MID(TRIM('MSR RAW'!C726),SEARCH(" - ",TRIM('MSR RAW'!C726))+3,LEN(TRIM('MSR RAW'!C726))-SEARCH(" - ",TRIM('MSR RAW'!C726))-9)))</f>
        <v/>
      </c>
      <c r="G726">
        <f>IF(E726="","",IFERROR(VLOOKUP(E726,'CATEGORY MAP'!$A$2:$B$20,2,FALSE()),"REVIEW"))</f>
        <v/>
      </c>
      <c r="H726">
        <f>IF(E726="","",IFERROR(VALUE(SUBSTITUTE('MSR RAW'!P726,",","")),0))</f>
        <v/>
      </c>
      <c r="I726">
        <f>IF(E726="","",IFERROR(VALUE(SUBSTITUTE('MSR RAW'!S726,",","")),0))</f>
        <v/>
      </c>
    </row>
    <row r="727" ht="68.65000000000001" customHeight="1" s="126">
      <c r="A727" t="n">
        <v>727</v>
      </c>
      <c r="B727" s="30">
        <f>IF('MSR RAW'!$A$3="","",'MSR RAW'!$A$3)</f>
        <v/>
      </c>
      <c r="C727">
        <f>IF(LEFT(TRIM('MSR RAW'!A727),11)="Department:",TRIM('MSR RAW'!A727),C726)</f>
        <v/>
      </c>
      <c r="D727">
        <f>IF(LEFT(TRIM('MSR RAW'!B727),9)="Location:",TRIM(MID('MSR RAW'!B727,10,999)),D726)</f>
        <v/>
      </c>
      <c r="E727">
        <f>IF(AND(ISNUMBER(SEARCH(" - ",TRIM('MSR RAW'!C727))),RIGHT(TRIM('MSR RAW'!C727),6)="Total:"),LEFT(TRIM('MSR RAW'!C727),SEARCH(" - ",TRIM('MSR RAW'!C727))-1),"")</f>
        <v/>
      </c>
      <c r="F727">
        <f>IF(E727="","",TRIM(MID(TRIM('MSR RAW'!C727),SEARCH(" - ",TRIM('MSR RAW'!C727))+3,LEN(TRIM('MSR RAW'!C727))-SEARCH(" - ",TRIM('MSR RAW'!C727))-9)))</f>
        <v/>
      </c>
      <c r="G727">
        <f>IF(E727="","",IFERROR(VLOOKUP(E727,'CATEGORY MAP'!$A$2:$B$20,2,FALSE()),"REVIEW"))</f>
        <v/>
      </c>
      <c r="H727">
        <f>IF(E727="","",IFERROR(VALUE(SUBSTITUTE('MSR RAW'!P727,",","")),0))</f>
        <v/>
      </c>
      <c r="I727">
        <f>IF(E727="","",IFERROR(VALUE(SUBSTITUTE('MSR RAW'!S727,",","")),0))</f>
        <v/>
      </c>
    </row>
    <row r="728" ht="68.65000000000001" customHeight="1" s="126">
      <c r="A728" t="n">
        <v>728</v>
      </c>
      <c r="B728" s="30">
        <f>IF('MSR RAW'!$A$3="","",'MSR RAW'!$A$3)</f>
        <v/>
      </c>
      <c r="C728">
        <f>IF(LEFT(TRIM('MSR RAW'!A728),11)="Department:",TRIM('MSR RAW'!A728),C727)</f>
        <v/>
      </c>
      <c r="D728">
        <f>IF(LEFT(TRIM('MSR RAW'!B728),9)="Location:",TRIM(MID('MSR RAW'!B728,10,999)),D727)</f>
        <v/>
      </c>
      <c r="E728">
        <f>IF(AND(ISNUMBER(SEARCH(" - ",TRIM('MSR RAW'!C728))),RIGHT(TRIM('MSR RAW'!C728),6)="Total:"),LEFT(TRIM('MSR RAW'!C728),SEARCH(" - ",TRIM('MSR RAW'!C728))-1),"")</f>
        <v/>
      </c>
      <c r="F728">
        <f>IF(E728="","",TRIM(MID(TRIM('MSR RAW'!C728),SEARCH(" - ",TRIM('MSR RAW'!C728))+3,LEN(TRIM('MSR RAW'!C728))-SEARCH(" - ",TRIM('MSR RAW'!C728))-9)))</f>
        <v/>
      </c>
      <c r="G728">
        <f>IF(E728="","",IFERROR(VLOOKUP(E728,'CATEGORY MAP'!$A$2:$B$20,2,FALSE()),"REVIEW"))</f>
        <v/>
      </c>
      <c r="H728">
        <f>IF(E728="","",IFERROR(VALUE(SUBSTITUTE('MSR RAW'!P728,",","")),0))</f>
        <v/>
      </c>
      <c r="I728">
        <f>IF(E728="","",IFERROR(VALUE(SUBSTITUTE('MSR RAW'!S728,",","")),0))</f>
        <v/>
      </c>
    </row>
    <row r="729" ht="68.65000000000001" customHeight="1" s="126">
      <c r="A729" t="n">
        <v>729</v>
      </c>
      <c r="B729" s="30">
        <f>IF('MSR RAW'!$A$3="","",'MSR RAW'!$A$3)</f>
        <v/>
      </c>
      <c r="C729">
        <f>IF(LEFT(TRIM('MSR RAW'!A729),11)="Department:",TRIM('MSR RAW'!A729),C728)</f>
        <v/>
      </c>
      <c r="D729">
        <f>IF(LEFT(TRIM('MSR RAW'!B729),9)="Location:",TRIM(MID('MSR RAW'!B729,10,999)),D728)</f>
        <v/>
      </c>
      <c r="E729">
        <f>IF(AND(ISNUMBER(SEARCH(" - ",TRIM('MSR RAW'!C729))),RIGHT(TRIM('MSR RAW'!C729),6)="Total:"),LEFT(TRIM('MSR RAW'!C729),SEARCH(" - ",TRIM('MSR RAW'!C729))-1),"")</f>
        <v/>
      </c>
      <c r="F729">
        <f>IF(E729="","",TRIM(MID(TRIM('MSR RAW'!C729),SEARCH(" - ",TRIM('MSR RAW'!C729))+3,LEN(TRIM('MSR RAW'!C729))-SEARCH(" - ",TRIM('MSR RAW'!C729))-9)))</f>
        <v/>
      </c>
      <c r="G729">
        <f>IF(E729="","",IFERROR(VLOOKUP(E729,'CATEGORY MAP'!$A$2:$B$20,2,FALSE()),"REVIEW"))</f>
        <v/>
      </c>
      <c r="H729">
        <f>IF(E729="","",IFERROR(VALUE(SUBSTITUTE('MSR RAW'!P729,",","")),0))</f>
        <v/>
      </c>
      <c r="I729">
        <f>IF(E729="","",IFERROR(VALUE(SUBSTITUTE('MSR RAW'!S729,",","")),0))</f>
        <v/>
      </c>
    </row>
    <row r="730" ht="68.65000000000001" customHeight="1" s="126">
      <c r="A730" t="n">
        <v>730</v>
      </c>
      <c r="B730" s="30">
        <f>IF('MSR RAW'!$A$3="","",'MSR RAW'!$A$3)</f>
        <v/>
      </c>
      <c r="C730">
        <f>IF(LEFT(TRIM('MSR RAW'!A730),11)="Department:",TRIM('MSR RAW'!A730),C729)</f>
        <v/>
      </c>
      <c r="D730">
        <f>IF(LEFT(TRIM('MSR RAW'!B730),9)="Location:",TRIM(MID('MSR RAW'!B730,10,999)),D729)</f>
        <v/>
      </c>
      <c r="E730">
        <f>IF(AND(ISNUMBER(SEARCH(" - ",TRIM('MSR RAW'!C730))),RIGHT(TRIM('MSR RAW'!C730),6)="Total:"),LEFT(TRIM('MSR RAW'!C730),SEARCH(" - ",TRIM('MSR RAW'!C730))-1),"")</f>
        <v/>
      </c>
      <c r="F730">
        <f>IF(E730="","",TRIM(MID(TRIM('MSR RAW'!C730),SEARCH(" - ",TRIM('MSR RAW'!C730))+3,LEN(TRIM('MSR RAW'!C730))-SEARCH(" - ",TRIM('MSR RAW'!C730))-9)))</f>
        <v/>
      </c>
      <c r="G730">
        <f>IF(E730="","",IFERROR(VLOOKUP(E730,'CATEGORY MAP'!$A$2:$B$20,2,FALSE()),"REVIEW"))</f>
        <v/>
      </c>
      <c r="H730">
        <f>IF(E730="","",IFERROR(VALUE(SUBSTITUTE('MSR RAW'!P730,",","")),0))</f>
        <v/>
      </c>
      <c r="I730">
        <f>IF(E730="","",IFERROR(VALUE(SUBSTITUTE('MSR RAW'!S730,",","")),0))</f>
        <v/>
      </c>
    </row>
    <row r="731" ht="68.65000000000001" customHeight="1" s="126">
      <c r="A731" t="n">
        <v>731</v>
      </c>
      <c r="B731" s="30">
        <f>IF('MSR RAW'!$A$3="","",'MSR RAW'!$A$3)</f>
        <v/>
      </c>
      <c r="C731">
        <f>IF(LEFT(TRIM('MSR RAW'!A731),11)="Department:",TRIM('MSR RAW'!A731),C730)</f>
        <v/>
      </c>
      <c r="D731">
        <f>IF(LEFT(TRIM('MSR RAW'!B731),9)="Location:",TRIM(MID('MSR RAW'!B731,10,999)),D730)</f>
        <v/>
      </c>
      <c r="E731">
        <f>IF(AND(ISNUMBER(SEARCH(" - ",TRIM('MSR RAW'!C731))),RIGHT(TRIM('MSR RAW'!C731),6)="Total:"),LEFT(TRIM('MSR RAW'!C731),SEARCH(" - ",TRIM('MSR RAW'!C731))-1),"")</f>
        <v/>
      </c>
      <c r="F731">
        <f>IF(E731="","",TRIM(MID(TRIM('MSR RAW'!C731),SEARCH(" - ",TRIM('MSR RAW'!C731))+3,LEN(TRIM('MSR RAW'!C731))-SEARCH(" - ",TRIM('MSR RAW'!C731))-9)))</f>
        <v/>
      </c>
      <c r="G731">
        <f>IF(E731="","",IFERROR(VLOOKUP(E731,'CATEGORY MAP'!$A$2:$B$20,2,FALSE()),"REVIEW"))</f>
        <v/>
      </c>
      <c r="H731">
        <f>IF(E731="","",IFERROR(VALUE(SUBSTITUTE('MSR RAW'!P731,",","")),0))</f>
        <v/>
      </c>
      <c r="I731">
        <f>IF(E731="","",IFERROR(VALUE(SUBSTITUTE('MSR RAW'!S731,",","")),0))</f>
        <v/>
      </c>
    </row>
    <row r="732" ht="68.65000000000001" customHeight="1" s="126">
      <c r="A732" t="n">
        <v>732</v>
      </c>
      <c r="B732" s="30">
        <f>IF('MSR RAW'!$A$3="","",'MSR RAW'!$A$3)</f>
        <v/>
      </c>
      <c r="C732">
        <f>IF(LEFT(TRIM('MSR RAW'!A732),11)="Department:",TRIM('MSR RAW'!A732),C731)</f>
        <v/>
      </c>
      <c r="D732">
        <f>IF(LEFT(TRIM('MSR RAW'!B732),9)="Location:",TRIM(MID('MSR RAW'!B732,10,999)),D731)</f>
        <v/>
      </c>
      <c r="E732">
        <f>IF(AND(ISNUMBER(SEARCH(" - ",TRIM('MSR RAW'!C732))),RIGHT(TRIM('MSR RAW'!C732),6)="Total:"),LEFT(TRIM('MSR RAW'!C732),SEARCH(" - ",TRIM('MSR RAW'!C732))-1),"")</f>
        <v/>
      </c>
      <c r="F732">
        <f>IF(E732="","",TRIM(MID(TRIM('MSR RAW'!C732),SEARCH(" - ",TRIM('MSR RAW'!C732))+3,LEN(TRIM('MSR RAW'!C732))-SEARCH(" - ",TRIM('MSR RAW'!C732))-9)))</f>
        <v/>
      </c>
      <c r="G732">
        <f>IF(E732="","",IFERROR(VLOOKUP(E732,'CATEGORY MAP'!$A$2:$B$20,2,FALSE()),"REVIEW"))</f>
        <v/>
      </c>
      <c r="H732">
        <f>IF(E732="","",IFERROR(VALUE(SUBSTITUTE('MSR RAW'!P732,",","")),0))</f>
        <v/>
      </c>
      <c r="I732">
        <f>IF(E732="","",IFERROR(VALUE(SUBSTITUTE('MSR RAW'!S732,",","")),0))</f>
        <v/>
      </c>
    </row>
    <row r="733" ht="68.65000000000001" customHeight="1" s="126">
      <c r="A733" t="n">
        <v>733</v>
      </c>
      <c r="B733" s="30">
        <f>IF('MSR RAW'!$A$3="","",'MSR RAW'!$A$3)</f>
        <v/>
      </c>
      <c r="C733">
        <f>IF(LEFT(TRIM('MSR RAW'!A733),11)="Department:",TRIM('MSR RAW'!A733),C732)</f>
        <v/>
      </c>
      <c r="D733">
        <f>IF(LEFT(TRIM('MSR RAW'!B733),9)="Location:",TRIM(MID('MSR RAW'!B733,10,999)),D732)</f>
        <v/>
      </c>
      <c r="E733">
        <f>IF(AND(ISNUMBER(SEARCH(" - ",TRIM('MSR RAW'!C733))),RIGHT(TRIM('MSR RAW'!C733),6)="Total:"),LEFT(TRIM('MSR RAW'!C733),SEARCH(" - ",TRIM('MSR RAW'!C733))-1),"")</f>
        <v/>
      </c>
      <c r="F733">
        <f>IF(E733="","",TRIM(MID(TRIM('MSR RAW'!C733),SEARCH(" - ",TRIM('MSR RAW'!C733))+3,LEN(TRIM('MSR RAW'!C733))-SEARCH(" - ",TRIM('MSR RAW'!C733))-9)))</f>
        <v/>
      </c>
      <c r="G733">
        <f>IF(E733="","",IFERROR(VLOOKUP(E733,'CATEGORY MAP'!$A$2:$B$20,2,FALSE()),"REVIEW"))</f>
        <v/>
      </c>
      <c r="H733">
        <f>IF(E733="","",IFERROR(VALUE(SUBSTITUTE('MSR RAW'!P733,",","")),0))</f>
        <v/>
      </c>
      <c r="I733">
        <f>IF(E733="","",IFERROR(VALUE(SUBSTITUTE('MSR RAW'!S733,",","")),0))</f>
        <v/>
      </c>
    </row>
    <row r="734" ht="68.65000000000001" customHeight="1" s="126">
      <c r="A734" t="n">
        <v>734</v>
      </c>
      <c r="B734" s="30">
        <f>IF('MSR RAW'!$A$3="","",'MSR RAW'!$A$3)</f>
        <v/>
      </c>
      <c r="C734">
        <f>IF(LEFT(TRIM('MSR RAW'!A734),11)="Department:",TRIM('MSR RAW'!A734),C733)</f>
        <v/>
      </c>
      <c r="D734">
        <f>IF(LEFT(TRIM('MSR RAW'!B734),9)="Location:",TRIM(MID('MSR RAW'!B734,10,999)),D733)</f>
        <v/>
      </c>
      <c r="E734">
        <f>IF(AND(ISNUMBER(SEARCH(" - ",TRIM('MSR RAW'!C734))),RIGHT(TRIM('MSR RAW'!C734),6)="Total:"),LEFT(TRIM('MSR RAW'!C734),SEARCH(" - ",TRIM('MSR RAW'!C734))-1),"")</f>
        <v/>
      </c>
      <c r="F734">
        <f>IF(E734="","",TRIM(MID(TRIM('MSR RAW'!C734),SEARCH(" - ",TRIM('MSR RAW'!C734))+3,LEN(TRIM('MSR RAW'!C734))-SEARCH(" - ",TRIM('MSR RAW'!C734))-9)))</f>
        <v/>
      </c>
      <c r="G734">
        <f>IF(E734="","",IFERROR(VLOOKUP(E734,'CATEGORY MAP'!$A$2:$B$20,2,FALSE()),"REVIEW"))</f>
        <v/>
      </c>
      <c r="H734">
        <f>IF(E734="","",IFERROR(VALUE(SUBSTITUTE('MSR RAW'!P734,",","")),0))</f>
        <v/>
      </c>
      <c r="I734">
        <f>IF(E734="","",IFERROR(VALUE(SUBSTITUTE('MSR RAW'!S734,",","")),0))</f>
        <v/>
      </c>
    </row>
    <row r="735" ht="68.65000000000001" customHeight="1" s="126">
      <c r="A735" t="n">
        <v>735</v>
      </c>
      <c r="B735" s="30">
        <f>IF('MSR RAW'!$A$3="","",'MSR RAW'!$A$3)</f>
        <v/>
      </c>
      <c r="C735">
        <f>IF(LEFT(TRIM('MSR RAW'!A735),11)="Department:",TRIM('MSR RAW'!A735),C734)</f>
        <v/>
      </c>
      <c r="D735">
        <f>IF(LEFT(TRIM('MSR RAW'!B735),9)="Location:",TRIM(MID('MSR RAW'!B735,10,999)),D734)</f>
        <v/>
      </c>
      <c r="E735">
        <f>IF(AND(ISNUMBER(SEARCH(" - ",TRIM('MSR RAW'!C735))),RIGHT(TRIM('MSR RAW'!C735),6)="Total:"),LEFT(TRIM('MSR RAW'!C735),SEARCH(" - ",TRIM('MSR RAW'!C735))-1),"")</f>
        <v/>
      </c>
      <c r="F735">
        <f>IF(E735="","",TRIM(MID(TRIM('MSR RAW'!C735),SEARCH(" - ",TRIM('MSR RAW'!C735))+3,LEN(TRIM('MSR RAW'!C735))-SEARCH(" - ",TRIM('MSR RAW'!C735))-9)))</f>
        <v/>
      </c>
      <c r="G735">
        <f>IF(E735="","",IFERROR(VLOOKUP(E735,'CATEGORY MAP'!$A$2:$B$20,2,FALSE()),"REVIEW"))</f>
        <v/>
      </c>
      <c r="H735">
        <f>IF(E735="","",IFERROR(VALUE(SUBSTITUTE('MSR RAW'!P735,",","")),0))</f>
        <v/>
      </c>
      <c r="I735">
        <f>IF(E735="","",IFERROR(VALUE(SUBSTITUTE('MSR RAW'!S735,",","")),0))</f>
        <v/>
      </c>
    </row>
    <row r="736" ht="68.65000000000001" customHeight="1" s="126">
      <c r="A736" t="n">
        <v>736</v>
      </c>
      <c r="B736" s="30">
        <f>IF('MSR RAW'!$A$3="","",'MSR RAW'!$A$3)</f>
        <v/>
      </c>
      <c r="C736">
        <f>IF(LEFT(TRIM('MSR RAW'!A736),11)="Department:",TRIM('MSR RAW'!A736),C735)</f>
        <v/>
      </c>
      <c r="D736">
        <f>IF(LEFT(TRIM('MSR RAW'!B736),9)="Location:",TRIM(MID('MSR RAW'!B736,10,999)),D735)</f>
        <v/>
      </c>
      <c r="E736">
        <f>IF(AND(ISNUMBER(SEARCH(" - ",TRIM('MSR RAW'!C736))),RIGHT(TRIM('MSR RAW'!C736),6)="Total:"),LEFT(TRIM('MSR RAW'!C736),SEARCH(" - ",TRIM('MSR RAW'!C736))-1),"")</f>
        <v/>
      </c>
      <c r="F736">
        <f>IF(E736="","",TRIM(MID(TRIM('MSR RAW'!C736),SEARCH(" - ",TRIM('MSR RAW'!C736))+3,LEN(TRIM('MSR RAW'!C736))-SEARCH(" - ",TRIM('MSR RAW'!C736))-9)))</f>
        <v/>
      </c>
      <c r="G736">
        <f>IF(E736="","",IFERROR(VLOOKUP(E736,'CATEGORY MAP'!$A$2:$B$20,2,FALSE()),"REVIEW"))</f>
        <v/>
      </c>
      <c r="H736">
        <f>IF(E736="","",IFERROR(VALUE(SUBSTITUTE('MSR RAW'!P736,",","")),0))</f>
        <v/>
      </c>
      <c r="I736">
        <f>IF(E736="","",IFERROR(VALUE(SUBSTITUTE('MSR RAW'!S736,",","")),0))</f>
        <v/>
      </c>
    </row>
    <row r="737" ht="68.65000000000001" customHeight="1" s="126">
      <c r="A737" t="n">
        <v>737</v>
      </c>
      <c r="B737" s="30">
        <f>IF('MSR RAW'!$A$3="","",'MSR RAW'!$A$3)</f>
        <v/>
      </c>
      <c r="C737">
        <f>IF(LEFT(TRIM('MSR RAW'!A737),11)="Department:",TRIM('MSR RAW'!A737),C736)</f>
        <v/>
      </c>
      <c r="D737">
        <f>IF(LEFT(TRIM('MSR RAW'!B737),9)="Location:",TRIM(MID('MSR RAW'!B737,10,999)),D736)</f>
        <v/>
      </c>
      <c r="E737">
        <f>IF(AND(ISNUMBER(SEARCH(" - ",TRIM('MSR RAW'!C737))),RIGHT(TRIM('MSR RAW'!C737),6)="Total:"),LEFT(TRIM('MSR RAW'!C737),SEARCH(" - ",TRIM('MSR RAW'!C737))-1),"")</f>
        <v/>
      </c>
      <c r="F737">
        <f>IF(E737="","",TRIM(MID(TRIM('MSR RAW'!C737),SEARCH(" - ",TRIM('MSR RAW'!C737))+3,LEN(TRIM('MSR RAW'!C737))-SEARCH(" - ",TRIM('MSR RAW'!C737))-9)))</f>
        <v/>
      </c>
      <c r="G737">
        <f>IF(E737="","",IFERROR(VLOOKUP(E737,'CATEGORY MAP'!$A$2:$B$20,2,FALSE()),"REVIEW"))</f>
        <v/>
      </c>
      <c r="H737">
        <f>IF(E737="","",IFERROR(VALUE(SUBSTITUTE('MSR RAW'!P737,",","")),0))</f>
        <v/>
      </c>
      <c r="I737">
        <f>IF(E737="","",IFERROR(VALUE(SUBSTITUTE('MSR RAW'!S737,",","")),0))</f>
        <v/>
      </c>
    </row>
    <row r="738" ht="68.65000000000001" customHeight="1" s="126">
      <c r="A738" t="n">
        <v>738</v>
      </c>
      <c r="B738" s="30">
        <f>IF('MSR RAW'!$A$3="","",'MSR RAW'!$A$3)</f>
        <v/>
      </c>
      <c r="C738">
        <f>IF(LEFT(TRIM('MSR RAW'!A738),11)="Department:",TRIM('MSR RAW'!A738),C737)</f>
        <v/>
      </c>
      <c r="D738">
        <f>IF(LEFT(TRIM('MSR RAW'!B738),9)="Location:",TRIM(MID('MSR RAW'!B738,10,999)),D737)</f>
        <v/>
      </c>
      <c r="E738">
        <f>IF(AND(ISNUMBER(SEARCH(" - ",TRIM('MSR RAW'!C738))),RIGHT(TRIM('MSR RAW'!C738),6)="Total:"),LEFT(TRIM('MSR RAW'!C738),SEARCH(" - ",TRIM('MSR RAW'!C738))-1),"")</f>
        <v/>
      </c>
      <c r="F738">
        <f>IF(E738="","",TRIM(MID(TRIM('MSR RAW'!C738),SEARCH(" - ",TRIM('MSR RAW'!C738))+3,LEN(TRIM('MSR RAW'!C738))-SEARCH(" - ",TRIM('MSR RAW'!C738))-9)))</f>
        <v/>
      </c>
      <c r="G738">
        <f>IF(E738="","",IFERROR(VLOOKUP(E738,'CATEGORY MAP'!$A$2:$B$20,2,FALSE()),"REVIEW"))</f>
        <v/>
      </c>
      <c r="H738">
        <f>IF(E738="","",IFERROR(VALUE(SUBSTITUTE('MSR RAW'!P738,",","")),0))</f>
        <v/>
      </c>
      <c r="I738">
        <f>IF(E738="","",IFERROR(VALUE(SUBSTITUTE('MSR RAW'!S738,",","")),0))</f>
        <v/>
      </c>
    </row>
    <row r="739" ht="68.65000000000001" customHeight="1" s="126">
      <c r="A739" t="n">
        <v>739</v>
      </c>
      <c r="B739" s="30">
        <f>IF('MSR RAW'!$A$3="","",'MSR RAW'!$A$3)</f>
        <v/>
      </c>
      <c r="C739">
        <f>IF(LEFT(TRIM('MSR RAW'!A739),11)="Department:",TRIM('MSR RAW'!A739),C738)</f>
        <v/>
      </c>
      <c r="D739">
        <f>IF(LEFT(TRIM('MSR RAW'!B739),9)="Location:",TRIM(MID('MSR RAW'!B739,10,999)),D738)</f>
        <v/>
      </c>
      <c r="E739">
        <f>IF(AND(ISNUMBER(SEARCH(" - ",TRIM('MSR RAW'!C739))),RIGHT(TRIM('MSR RAW'!C739),6)="Total:"),LEFT(TRIM('MSR RAW'!C739),SEARCH(" - ",TRIM('MSR RAW'!C739))-1),"")</f>
        <v/>
      </c>
      <c r="F739">
        <f>IF(E739="","",TRIM(MID(TRIM('MSR RAW'!C739),SEARCH(" - ",TRIM('MSR RAW'!C739))+3,LEN(TRIM('MSR RAW'!C739))-SEARCH(" - ",TRIM('MSR RAW'!C739))-9)))</f>
        <v/>
      </c>
      <c r="G739">
        <f>IF(E739="","",IFERROR(VLOOKUP(E739,'CATEGORY MAP'!$A$2:$B$20,2,FALSE()),"REVIEW"))</f>
        <v/>
      </c>
      <c r="H739">
        <f>IF(E739="","",IFERROR(VALUE(SUBSTITUTE('MSR RAW'!P739,",","")),0))</f>
        <v/>
      </c>
      <c r="I739">
        <f>IF(E739="","",IFERROR(VALUE(SUBSTITUTE('MSR RAW'!S739,",","")),0))</f>
        <v/>
      </c>
    </row>
    <row r="740" ht="68.65000000000001" customHeight="1" s="126">
      <c r="A740" t="n">
        <v>740</v>
      </c>
      <c r="B740" s="30">
        <f>IF('MSR RAW'!$A$3="","",'MSR RAW'!$A$3)</f>
        <v/>
      </c>
      <c r="C740">
        <f>IF(LEFT(TRIM('MSR RAW'!A740),11)="Department:",TRIM('MSR RAW'!A740),C739)</f>
        <v/>
      </c>
      <c r="D740">
        <f>IF(LEFT(TRIM('MSR RAW'!B740),9)="Location:",TRIM(MID('MSR RAW'!B740,10,999)),D739)</f>
        <v/>
      </c>
      <c r="E740">
        <f>IF(AND(ISNUMBER(SEARCH(" - ",TRIM('MSR RAW'!C740))),RIGHT(TRIM('MSR RAW'!C740),6)="Total:"),LEFT(TRIM('MSR RAW'!C740),SEARCH(" - ",TRIM('MSR RAW'!C740))-1),"")</f>
        <v/>
      </c>
      <c r="F740">
        <f>IF(E740="","",TRIM(MID(TRIM('MSR RAW'!C740),SEARCH(" - ",TRIM('MSR RAW'!C740))+3,LEN(TRIM('MSR RAW'!C740))-SEARCH(" - ",TRIM('MSR RAW'!C740))-9)))</f>
        <v/>
      </c>
      <c r="G740">
        <f>IF(E740="","",IFERROR(VLOOKUP(E740,'CATEGORY MAP'!$A$2:$B$20,2,FALSE()),"REVIEW"))</f>
        <v/>
      </c>
      <c r="H740">
        <f>IF(E740="","",IFERROR(VALUE(SUBSTITUTE('MSR RAW'!P740,",","")),0))</f>
        <v/>
      </c>
      <c r="I740">
        <f>IF(E740="","",IFERROR(VALUE(SUBSTITUTE('MSR RAW'!S740,",","")),0))</f>
        <v/>
      </c>
    </row>
    <row r="741" ht="68.65000000000001" customHeight="1" s="126">
      <c r="A741" t="n">
        <v>741</v>
      </c>
      <c r="B741" s="30">
        <f>IF('MSR RAW'!$A$3="","",'MSR RAW'!$A$3)</f>
        <v/>
      </c>
      <c r="C741">
        <f>IF(LEFT(TRIM('MSR RAW'!A741),11)="Department:",TRIM('MSR RAW'!A741),C740)</f>
        <v/>
      </c>
      <c r="D741">
        <f>IF(LEFT(TRIM('MSR RAW'!B741),9)="Location:",TRIM(MID('MSR RAW'!B741,10,999)),D740)</f>
        <v/>
      </c>
      <c r="E741">
        <f>IF(AND(ISNUMBER(SEARCH(" - ",TRIM('MSR RAW'!C741))),RIGHT(TRIM('MSR RAW'!C741),6)="Total:"),LEFT(TRIM('MSR RAW'!C741),SEARCH(" - ",TRIM('MSR RAW'!C741))-1),"")</f>
        <v/>
      </c>
      <c r="F741">
        <f>IF(E741="","",TRIM(MID(TRIM('MSR RAW'!C741),SEARCH(" - ",TRIM('MSR RAW'!C741))+3,LEN(TRIM('MSR RAW'!C741))-SEARCH(" - ",TRIM('MSR RAW'!C741))-9)))</f>
        <v/>
      </c>
      <c r="G741">
        <f>IF(E741="","",IFERROR(VLOOKUP(E741,'CATEGORY MAP'!$A$2:$B$20,2,FALSE()),"REVIEW"))</f>
        <v/>
      </c>
      <c r="H741">
        <f>IF(E741="","",IFERROR(VALUE(SUBSTITUTE('MSR RAW'!P741,",","")),0))</f>
        <v/>
      </c>
      <c r="I741">
        <f>IF(E741="","",IFERROR(VALUE(SUBSTITUTE('MSR RAW'!S741,",","")),0))</f>
        <v/>
      </c>
    </row>
    <row r="742" ht="68.65000000000001" customHeight="1" s="126">
      <c r="A742" t="n">
        <v>742</v>
      </c>
      <c r="B742" s="30">
        <f>IF('MSR RAW'!$A$3="","",'MSR RAW'!$A$3)</f>
        <v/>
      </c>
      <c r="C742">
        <f>IF(LEFT(TRIM('MSR RAW'!A742),11)="Department:",TRIM('MSR RAW'!A742),C741)</f>
        <v/>
      </c>
      <c r="D742">
        <f>IF(LEFT(TRIM('MSR RAW'!B742),9)="Location:",TRIM(MID('MSR RAW'!B742,10,999)),D741)</f>
        <v/>
      </c>
      <c r="E742">
        <f>IF(AND(ISNUMBER(SEARCH(" - ",TRIM('MSR RAW'!C742))),RIGHT(TRIM('MSR RAW'!C742),6)="Total:"),LEFT(TRIM('MSR RAW'!C742),SEARCH(" - ",TRIM('MSR RAW'!C742))-1),"")</f>
        <v/>
      </c>
      <c r="F742">
        <f>IF(E742="","",TRIM(MID(TRIM('MSR RAW'!C742),SEARCH(" - ",TRIM('MSR RAW'!C742))+3,LEN(TRIM('MSR RAW'!C742))-SEARCH(" - ",TRIM('MSR RAW'!C742))-9)))</f>
        <v/>
      </c>
      <c r="G742">
        <f>IF(E742="","",IFERROR(VLOOKUP(E742,'CATEGORY MAP'!$A$2:$B$20,2,FALSE()),"REVIEW"))</f>
        <v/>
      </c>
      <c r="H742">
        <f>IF(E742="","",IFERROR(VALUE(SUBSTITUTE('MSR RAW'!P742,",","")),0))</f>
        <v/>
      </c>
      <c r="I742">
        <f>IF(E742="","",IFERROR(VALUE(SUBSTITUTE('MSR RAW'!S742,",","")),0))</f>
        <v/>
      </c>
    </row>
    <row r="743" ht="68.65000000000001" customHeight="1" s="126">
      <c r="A743" t="n">
        <v>743</v>
      </c>
      <c r="B743" s="30">
        <f>IF('MSR RAW'!$A$3="","",'MSR RAW'!$A$3)</f>
        <v/>
      </c>
      <c r="C743">
        <f>IF(LEFT(TRIM('MSR RAW'!A743),11)="Department:",TRIM('MSR RAW'!A743),C742)</f>
        <v/>
      </c>
      <c r="D743">
        <f>IF(LEFT(TRIM('MSR RAW'!B743),9)="Location:",TRIM(MID('MSR RAW'!B743,10,999)),D742)</f>
        <v/>
      </c>
      <c r="E743">
        <f>IF(AND(ISNUMBER(SEARCH(" - ",TRIM('MSR RAW'!C743))),RIGHT(TRIM('MSR RAW'!C743),6)="Total:"),LEFT(TRIM('MSR RAW'!C743),SEARCH(" - ",TRIM('MSR RAW'!C743))-1),"")</f>
        <v/>
      </c>
      <c r="F743">
        <f>IF(E743="","",TRIM(MID(TRIM('MSR RAW'!C743),SEARCH(" - ",TRIM('MSR RAW'!C743))+3,LEN(TRIM('MSR RAW'!C743))-SEARCH(" - ",TRIM('MSR RAW'!C743))-9)))</f>
        <v/>
      </c>
      <c r="G743">
        <f>IF(E743="","",IFERROR(VLOOKUP(E743,'CATEGORY MAP'!$A$2:$B$20,2,FALSE()),"REVIEW"))</f>
        <v/>
      </c>
      <c r="H743">
        <f>IF(E743="","",IFERROR(VALUE(SUBSTITUTE('MSR RAW'!P743,",","")),0))</f>
        <v/>
      </c>
      <c r="I743">
        <f>IF(E743="","",IFERROR(VALUE(SUBSTITUTE('MSR RAW'!S743,",","")),0))</f>
        <v/>
      </c>
    </row>
    <row r="744" ht="68.65000000000001" customHeight="1" s="126">
      <c r="A744" t="n">
        <v>744</v>
      </c>
      <c r="B744" s="30">
        <f>IF('MSR RAW'!$A$3="","",'MSR RAW'!$A$3)</f>
        <v/>
      </c>
      <c r="C744">
        <f>IF(LEFT(TRIM('MSR RAW'!A744),11)="Department:",TRIM('MSR RAW'!A744),C743)</f>
        <v/>
      </c>
      <c r="D744">
        <f>IF(LEFT(TRIM('MSR RAW'!B744),9)="Location:",TRIM(MID('MSR RAW'!B744,10,999)),D743)</f>
        <v/>
      </c>
      <c r="E744">
        <f>IF(AND(ISNUMBER(SEARCH(" - ",TRIM('MSR RAW'!C744))),RIGHT(TRIM('MSR RAW'!C744),6)="Total:"),LEFT(TRIM('MSR RAW'!C744),SEARCH(" - ",TRIM('MSR RAW'!C744))-1),"")</f>
        <v/>
      </c>
      <c r="F744">
        <f>IF(E744="","",TRIM(MID(TRIM('MSR RAW'!C744),SEARCH(" - ",TRIM('MSR RAW'!C744))+3,LEN(TRIM('MSR RAW'!C744))-SEARCH(" - ",TRIM('MSR RAW'!C744))-9)))</f>
        <v/>
      </c>
      <c r="G744">
        <f>IF(E744="","",IFERROR(VLOOKUP(E744,'CATEGORY MAP'!$A$2:$B$20,2,FALSE()),"REVIEW"))</f>
        <v/>
      </c>
      <c r="H744">
        <f>IF(E744="","",IFERROR(VALUE(SUBSTITUTE('MSR RAW'!P744,",","")),0))</f>
        <v/>
      </c>
      <c r="I744">
        <f>IF(E744="","",IFERROR(VALUE(SUBSTITUTE('MSR RAW'!S744,",","")),0))</f>
        <v/>
      </c>
    </row>
    <row r="745" ht="68.65000000000001" customHeight="1" s="126">
      <c r="A745" t="n">
        <v>745</v>
      </c>
      <c r="B745" s="30">
        <f>IF('MSR RAW'!$A$3="","",'MSR RAW'!$A$3)</f>
        <v/>
      </c>
      <c r="C745">
        <f>IF(LEFT(TRIM('MSR RAW'!A745),11)="Department:",TRIM('MSR RAW'!A745),C744)</f>
        <v/>
      </c>
      <c r="D745">
        <f>IF(LEFT(TRIM('MSR RAW'!B745),9)="Location:",TRIM(MID('MSR RAW'!B745,10,999)),D744)</f>
        <v/>
      </c>
      <c r="E745">
        <f>IF(AND(ISNUMBER(SEARCH(" - ",TRIM('MSR RAW'!C745))),RIGHT(TRIM('MSR RAW'!C745),6)="Total:"),LEFT(TRIM('MSR RAW'!C745),SEARCH(" - ",TRIM('MSR RAW'!C745))-1),"")</f>
        <v/>
      </c>
      <c r="F745">
        <f>IF(E745="","",TRIM(MID(TRIM('MSR RAW'!C745),SEARCH(" - ",TRIM('MSR RAW'!C745))+3,LEN(TRIM('MSR RAW'!C745))-SEARCH(" - ",TRIM('MSR RAW'!C745))-9)))</f>
        <v/>
      </c>
      <c r="G745">
        <f>IF(E745="","",IFERROR(VLOOKUP(E745,'CATEGORY MAP'!$A$2:$B$20,2,FALSE()),"REVIEW"))</f>
        <v/>
      </c>
      <c r="H745">
        <f>IF(E745="","",IFERROR(VALUE(SUBSTITUTE('MSR RAW'!P745,",","")),0))</f>
        <v/>
      </c>
      <c r="I745">
        <f>IF(E745="","",IFERROR(VALUE(SUBSTITUTE('MSR RAW'!S745,",","")),0))</f>
        <v/>
      </c>
    </row>
    <row r="746" ht="68.65000000000001" customHeight="1" s="126">
      <c r="A746" t="n">
        <v>746</v>
      </c>
      <c r="B746" s="30">
        <f>IF('MSR RAW'!$A$3="","",'MSR RAW'!$A$3)</f>
        <v/>
      </c>
      <c r="C746">
        <f>IF(LEFT(TRIM('MSR RAW'!A746),11)="Department:",TRIM('MSR RAW'!A746),C745)</f>
        <v/>
      </c>
      <c r="D746">
        <f>IF(LEFT(TRIM('MSR RAW'!B746),9)="Location:",TRIM(MID('MSR RAW'!B746,10,999)),D745)</f>
        <v/>
      </c>
      <c r="E746">
        <f>IF(AND(ISNUMBER(SEARCH(" - ",TRIM('MSR RAW'!C746))),RIGHT(TRIM('MSR RAW'!C746),6)="Total:"),LEFT(TRIM('MSR RAW'!C746),SEARCH(" - ",TRIM('MSR RAW'!C746))-1),"")</f>
        <v/>
      </c>
      <c r="F746">
        <f>IF(E746="","",TRIM(MID(TRIM('MSR RAW'!C746),SEARCH(" - ",TRIM('MSR RAW'!C746))+3,LEN(TRIM('MSR RAW'!C746))-SEARCH(" - ",TRIM('MSR RAW'!C746))-9)))</f>
        <v/>
      </c>
      <c r="G746">
        <f>IF(E746="","",IFERROR(VLOOKUP(E746,'CATEGORY MAP'!$A$2:$B$20,2,FALSE()),"REVIEW"))</f>
        <v/>
      </c>
      <c r="H746">
        <f>IF(E746="","",IFERROR(VALUE(SUBSTITUTE('MSR RAW'!P746,",","")),0))</f>
        <v/>
      </c>
      <c r="I746">
        <f>IF(E746="","",IFERROR(VALUE(SUBSTITUTE('MSR RAW'!S746,",","")),0))</f>
        <v/>
      </c>
    </row>
    <row r="747" ht="68.65000000000001" customHeight="1" s="126">
      <c r="A747" t="n">
        <v>747</v>
      </c>
      <c r="B747" s="30">
        <f>IF('MSR RAW'!$A$3="","",'MSR RAW'!$A$3)</f>
        <v/>
      </c>
      <c r="C747">
        <f>IF(LEFT(TRIM('MSR RAW'!A747),11)="Department:",TRIM('MSR RAW'!A747),C746)</f>
        <v/>
      </c>
      <c r="D747">
        <f>IF(LEFT(TRIM('MSR RAW'!B747),9)="Location:",TRIM(MID('MSR RAW'!B747,10,999)),D746)</f>
        <v/>
      </c>
      <c r="E747">
        <f>IF(AND(ISNUMBER(SEARCH(" - ",TRIM('MSR RAW'!C747))),RIGHT(TRIM('MSR RAW'!C747),6)="Total:"),LEFT(TRIM('MSR RAW'!C747),SEARCH(" - ",TRIM('MSR RAW'!C747))-1),"")</f>
        <v/>
      </c>
      <c r="F747">
        <f>IF(E747="","",TRIM(MID(TRIM('MSR RAW'!C747),SEARCH(" - ",TRIM('MSR RAW'!C747))+3,LEN(TRIM('MSR RAW'!C747))-SEARCH(" - ",TRIM('MSR RAW'!C747))-9)))</f>
        <v/>
      </c>
      <c r="G747">
        <f>IF(E747="","",IFERROR(VLOOKUP(E747,'CATEGORY MAP'!$A$2:$B$20,2,FALSE()),"REVIEW"))</f>
        <v/>
      </c>
      <c r="H747">
        <f>IF(E747="","",IFERROR(VALUE(SUBSTITUTE('MSR RAW'!P747,",","")),0))</f>
        <v/>
      </c>
      <c r="I747">
        <f>IF(E747="","",IFERROR(VALUE(SUBSTITUTE('MSR RAW'!S747,",","")),0))</f>
        <v/>
      </c>
    </row>
    <row r="748" ht="68.65000000000001" customHeight="1" s="126">
      <c r="A748" t="n">
        <v>748</v>
      </c>
      <c r="B748" s="30">
        <f>IF('MSR RAW'!$A$3="","",'MSR RAW'!$A$3)</f>
        <v/>
      </c>
      <c r="C748">
        <f>IF(LEFT(TRIM('MSR RAW'!A748),11)="Department:",TRIM('MSR RAW'!A748),C747)</f>
        <v/>
      </c>
      <c r="D748">
        <f>IF(LEFT(TRIM('MSR RAW'!B748),9)="Location:",TRIM(MID('MSR RAW'!B748,10,999)),D747)</f>
        <v/>
      </c>
      <c r="E748">
        <f>IF(AND(ISNUMBER(SEARCH(" - ",TRIM('MSR RAW'!C748))),RIGHT(TRIM('MSR RAW'!C748),6)="Total:"),LEFT(TRIM('MSR RAW'!C748),SEARCH(" - ",TRIM('MSR RAW'!C748))-1),"")</f>
        <v/>
      </c>
      <c r="F748">
        <f>IF(E748="","",TRIM(MID(TRIM('MSR RAW'!C748),SEARCH(" - ",TRIM('MSR RAW'!C748))+3,LEN(TRIM('MSR RAW'!C748))-SEARCH(" - ",TRIM('MSR RAW'!C748))-9)))</f>
        <v/>
      </c>
      <c r="G748">
        <f>IF(E748="","",IFERROR(VLOOKUP(E748,'CATEGORY MAP'!$A$2:$B$20,2,FALSE()),"REVIEW"))</f>
        <v/>
      </c>
      <c r="H748">
        <f>IF(E748="","",IFERROR(VALUE(SUBSTITUTE('MSR RAW'!P748,",","")),0))</f>
        <v/>
      </c>
      <c r="I748">
        <f>IF(E748="","",IFERROR(VALUE(SUBSTITUTE('MSR RAW'!S748,",","")),0))</f>
        <v/>
      </c>
    </row>
    <row r="749" ht="68.65000000000001" customHeight="1" s="126">
      <c r="A749" t="n">
        <v>749</v>
      </c>
      <c r="B749" s="30">
        <f>IF('MSR RAW'!$A$3="","",'MSR RAW'!$A$3)</f>
        <v/>
      </c>
      <c r="C749">
        <f>IF(LEFT(TRIM('MSR RAW'!A749),11)="Department:",TRIM('MSR RAW'!A749),C748)</f>
        <v/>
      </c>
      <c r="D749">
        <f>IF(LEFT(TRIM('MSR RAW'!B749),9)="Location:",TRIM(MID('MSR RAW'!B749,10,999)),D748)</f>
        <v/>
      </c>
      <c r="E749">
        <f>IF(AND(ISNUMBER(SEARCH(" - ",TRIM('MSR RAW'!C749))),RIGHT(TRIM('MSR RAW'!C749),6)="Total:"),LEFT(TRIM('MSR RAW'!C749),SEARCH(" - ",TRIM('MSR RAW'!C749))-1),"")</f>
        <v/>
      </c>
      <c r="F749">
        <f>IF(E749="","",TRIM(MID(TRIM('MSR RAW'!C749),SEARCH(" - ",TRIM('MSR RAW'!C749))+3,LEN(TRIM('MSR RAW'!C749))-SEARCH(" - ",TRIM('MSR RAW'!C749))-9)))</f>
        <v/>
      </c>
      <c r="G749">
        <f>IF(E749="","",IFERROR(VLOOKUP(E749,'CATEGORY MAP'!$A$2:$B$20,2,FALSE()),"REVIEW"))</f>
        <v/>
      </c>
      <c r="H749">
        <f>IF(E749="","",IFERROR(VALUE(SUBSTITUTE('MSR RAW'!P749,",","")),0))</f>
        <v/>
      </c>
      <c r="I749">
        <f>IF(E749="","",IFERROR(VALUE(SUBSTITUTE('MSR RAW'!S749,",","")),0))</f>
        <v/>
      </c>
    </row>
    <row r="750" ht="68.65000000000001" customHeight="1" s="126">
      <c r="A750" t="n">
        <v>750</v>
      </c>
      <c r="B750" s="30">
        <f>IF('MSR RAW'!$A$3="","",'MSR RAW'!$A$3)</f>
        <v/>
      </c>
      <c r="C750">
        <f>IF(LEFT(TRIM('MSR RAW'!A750),11)="Department:",TRIM('MSR RAW'!A750),C749)</f>
        <v/>
      </c>
      <c r="D750">
        <f>IF(LEFT(TRIM('MSR RAW'!B750),9)="Location:",TRIM(MID('MSR RAW'!B750,10,999)),D749)</f>
        <v/>
      </c>
      <c r="E750">
        <f>IF(AND(ISNUMBER(SEARCH(" - ",TRIM('MSR RAW'!C750))),RIGHT(TRIM('MSR RAW'!C750),6)="Total:"),LEFT(TRIM('MSR RAW'!C750),SEARCH(" - ",TRIM('MSR RAW'!C750))-1),"")</f>
        <v/>
      </c>
      <c r="F750">
        <f>IF(E750="","",TRIM(MID(TRIM('MSR RAW'!C750),SEARCH(" - ",TRIM('MSR RAW'!C750))+3,LEN(TRIM('MSR RAW'!C750))-SEARCH(" - ",TRIM('MSR RAW'!C750))-9)))</f>
        <v/>
      </c>
      <c r="G750">
        <f>IF(E750="","",IFERROR(VLOOKUP(E750,'CATEGORY MAP'!$A$2:$B$20,2,FALSE()),"REVIEW"))</f>
        <v/>
      </c>
      <c r="H750">
        <f>IF(E750="","",IFERROR(VALUE(SUBSTITUTE('MSR RAW'!P750,",","")),0))</f>
        <v/>
      </c>
      <c r="I750">
        <f>IF(E750="","",IFERROR(VALUE(SUBSTITUTE('MSR RAW'!S750,",","")),0))</f>
        <v/>
      </c>
    </row>
    <row r="751" ht="68.65000000000001" customHeight="1" s="126">
      <c r="A751" t="n">
        <v>751</v>
      </c>
      <c r="B751" s="30">
        <f>IF('MSR RAW'!$A$3="","",'MSR RAW'!$A$3)</f>
        <v/>
      </c>
      <c r="C751">
        <f>IF(LEFT(TRIM('MSR RAW'!A751),11)="Department:",TRIM('MSR RAW'!A751),C750)</f>
        <v/>
      </c>
      <c r="D751">
        <f>IF(LEFT(TRIM('MSR RAW'!B751),9)="Location:",TRIM(MID('MSR RAW'!B751,10,999)),D750)</f>
        <v/>
      </c>
      <c r="E751">
        <f>IF(AND(ISNUMBER(SEARCH(" - ",TRIM('MSR RAW'!C751))),RIGHT(TRIM('MSR RAW'!C751),6)="Total:"),LEFT(TRIM('MSR RAW'!C751),SEARCH(" - ",TRIM('MSR RAW'!C751))-1),"")</f>
        <v/>
      </c>
      <c r="F751">
        <f>IF(E751="","",TRIM(MID(TRIM('MSR RAW'!C751),SEARCH(" - ",TRIM('MSR RAW'!C751))+3,LEN(TRIM('MSR RAW'!C751))-SEARCH(" - ",TRIM('MSR RAW'!C751))-9)))</f>
        <v/>
      </c>
      <c r="G751">
        <f>IF(E751="","",IFERROR(VLOOKUP(E751,'CATEGORY MAP'!$A$2:$B$20,2,FALSE()),"REVIEW"))</f>
        <v/>
      </c>
      <c r="H751">
        <f>IF(E751="","",IFERROR(VALUE(SUBSTITUTE('MSR RAW'!P751,",","")),0))</f>
        <v/>
      </c>
      <c r="I751">
        <f>IF(E751="","",IFERROR(VALUE(SUBSTITUTE('MSR RAW'!S751,",","")),0))</f>
        <v/>
      </c>
    </row>
    <row r="752" ht="68.65000000000001" customHeight="1" s="126">
      <c r="A752" t="n">
        <v>752</v>
      </c>
      <c r="B752" s="30">
        <f>IF('MSR RAW'!$A$3="","",'MSR RAW'!$A$3)</f>
        <v/>
      </c>
      <c r="C752">
        <f>IF(LEFT(TRIM('MSR RAW'!A752),11)="Department:",TRIM('MSR RAW'!A752),C751)</f>
        <v/>
      </c>
      <c r="D752">
        <f>IF(LEFT(TRIM('MSR RAW'!B752),9)="Location:",TRIM(MID('MSR RAW'!B752,10,999)),D751)</f>
        <v/>
      </c>
      <c r="E752">
        <f>IF(AND(ISNUMBER(SEARCH(" - ",TRIM('MSR RAW'!C752))),RIGHT(TRIM('MSR RAW'!C752),6)="Total:"),LEFT(TRIM('MSR RAW'!C752),SEARCH(" - ",TRIM('MSR RAW'!C752))-1),"")</f>
        <v/>
      </c>
      <c r="F752">
        <f>IF(E752="","",TRIM(MID(TRIM('MSR RAW'!C752),SEARCH(" - ",TRIM('MSR RAW'!C752))+3,LEN(TRIM('MSR RAW'!C752))-SEARCH(" - ",TRIM('MSR RAW'!C752))-9)))</f>
        <v/>
      </c>
      <c r="G752">
        <f>IF(E752="","",IFERROR(VLOOKUP(E752,'CATEGORY MAP'!$A$2:$B$20,2,FALSE()),"REVIEW"))</f>
        <v/>
      </c>
      <c r="H752">
        <f>IF(E752="","",IFERROR(VALUE(SUBSTITUTE('MSR RAW'!P752,",","")),0))</f>
        <v/>
      </c>
      <c r="I752">
        <f>IF(E752="","",IFERROR(VALUE(SUBSTITUTE('MSR RAW'!S752,",","")),0))</f>
        <v/>
      </c>
    </row>
    <row r="753" ht="68.65000000000001" customHeight="1" s="126">
      <c r="A753" t="n">
        <v>753</v>
      </c>
      <c r="B753" s="30">
        <f>IF('MSR RAW'!$A$3="","",'MSR RAW'!$A$3)</f>
        <v/>
      </c>
      <c r="C753">
        <f>IF(LEFT(TRIM('MSR RAW'!A753),11)="Department:",TRIM('MSR RAW'!A753),C752)</f>
        <v/>
      </c>
      <c r="D753">
        <f>IF(LEFT(TRIM('MSR RAW'!B753),9)="Location:",TRIM(MID('MSR RAW'!B753,10,999)),D752)</f>
        <v/>
      </c>
      <c r="E753">
        <f>IF(AND(ISNUMBER(SEARCH(" - ",TRIM('MSR RAW'!C753))),RIGHT(TRIM('MSR RAW'!C753),6)="Total:"),LEFT(TRIM('MSR RAW'!C753),SEARCH(" - ",TRIM('MSR RAW'!C753))-1),"")</f>
        <v/>
      </c>
      <c r="F753">
        <f>IF(E753="","",TRIM(MID(TRIM('MSR RAW'!C753),SEARCH(" - ",TRIM('MSR RAW'!C753))+3,LEN(TRIM('MSR RAW'!C753))-SEARCH(" - ",TRIM('MSR RAW'!C753))-9)))</f>
        <v/>
      </c>
      <c r="G753">
        <f>IF(E753="","",IFERROR(VLOOKUP(E753,'CATEGORY MAP'!$A$2:$B$20,2,FALSE()),"REVIEW"))</f>
        <v/>
      </c>
      <c r="H753">
        <f>IF(E753="","",IFERROR(VALUE(SUBSTITUTE('MSR RAW'!P753,",","")),0))</f>
        <v/>
      </c>
      <c r="I753">
        <f>IF(E753="","",IFERROR(VALUE(SUBSTITUTE('MSR RAW'!S753,",","")),0))</f>
        <v/>
      </c>
    </row>
    <row r="754" ht="68.65000000000001" customHeight="1" s="126">
      <c r="A754" t="n">
        <v>754</v>
      </c>
      <c r="B754" s="30">
        <f>IF('MSR RAW'!$A$3="","",'MSR RAW'!$A$3)</f>
        <v/>
      </c>
      <c r="C754">
        <f>IF(LEFT(TRIM('MSR RAW'!A754),11)="Department:",TRIM('MSR RAW'!A754),C753)</f>
        <v/>
      </c>
      <c r="D754">
        <f>IF(LEFT(TRIM('MSR RAW'!B754),9)="Location:",TRIM(MID('MSR RAW'!B754,10,999)),D753)</f>
        <v/>
      </c>
      <c r="E754">
        <f>IF(AND(ISNUMBER(SEARCH(" - ",TRIM('MSR RAW'!C754))),RIGHT(TRIM('MSR RAW'!C754),6)="Total:"),LEFT(TRIM('MSR RAW'!C754),SEARCH(" - ",TRIM('MSR RAW'!C754))-1),"")</f>
        <v/>
      </c>
      <c r="F754">
        <f>IF(E754="","",TRIM(MID(TRIM('MSR RAW'!C754),SEARCH(" - ",TRIM('MSR RAW'!C754))+3,LEN(TRIM('MSR RAW'!C754))-SEARCH(" - ",TRIM('MSR RAW'!C754))-9)))</f>
        <v/>
      </c>
      <c r="G754">
        <f>IF(E754="","",IFERROR(VLOOKUP(E754,'CATEGORY MAP'!$A$2:$B$20,2,FALSE()),"REVIEW"))</f>
        <v/>
      </c>
      <c r="H754">
        <f>IF(E754="","",IFERROR(VALUE(SUBSTITUTE('MSR RAW'!P754,",","")),0))</f>
        <v/>
      </c>
      <c r="I754">
        <f>IF(E754="","",IFERROR(VALUE(SUBSTITUTE('MSR RAW'!S754,",","")),0))</f>
        <v/>
      </c>
    </row>
    <row r="755" ht="68.65000000000001" customHeight="1" s="126">
      <c r="A755" t="n">
        <v>755</v>
      </c>
      <c r="B755" s="30">
        <f>IF('MSR RAW'!$A$3="","",'MSR RAW'!$A$3)</f>
        <v/>
      </c>
      <c r="C755">
        <f>IF(LEFT(TRIM('MSR RAW'!A755),11)="Department:",TRIM('MSR RAW'!A755),C754)</f>
        <v/>
      </c>
      <c r="D755">
        <f>IF(LEFT(TRIM('MSR RAW'!B755),9)="Location:",TRIM(MID('MSR RAW'!B755,10,999)),D754)</f>
        <v/>
      </c>
      <c r="E755">
        <f>IF(AND(ISNUMBER(SEARCH(" - ",TRIM('MSR RAW'!C755))),RIGHT(TRIM('MSR RAW'!C755),6)="Total:"),LEFT(TRIM('MSR RAW'!C755),SEARCH(" - ",TRIM('MSR RAW'!C755))-1),"")</f>
        <v/>
      </c>
      <c r="F755">
        <f>IF(E755="","",TRIM(MID(TRIM('MSR RAW'!C755),SEARCH(" - ",TRIM('MSR RAW'!C755))+3,LEN(TRIM('MSR RAW'!C755))-SEARCH(" - ",TRIM('MSR RAW'!C755))-9)))</f>
        <v/>
      </c>
      <c r="G755">
        <f>IF(E755="","",IFERROR(VLOOKUP(E755,'CATEGORY MAP'!$A$2:$B$20,2,FALSE()),"REVIEW"))</f>
        <v/>
      </c>
      <c r="H755">
        <f>IF(E755="","",IFERROR(VALUE(SUBSTITUTE('MSR RAW'!P755,",","")),0))</f>
        <v/>
      </c>
      <c r="I755">
        <f>IF(E755="","",IFERROR(VALUE(SUBSTITUTE('MSR RAW'!S755,",","")),0))</f>
        <v/>
      </c>
    </row>
    <row r="756" ht="68.65000000000001" customHeight="1" s="126">
      <c r="A756" t="n">
        <v>756</v>
      </c>
      <c r="B756" s="30">
        <f>IF('MSR RAW'!$A$3="","",'MSR RAW'!$A$3)</f>
        <v/>
      </c>
      <c r="C756">
        <f>IF(LEFT(TRIM('MSR RAW'!A756),11)="Department:",TRIM('MSR RAW'!A756),C755)</f>
        <v/>
      </c>
      <c r="D756">
        <f>IF(LEFT(TRIM('MSR RAW'!B756),9)="Location:",TRIM(MID('MSR RAW'!B756,10,999)),D755)</f>
        <v/>
      </c>
      <c r="E756">
        <f>IF(AND(ISNUMBER(SEARCH(" - ",TRIM('MSR RAW'!C756))),RIGHT(TRIM('MSR RAW'!C756),6)="Total:"),LEFT(TRIM('MSR RAW'!C756),SEARCH(" - ",TRIM('MSR RAW'!C756))-1),"")</f>
        <v/>
      </c>
      <c r="F756">
        <f>IF(E756="","",TRIM(MID(TRIM('MSR RAW'!C756),SEARCH(" - ",TRIM('MSR RAW'!C756))+3,LEN(TRIM('MSR RAW'!C756))-SEARCH(" - ",TRIM('MSR RAW'!C756))-9)))</f>
        <v/>
      </c>
      <c r="G756">
        <f>IF(E756="","",IFERROR(VLOOKUP(E756,'CATEGORY MAP'!$A$2:$B$20,2,FALSE()),"REVIEW"))</f>
        <v/>
      </c>
      <c r="H756">
        <f>IF(E756="","",IFERROR(VALUE(SUBSTITUTE('MSR RAW'!P756,",","")),0))</f>
        <v/>
      </c>
      <c r="I756">
        <f>IF(E756="","",IFERROR(VALUE(SUBSTITUTE('MSR RAW'!S756,",","")),0))</f>
        <v/>
      </c>
    </row>
    <row r="757" ht="68.65000000000001" customHeight="1" s="126">
      <c r="A757" t="n">
        <v>757</v>
      </c>
      <c r="B757" s="30">
        <f>IF('MSR RAW'!$A$3="","",'MSR RAW'!$A$3)</f>
        <v/>
      </c>
      <c r="C757">
        <f>IF(LEFT(TRIM('MSR RAW'!A757),11)="Department:",TRIM('MSR RAW'!A757),C756)</f>
        <v/>
      </c>
      <c r="D757">
        <f>IF(LEFT(TRIM('MSR RAW'!B757),9)="Location:",TRIM(MID('MSR RAW'!B757,10,999)),D756)</f>
        <v/>
      </c>
      <c r="E757">
        <f>IF(AND(ISNUMBER(SEARCH(" - ",TRIM('MSR RAW'!C757))),RIGHT(TRIM('MSR RAW'!C757),6)="Total:"),LEFT(TRIM('MSR RAW'!C757),SEARCH(" - ",TRIM('MSR RAW'!C757))-1),"")</f>
        <v/>
      </c>
      <c r="F757">
        <f>IF(E757="","",TRIM(MID(TRIM('MSR RAW'!C757),SEARCH(" - ",TRIM('MSR RAW'!C757))+3,LEN(TRIM('MSR RAW'!C757))-SEARCH(" - ",TRIM('MSR RAW'!C757))-9)))</f>
        <v/>
      </c>
      <c r="G757">
        <f>IF(E757="","",IFERROR(VLOOKUP(E757,'CATEGORY MAP'!$A$2:$B$20,2,FALSE()),"REVIEW"))</f>
        <v/>
      </c>
      <c r="H757">
        <f>IF(E757="","",IFERROR(VALUE(SUBSTITUTE('MSR RAW'!P757,",","")),0))</f>
        <v/>
      </c>
      <c r="I757">
        <f>IF(E757="","",IFERROR(VALUE(SUBSTITUTE('MSR RAW'!S757,",","")),0))</f>
        <v/>
      </c>
    </row>
    <row r="758" ht="68.65000000000001" customHeight="1" s="126">
      <c r="A758" t="n">
        <v>758</v>
      </c>
      <c r="B758" s="30">
        <f>IF('MSR RAW'!$A$3="","",'MSR RAW'!$A$3)</f>
        <v/>
      </c>
      <c r="C758">
        <f>IF(LEFT(TRIM('MSR RAW'!A758),11)="Department:",TRIM('MSR RAW'!A758),C757)</f>
        <v/>
      </c>
      <c r="D758">
        <f>IF(LEFT(TRIM('MSR RAW'!B758),9)="Location:",TRIM(MID('MSR RAW'!B758,10,999)),D757)</f>
        <v/>
      </c>
      <c r="E758">
        <f>IF(AND(ISNUMBER(SEARCH(" - ",TRIM('MSR RAW'!C758))),RIGHT(TRIM('MSR RAW'!C758),6)="Total:"),LEFT(TRIM('MSR RAW'!C758),SEARCH(" - ",TRIM('MSR RAW'!C758))-1),"")</f>
        <v/>
      </c>
      <c r="F758">
        <f>IF(E758="","",TRIM(MID(TRIM('MSR RAW'!C758),SEARCH(" - ",TRIM('MSR RAW'!C758))+3,LEN(TRIM('MSR RAW'!C758))-SEARCH(" - ",TRIM('MSR RAW'!C758))-9)))</f>
        <v/>
      </c>
      <c r="G758">
        <f>IF(E758="","",IFERROR(VLOOKUP(E758,'CATEGORY MAP'!$A$2:$B$20,2,FALSE()),"REVIEW"))</f>
        <v/>
      </c>
      <c r="H758">
        <f>IF(E758="","",IFERROR(VALUE(SUBSTITUTE('MSR RAW'!P758,",","")),0))</f>
        <v/>
      </c>
      <c r="I758">
        <f>IF(E758="","",IFERROR(VALUE(SUBSTITUTE('MSR RAW'!S758,",","")),0))</f>
        <v/>
      </c>
    </row>
    <row r="759" ht="68.65000000000001" customHeight="1" s="126">
      <c r="A759" t="n">
        <v>759</v>
      </c>
      <c r="B759" s="30">
        <f>IF('MSR RAW'!$A$3="","",'MSR RAW'!$A$3)</f>
        <v/>
      </c>
      <c r="C759">
        <f>IF(LEFT(TRIM('MSR RAW'!A759),11)="Department:",TRIM('MSR RAW'!A759),C758)</f>
        <v/>
      </c>
      <c r="D759">
        <f>IF(LEFT(TRIM('MSR RAW'!B759),9)="Location:",TRIM(MID('MSR RAW'!B759,10,999)),D758)</f>
        <v/>
      </c>
      <c r="E759">
        <f>IF(AND(ISNUMBER(SEARCH(" - ",TRIM('MSR RAW'!C759))),RIGHT(TRIM('MSR RAW'!C759),6)="Total:"),LEFT(TRIM('MSR RAW'!C759),SEARCH(" - ",TRIM('MSR RAW'!C759))-1),"")</f>
        <v/>
      </c>
      <c r="F759">
        <f>IF(E759="","",TRIM(MID(TRIM('MSR RAW'!C759),SEARCH(" - ",TRIM('MSR RAW'!C759))+3,LEN(TRIM('MSR RAW'!C759))-SEARCH(" - ",TRIM('MSR RAW'!C759))-9)))</f>
        <v/>
      </c>
      <c r="G759">
        <f>IF(E759="","",IFERROR(VLOOKUP(E759,'CATEGORY MAP'!$A$2:$B$20,2,FALSE()),"REVIEW"))</f>
        <v/>
      </c>
      <c r="H759">
        <f>IF(E759="","",IFERROR(VALUE(SUBSTITUTE('MSR RAW'!P759,",","")),0))</f>
        <v/>
      </c>
      <c r="I759">
        <f>IF(E759="","",IFERROR(VALUE(SUBSTITUTE('MSR RAW'!S759,",","")),0))</f>
        <v/>
      </c>
    </row>
    <row r="760" ht="68.65000000000001" customHeight="1" s="126">
      <c r="A760" t="n">
        <v>760</v>
      </c>
      <c r="B760" s="30">
        <f>IF('MSR RAW'!$A$3="","",'MSR RAW'!$A$3)</f>
        <v/>
      </c>
      <c r="C760">
        <f>IF(LEFT(TRIM('MSR RAW'!A760),11)="Department:",TRIM('MSR RAW'!A760),C759)</f>
        <v/>
      </c>
      <c r="D760">
        <f>IF(LEFT(TRIM('MSR RAW'!B760),9)="Location:",TRIM(MID('MSR RAW'!B760,10,999)),D759)</f>
        <v/>
      </c>
      <c r="E760">
        <f>IF(AND(ISNUMBER(SEARCH(" - ",TRIM('MSR RAW'!C760))),RIGHT(TRIM('MSR RAW'!C760),6)="Total:"),LEFT(TRIM('MSR RAW'!C760),SEARCH(" - ",TRIM('MSR RAW'!C760))-1),"")</f>
        <v/>
      </c>
      <c r="F760">
        <f>IF(E760="","",TRIM(MID(TRIM('MSR RAW'!C760),SEARCH(" - ",TRIM('MSR RAW'!C760))+3,LEN(TRIM('MSR RAW'!C760))-SEARCH(" - ",TRIM('MSR RAW'!C760))-9)))</f>
        <v/>
      </c>
      <c r="G760">
        <f>IF(E760="","",IFERROR(VLOOKUP(E760,'CATEGORY MAP'!$A$2:$B$20,2,FALSE()),"REVIEW"))</f>
        <v/>
      </c>
      <c r="H760">
        <f>IF(E760="","",IFERROR(VALUE(SUBSTITUTE('MSR RAW'!P760,",","")),0))</f>
        <v/>
      </c>
      <c r="I760">
        <f>IF(E760="","",IFERROR(VALUE(SUBSTITUTE('MSR RAW'!S760,",","")),0))</f>
        <v/>
      </c>
    </row>
    <row r="761" ht="68.65000000000001" customHeight="1" s="126">
      <c r="A761" t="n">
        <v>761</v>
      </c>
      <c r="B761" s="30">
        <f>IF('MSR RAW'!$A$3="","",'MSR RAW'!$A$3)</f>
        <v/>
      </c>
      <c r="C761">
        <f>IF(LEFT(TRIM('MSR RAW'!A761),11)="Department:",TRIM('MSR RAW'!A761),C760)</f>
        <v/>
      </c>
      <c r="D761">
        <f>IF(LEFT(TRIM('MSR RAW'!B761),9)="Location:",TRIM(MID('MSR RAW'!B761,10,999)),D760)</f>
        <v/>
      </c>
      <c r="E761">
        <f>IF(AND(ISNUMBER(SEARCH(" - ",TRIM('MSR RAW'!C761))),RIGHT(TRIM('MSR RAW'!C761),6)="Total:"),LEFT(TRIM('MSR RAW'!C761),SEARCH(" - ",TRIM('MSR RAW'!C761))-1),"")</f>
        <v/>
      </c>
      <c r="F761">
        <f>IF(E761="","",TRIM(MID(TRIM('MSR RAW'!C761),SEARCH(" - ",TRIM('MSR RAW'!C761))+3,LEN(TRIM('MSR RAW'!C761))-SEARCH(" - ",TRIM('MSR RAW'!C761))-9)))</f>
        <v/>
      </c>
      <c r="G761">
        <f>IF(E761="","",IFERROR(VLOOKUP(E761,'CATEGORY MAP'!$A$2:$B$20,2,FALSE()),"REVIEW"))</f>
        <v/>
      </c>
      <c r="H761">
        <f>IF(E761="","",IFERROR(VALUE(SUBSTITUTE('MSR RAW'!P761,",","")),0))</f>
        <v/>
      </c>
      <c r="I761">
        <f>IF(E761="","",IFERROR(VALUE(SUBSTITUTE('MSR RAW'!S761,",","")),0))</f>
        <v/>
      </c>
    </row>
    <row r="762" ht="68.65000000000001" customHeight="1" s="126">
      <c r="A762" t="n">
        <v>762</v>
      </c>
      <c r="B762" s="30">
        <f>IF('MSR RAW'!$A$3="","",'MSR RAW'!$A$3)</f>
        <v/>
      </c>
      <c r="C762">
        <f>IF(LEFT(TRIM('MSR RAW'!A762),11)="Department:",TRIM('MSR RAW'!A762),C761)</f>
        <v/>
      </c>
      <c r="D762">
        <f>IF(LEFT(TRIM('MSR RAW'!B762),9)="Location:",TRIM(MID('MSR RAW'!B762,10,999)),D761)</f>
        <v/>
      </c>
      <c r="E762">
        <f>IF(AND(ISNUMBER(SEARCH(" - ",TRIM('MSR RAW'!C762))),RIGHT(TRIM('MSR RAW'!C762),6)="Total:"),LEFT(TRIM('MSR RAW'!C762),SEARCH(" - ",TRIM('MSR RAW'!C762))-1),"")</f>
        <v/>
      </c>
      <c r="F762">
        <f>IF(E762="","",TRIM(MID(TRIM('MSR RAW'!C762),SEARCH(" - ",TRIM('MSR RAW'!C762))+3,LEN(TRIM('MSR RAW'!C762))-SEARCH(" - ",TRIM('MSR RAW'!C762))-9)))</f>
        <v/>
      </c>
      <c r="G762">
        <f>IF(E762="","",IFERROR(VLOOKUP(E762,'CATEGORY MAP'!$A$2:$B$20,2,FALSE()),"REVIEW"))</f>
        <v/>
      </c>
      <c r="H762">
        <f>IF(E762="","",IFERROR(VALUE(SUBSTITUTE('MSR RAW'!P762,",","")),0))</f>
        <v/>
      </c>
      <c r="I762">
        <f>IF(E762="","",IFERROR(VALUE(SUBSTITUTE('MSR RAW'!S762,",","")),0))</f>
        <v/>
      </c>
    </row>
    <row r="763" ht="68.65000000000001" customHeight="1" s="126">
      <c r="A763" t="n">
        <v>763</v>
      </c>
      <c r="B763" s="30">
        <f>IF('MSR RAW'!$A$3="","",'MSR RAW'!$A$3)</f>
        <v/>
      </c>
      <c r="C763">
        <f>IF(LEFT(TRIM('MSR RAW'!A763),11)="Department:",TRIM('MSR RAW'!A763),C762)</f>
        <v/>
      </c>
      <c r="D763">
        <f>IF(LEFT(TRIM('MSR RAW'!B763),9)="Location:",TRIM(MID('MSR RAW'!B763,10,999)),D762)</f>
        <v/>
      </c>
      <c r="E763">
        <f>IF(AND(ISNUMBER(SEARCH(" - ",TRIM('MSR RAW'!C763))),RIGHT(TRIM('MSR RAW'!C763),6)="Total:"),LEFT(TRIM('MSR RAW'!C763),SEARCH(" - ",TRIM('MSR RAW'!C763))-1),"")</f>
        <v/>
      </c>
      <c r="F763">
        <f>IF(E763="","",TRIM(MID(TRIM('MSR RAW'!C763),SEARCH(" - ",TRIM('MSR RAW'!C763))+3,LEN(TRIM('MSR RAW'!C763))-SEARCH(" - ",TRIM('MSR RAW'!C763))-9)))</f>
        <v/>
      </c>
      <c r="G763">
        <f>IF(E763="","",IFERROR(VLOOKUP(E763,'CATEGORY MAP'!$A$2:$B$20,2,FALSE()),"REVIEW"))</f>
        <v/>
      </c>
      <c r="H763">
        <f>IF(E763="","",IFERROR(VALUE(SUBSTITUTE('MSR RAW'!P763,",","")),0))</f>
        <v/>
      </c>
      <c r="I763">
        <f>IF(E763="","",IFERROR(VALUE(SUBSTITUTE('MSR RAW'!S763,",","")),0))</f>
        <v/>
      </c>
    </row>
    <row r="764" ht="68.65000000000001" customHeight="1" s="126">
      <c r="A764" t="n">
        <v>764</v>
      </c>
      <c r="B764" s="30">
        <f>IF('MSR RAW'!$A$3="","",'MSR RAW'!$A$3)</f>
        <v/>
      </c>
      <c r="C764">
        <f>IF(LEFT(TRIM('MSR RAW'!A764),11)="Department:",TRIM('MSR RAW'!A764),C763)</f>
        <v/>
      </c>
      <c r="D764">
        <f>IF(LEFT(TRIM('MSR RAW'!B764),9)="Location:",TRIM(MID('MSR RAW'!B764,10,999)),D763)</f>
        <v/>
      </c>
      <c r="E764">
        <f>IF(AND(ISNUMBER(SEARCH(" - ",TRIM('MSR RAW'!C764))),RIGHT(TRIM('MSR RAW'!C764),6)="Total:"),LEFT(TRIM('MSR RAW'!C764),SEARCH(" - ",TRIM('MSR RAW'!C764))-1),"")</f>
        <v/>
      </c>
      <c r="F764">
        <f>IF(E764="","",TRIM(MID(TRIM('MSR RAW'!C764),SEARCH(" - ",TRIM('MSR RAW'!C764))+3,LEN(TRIM('MSR RAW'!C764))-SEARCH(" - ",TRIM('MSR RAW'!C764))-9)))</f>
        <v/>
      </c>
      <c r="G764">
        <f>IF(E764="","",IFERROR(VLOOKUP(E764,'CATEGORY MAP'!$A$2:$B$20,2,FALSE()),"REVIEW"))</f>
        <v/>
      </c>
      <c r="H764">
        <f>IF(E764="","",IFERROR(VALUE(SUBSTITUTE('MSR RAW'!P764,",","")),0))</f>
        <v/>
      </c>
      <c r="I764">
        <f>IF(E764="","",IFERROR(VALUE(SUBSTITUTE('MSR RAW'!S764,",","")),0))</f>
        <v/>
      </c>
    </row>
    <row r="765" ht="68.65000000000001" customHeight="1" s="126">
      <c r="A765" t="n">
        <v>765</v>
      </c>
      <c r="B765" s="30">
        <f>IF('MSR RAW'!$A$3="","",'MSR RAW'!$A$3)</f>
        <v/>
      </c>
      <c r="C765">
        <f>IF(LEFT(TRIM('MSR RAW'!A765),11)="Department:",TRIM('MSR RAW'!A765),C764)</f>
        <v/>
      </c>
      <c r="D765">
        <f>IF(LEFT(TRIM('MSR RAW'!B765),9)="Location:",TRIM(MID('MSR RAW'!B765,10,999)),D764)</f>
        <v/>
      </c>
      <c r="E765">
        <f>IF(AND(ISNUMBER(SEARCH(" - ",TRIM('MSR RAW'!C765))),RIGHT(TRIM('MSR RAW'!C765),6)="Total:"),LEFT(TRIM('MSR RAW'!C765),SEARCH(" - ",TRIM('MSR RAW'!C765))-1),"")</f>
        <v/>
      </c>
      <c r="F765">
        <f>IF(E765="","",TRIM(MID(TRIM('MSR RAW'!C765),SEARCH(" - ",TRIM('MSR RAW'!C765))+3,LEN(TRIM('MSR RAW'!C765))-SEARCH(" - ",TRIM('MSR RAW'!C765))-9)))</f>
        <v/>
      </c>
      <c r="G765">
        <f>IF(E765="","",IFERROR(VLOOKUP(E765,'CATEGORY MAP'!$A$2:$B$20,2,FALSE()),"REVIEW"))</f>
        <v/>
      </c>
      <c r="H765">
        <f>IF(E765="","",IFERROR(VALUE(SUBSTITUTE('MSR RAW'!P765,",","")),0))</f>
        <v/>
      </c>
      <c r="I765">
        <f>IF(E765="","",IFERROR(VALUE(SUBSTITUTE('MSR RAW'!S765,",","")),0))</f>
        <v/>
      </c>
    </row>
    <row r="766" ht="68.65000000000001" customHeight="1" s="126">
      <c r="A766" t="n">
        <v>766</v>
      </c>
      <c r="B766" s="30">
        <f>IF('MSR RAW'!$A$3="","",'MSR RAW'!$A$3)</f>
        <v/>
      </c>
      <c r="C766">
        <f>IF(LEFT(TRIM('MSR RAW'!A766),11)="Department:",TRIM('MSR RAW'!A766),C765)</f>
        <v/>
      </c>
      <c r="D766">
        <f>IF(LEFT(TRIM('MSR RAW'!B766),9)="Location:",TRIM(MID('MSR RAW'!B766,10,999)),D765)</f>
        <v/>
      </c>
      <c r="E766">
        <f>IF(AND(ISNUMBER(SEARCH(" - ",TRIM('MSR RAW'!C766))),RIGHT(TRIM('MSR RAW'!C766),6)="Total:"),LEFT(TRIM('MSR RAW'!C766),SEARCH(" - ",TRIM('MSR RAW'!C766))-1),"")</f>
        <v/>
      </c>
      <c r="F766">
        <f>IF(E766="","",TRIM(MID(TRIM('MSR RAW'!C766),SEARCH(" - ",TRIM('MSR RAW'!C766))+3,LEN(TRIM('MSR RAW'!C766))-SEARCH(" - ",TRIM('MSR RAW'!C766))-9)))</f>
        <v/>
      </c>
      <c r="G766">
        <f>IF(E766="","",IFERROR(VLOOKUP(E766,'CATEGORY MAP'!$A$2:$B$20,2,FALSE()),"REVIEW"))</f>
        <v/>
      </c>
      <c r="H766">
        <f>IF(E766="","",IFERROR(VALUE(SUBSTITUTE('MSR RAW'!P766,",","")),0))</f>
        <v/>
      </c>
      <c r="I766">
        <f>IF(E766="","",IFERROR(VALUE(SUBSTITUTE('MSR RAW'!S766,",","")),0))</f>
        <v/>
      </c>
    </row>
    <row r="767" ht="68.65000000000001" customHeight="1" s="126">
      <c r="A767" t="n">
        <v>767</v>
      </c>
      <c r="B767" s="30">
        <f>IF('MSR RAW'!$A$3="","",'MSR RAW'!$A$3)</f>
        <v/>
      </c>
      <c r="C767">
        <f>IF(LEFT(TRIM('MSR RAW'!A767),11)="Department:",TRIM('MSR RAW'!A767),C766)</f>
        <v/>
      </c>
      <c r="D767">
        <f>IF(LEFT(TRIM('MSR RAW'!B767),9)="Location:",TRIM(MID('MSR RAW'!B767,10,999)),D766)</f>
        <v/>
      </c>
      <c r="E767">
        <f>IF(AND(ISNUMBER(SEARCH(" - ",TRIM('MSR RAW'!C767))),RIGHT(TRIM('MSR RAW'!C767),6)="Total:"),LEFT(TRIM('MSR RAW'!C767),SEARCH(" - ",TRIM('MSR RAW'!C767))-1),"")</f>
        <v/>
      </c>
      <c r="F767">
        <f>IF(E767="","",TRIM(MID(TRIM('MSR RAW'!C767),SEARCH(" - ",TRIM('MSR RAW'!C767))+3,LEN(TRIM('MSR RAW'!C767))-SEARCH(" - ",TRIM('MSR RAW'!C767))-9)))</f>
        <v/>
      </c>
      <c r="G767">
        <f>IF(E767="","",IFERROR(VLOOKUP(E767,'CATEGORY MAP'!$A$2:$B$20,2,FALSE()),"REVIEW"))</f>
        <v/>
      </c>
      <c r="H767">
        <f>IF(E767="","",IFERROR(VALUE(SUBSTITUTE('MSR RAW'!P767,",","")),0))</f>
        <v/>
      </c>
      <c r="I767">
        <f>IF(E767="","",IFERROR(VALUE(SUBSTITUTE('MSR RAW'!S767,",","")),0))</f>
        <v/>
      </c>
    </row>
    <row r="768" ht="68.65000000000001" customHeight="1" s="126">
      <c r="A768" t="n">
        <v>768</v>
      </c>
      <c r="B768" s="30">
        <f>IF('MSR RAW'!$A$3="","",'MSR RAW'!$A$3)</f>
        <v/>
      </c>
      <c r="C768">
        <f>IF(LEFT(TRIM('MSR RAW'!A768),11)="Department:",TRIM('MSR RAW'!A768),C767)</f>
        <v/>
      </c>
      <c r="D768">
        <f>IF(LEFT(TRIM('MSR RAW'!B768),9)="Location:",TRIM(MID('MSR RAW'!B768,10,999)),D767)</f>
        <v/>
      </c>
      <c r="E768">
        <f>IF(AND(ISNUMBER(SEARCH(" - ",TRIM('MSR RAW'!C768))),RIGHT(TRIM('MSR RAW'!C768),6)="Total:"),LEFT(TRIM('MSR RAW'!C768),SEARCH(" - ",TRIM('MSR RAW'!C768))-1),"")</f>
        <v/>
      </c>
      <c r="F768">
        <f>IF(E768="","",TRIM(MID(TRIM('MSR RAW'!C768),SEARCH(" - ",TRIM('MSR RAW'!C768))+3,LEN(TRIM('MSR RAW'!C768))-SEARCH(" - ",TRIM('MSR RAW'!C768))-9)))</f>
        <v/>
      </c>
      <c r="G768">
        <f>IF(E768="","",IFERROR(VLOOKUP(E768,'CATEGORY MAP'!$A$2:$B$20,2,FALSE()),"REVIEW"))</f>
        <v/>
      </c>
      <c r="H768">
        <f>IF(E768="","",IFERROR(VALUE(SUBSTITUTE('MSR RAW'!P768,",","")),0))</f>
        <v/>
      </c>
      <c r="I768">
        <f>IF(E768="","",IFERROR(VALUE(SUBSTITUTE('MSR RAW'!S768,",","")),0))</f>
        <v/>
      </c>
    </row>
    <row r="769" ht="68.65000000000001" customHeight="1" s="126">
      <c r="A769" t="n">
        <v>769</v>
      </c>
      <c r="B769" s="30">
        <f>IF('MSR RAW'!$A$3="","",'MSR RAW'!$A$3)</f>
        <v/>
      </c>
      <c r="C769">
        <f>IF(LEFT(TRIM('MSR RAW'!A769),11)="Department:",TRIM('MSR RAW'!A769),C768)</f>
        <v/>
      </c>
      <c r="D769">
        <f>IF(LEFT(TRIM('MSR RAW'!B769),9)="Location:",TRIM(MID('MSR RAW'!B769,10,999)),D768)</f>
        <v/>
      </c>
      <c r="E769">
        <f>IF(AND(ISNUMBER(SEARCH(" - ",TRIM('MSR RAW'!C769))),RIGHT(TRIM('MSR RAW'!C769),6)="Total:"),LEFT(TRIM('MSR RAW'!C769),SEARCH(" - ",TRIM('MSR RAW'!C769))-1),"")</f>
        <v/>
      </c>
      <c r="F769">
        <f>IF(E769="","",TRIM(MID(TRIM('MSR RAW'!C769),SEARCH(" - ",TRIM('MSR RAW'!C769))+3,LEN(TRIM('MSR RAW'!C769))-SEARCH(" - ",TRIM('MSR RAW'!C769))-9)))</f>
        <v/>
      </c>
      <c r="G769">
        <f>IF(E769="","",IFERROR(VLOOKUP(E769,'CATEGORY MAP'!$A$2:$B$20,2,FALSE()),"REVIEW"))</f>
        <v/>
      </c>
      <c r="H769">
        <f>IF(E769="","",IFERROR(VALUE(SUBSTITUTE('MSR RAW'!P769,",","")),0))</f>
        <v/>
      </c>
      <c r="I769">
        <f>IF(E769="","",IFERROR(VALUE(SUBSTITUTE('MSR RAW'!S769,",","")),0))</f>
        <v/>
      </c>
    </row>
    <row r="770" ht="68.65000000000001" customHeight="1" s="126">
      <c r="A770" t="n">
        <v>770</v>
      </c>
      <c r="B770" s="30">
        <f>IF('MSR RAW'!$A$3="","",'MSR RAW'!$A$3)</f>
        <v/>
      </c>
      <c r="C770">
        <f>IF(LEFT(TRIM('MSR RAW'!A770),11)="Department:",TRIM('MSR RAW'!A770),C769)</f>
        <v/>
      </c>
      <c r="D770">
        <f>IF(LEFT(TRIM('MSR RAW'!B770),9)="Location:",TRIM(MID('MSR RAW'!B770,10,999)),D769)</f>
        <v/>
      </c>
      <c r="E770">
        <f>IF(AND(ISNUMBER(SEARCH(" - ",TRIM('MSR RAW'!C770))),RIGHT(TRIM('MSR RAW'!C770),6)="Total:"),LEFT(TRIM('MSR RAW'!C770),SEARCH(" - ",TRIM('MSR RAW'!C770))-1),"")</f>
        <v/>
      </c>
      <c r="F770">
        <f>IF(E770="","",TRIM(MID(TRIM('MSR RAW'!C770),SEARCH(" - ",TRIM('MSR RAW'!C770))+3,LEN(TRIM('MSR RAW'!C770))-SEARCH(" - ",TRIM('MSR RAW'!C770))-9)))</f>
        <v/>
      </c>
      <c r="G770">
        <f>IF(E770="","",IFERROR(VLOOKUP(E770,'CATEGORY MAP'!$A$2:$B$20,2,FALSE()),"REVIEW"))</f>
        <v/>
      </c>
      <c r="H770">
        <f>IF(E770="","",IFERROR(VALUE(SUBSTITUTE('MSR RAW'!P770,",","")),0))</f>
        <v/>
      </c>
      <c r="I770">
        <f>IF(E770="","",IFERROR(VALUE(SUBSTITUTE('MSR RAW'!S770,",","")),0))</f>
        <v/>
      </c>
    </row>
    <row r="771" ht="68.65000000000001" customHeight="1" s="126">
      <c r="A771" t="n">
        <v>771</v>
      </c>
      <c r="B771" s="30">
        <f>IF('MSR RAW'!$A$3="","",'MSR RAW'!$A$3)</f>
        <v/>
      </c>
      <c r="C771">
        <f>IF(LEFT(TRIM('MSR RAW'!A771),11)="Department:",TRIM('MSR RAW'!A771),C770)</f>
        <v/>
      </c>
      <c r="D771">
        <f>IF(LEFT(TRIM('MSR RAW'!B771),9)="Location:",TRIM(MID('MSR RAW'!B771,10,999)),D770)</f>
        <v/>
      </c>
      <c r="E771">
        <f>IF(AND(ISNUMBER(SEARCH(" - ",TRIM('MSR RAW'!C771))),RIGHT(TRIM('MSR RAW'!C771),6)="Total:"),LEFT(TRIM('MSR RAW'!C771),SEARCH(" - ",TRIM('MSR RAW'!C771))-1),"")</f>
        <v/>
      </c>
      <c r="F771">
        <f>IF(E771="","",TRIM(MID(TRIM('MSR RAW'!C771),SEARCH(" - ",TRIM('MSR RAW'!C771))+3,LEN(TRIM('MSR RAW'!C771))-SEARCH(" - ",TRIM('MSR RAW'!C771))-9)))</f>
        <v/>
      </c>
      <c r="G771">
        <f>IF(E771="","",IFERROR(VLOOKUP(E771,'CATEGORY MAP'!$A$2:$B$20,2,FALSE()),"REVIEW"))</f>
        <v/>
      </c>
      <c r="H771">
        <f>IF(E771="","",IFERROR(VALUE(SUBSTITUTE('MSR RAW'!P771,",","")),0))</f>
        <v/>
      </c>
      <c r="I771">
        <f>IF(E771="","",IFERROR(VALUE(SUBSTITUTE('MSR RAW'!S771,",","")),0))</f>
        <v/>
      </c>
    </row>
    <row r="772" ht="68.65000000000001" customHeight="1" s="126">
      <c r="A772" t="n">
        <v>772</v>
      </c>
      <c r="B772" s="30">
        <f>IF('MSR RAW'!$A$3="","",'MSR RAW'!$A$3)</f>
        <v/>
      </c>
      <c r="C772">
        <f>IF(LEFT(TRIM('MSR RAW'!A772),11)="Department:",TRIM('MSR RAW'!A772),C771)</f>
        <v/>
      </c>
      <c r="D772">
        <f>IF(LEFT(TRIM('MSR RAW'!B772),9)="Location:",TRIM(MID('MSR RAW'!B772,10,999)),D771)</f>
        <v/>
      </c>
      <c r="E772">
        <f>IF(AND(ISNUMBER(SEARCH(" - ",TRIM('MSR RAW'!C772))),RIGHT(TRIM('MSR RAW'!C772),6)="Total:"),LEFT(TRIM('MSR RAW'!C772),SEARCH(" - ",TRIM('MSR RAW'!C772))-1),"")</f>
        <v/>
      </c>
      <c r="F772">
        <f>IF(E772="","",TRIM(MID(TRIM('MSR RAW'!C772),SEARCH(" - ",TRIM('MSR RAW'!C772))+3,LEN(TRIM('MSR RAW'!C772))-SEARCH(" - ",TRIM('MSR RAW'!C772))-9)))</f>
        <v/>
      </c>
      <c r="G772">
        <f>IF(E772="","",IFERROR(VLOOKUP(E772,'CATEGORY MAP'!$A$2:$B$20,2,FALSE()),"REVIEW"))</f>
        <v/>
      </c>
      <c r="H772">
        <f>IF(E772="","",IFERROR(VALUE(SUBSTITUTE('MSR RAW'!P772,",","")),0))</f>
        <v/>
      </c>
      <c r="I772">
        <f>IF(E772="","",IFERROR(VALUE(SUBSTITUTE('MSR RAW'!S772,",","")),0))</f>
        <v/>
      </c>
    </row>
    <row r="773" ht="68.65000000000001" customHeight="1" s="126">
      <c r="A773" t="n">
        <v>773</v>
      </c>
      <c r="B773" s="30">
        <f>IF('MSR RAW'!$A$3="","",'MSR RAW'!$A$3)</f>
        <v/>
      </c>
      <c r="C773">
        <f>IF(LEFT(TRIM('MSR RAW'!A773),11)="Department:",TRIM('MSR RAW'!A773),C772)</f>
        <v/>
      </c>
      <c r="D773">
        <f>IF(LEFT(TRIM('MSR RAW'!B773),9)="Location:",TRIM(MID('MSR RAW'!B773,10,999)),D772)</f>
        <v/>
      </c>
      <c r="E773">
        <f>IF(AND(ISNUMBER(SEARCH(" - ",TRIM('MSR RAW'!C773))),RIGHT(TRIM('MSR RAW'!C773),6)="Total:"),LEFT(TRIM('MSR RAW'!C773),SEARCH(" - ",TRIM('MSR RAW'!C773))-1),"")</f>
        <v/>
      </c>
      <c r="F773">
        <f>IF(E773="","",TRIM(MID(TRIM('MSR RAW'!C773),SEARCH(" - ",TRIM('MSR RAW'!C773))+3,LEN(TRIM('MSR RAW'!C773))-SEARCH(" - ",TRIM('MSR RAW'!C773))-9)))</f>
        <v/>
      </c>
      <c r="G773">
        <f>IF(E773="","",IFERROR(VLOOKUP(E773,'CATEGORY MAP'!$A$2:$B$20,2,FALSE()),"REVIEW"))</f>
        <v/>
      </c>
      <c r="H773">
        <f>IF(E773="","",IFERROR(VALUE(SUBSTITUTE('MSR RAW'!P773,",","")),0))</f>
        <v/>
      </c>
      <c r="I773">
        <f>IF(E773="","",IFERROR(VALUE(SUBSTITUTE('MSR RAW'!S773,",","")),0))</f>
        <v/>
      </c>
    </row>
    <row r="774" ht="68.65000000000001" customHeight="1" s="126">
      <c r="A774" t="n">
        <v>774</v>
      </c>
      <c r="B774" s="30">
        <f>IF('MSR RAW'!$A$3="","",'MSR RAW'!$A$3)</f>
        <v/>
      </c>
      <c r="C774">
        <f>IF(LEFT(TRIM('MSR RAW'!A774),11)="Department:",TRIM('MSR RAW'!A774),C773)</f>
        <v/>
      </c>
      <c r="D774">
        <f>IF(LEFT(TRIM('MSR RAW'!B774),9)="Location:",TRIM(MID('MSR RAW'!B774,10,999)),D773)</f>
        <v/>
      </c>
      <c r="E774">
        <f>IF(AND(ISNUMBER(SEARCH(" - ",TRIM('MSR RAW'!C774))),RIGHT(TRIM('MSR RAW'!C774),6)="Total:"),LEFT(TRIM('MSR RAW'!C774),SEARCH(" - ",TRIM('MSR RAW'!C774))-1),"")</f>
        <v/>
      </c>
      <c r="F774">
        <f>IF(E774="","",TRIM(MID(TRIM('MSR RAW'!C774),SEARCH(" - ",TRIM('MSR RAW'!C774))+3,LEN(TRIM('MSR RAW'!C774))-SEARCH(" - ",TRIM('MSR RAW'!C774))-9)))</f>
        <v/>
      </c>
      <c r="G774">
        <f>IF(E774="","",IFERROR(VLOOKUP(E774,'CATEGORY MAP'!$A$2:$B$20,2,FALSE()),"REVIEW"))</f>
        <v/>
      </c>
      <c r="H774">
        <f>IF(E774="","",IFERROR(VALUE(SUBSTITUTE('MSR RAW'!P774,",","")),0))</f>
        <v/>
      </c>
      <c r="I774">
        <f>IF(E774="","",IFERROR(VALUE(SUBSTITUTE('MSR RAW'!S774,",","")),0))</f>
        <v/>
      </c>
    </row>
    <row r="775" ht="68.65000000000001" customHeight="1" s="126">
      <c r="A775" t="n">
        <v>775</v>
      </c>
      <c r="B775" s="30">
        <f>IF('MSR RAW'!$A$3="","",'MSR RAW'!$A$3)</f>
        <v/>
      </c>
      <c r="C775">
        <f>IF(LEFT(TRIM('MSR RAW'!A775),11)="Department:",TRIM('MSR RAW'!A775),C774)</f>
        <v/>
      </c>
      <c r="D775">
        <f>IF(LEFT(TRIM('MSR RAW'!B775),9)="Location:",TRIM(MID('MSR RAW'!B775,10,999)),D774)</f>
        <v/>
      </c>
      <c r="E775">
        <f>IF(AND(ISNUMBER(SEARCH(" - ",TRIM('MSR RAW'!C775))),RIGHT(TRIM('MSR RAW'!C775),6)="Total:"),LEFT(TRIM('MSR RAW'!C775),SEARCH(" - ",TRIM('MSR RAW'!C775))-1),"")</f>
        <v/>
      </c>
      <c r="F775">
        <f>IF(E775="","",TRIM(MID(TRIM('MSR RAW'!C775),SEARCH(" - ",TRIM('MSR RAW'!C775))+3,LEN(TRIM('MSR RAW'!C775))-SEARCH(" - ",TRIM('MSR RAW'!C775))-9)))</f>
        <v/>
      </c>
      <c r="G775">
        <f>IF(E775="","",IFERROR(VLOOKUP(E775,'CATEGORY MAP'!$A$2:$B$20,2,FALSE()),"REVIEW"))</f>
        <v/>
      </c>
      <c r="H775">
        <f>IF(E775="","",IFERROR(VALUE(SUBSTITUTE('MSR RAW'!P775,",","")),0))</f>
        <v/>
      </c>
      <c r="I775">
        <f>IF(E775="","",IFERROR(VALUE(SUBSTITUTE('MSR RAW'!S775,",","")),0))</f>
        <v/>
      </c>
    </row>
    <row r="776" ht="68.65000000000001" customHeight="1" s="126">
      <c r="A776" t="n">
        <v>776</v>
      </c>
      <c r="B776" s="30">
        <f>IF('MSR RAW'!$A$3="","",'MSR RAW'!$A$3)</f>
        <v/>
      </c>
      <c r="C776">
        <f>IF(LEFT(TRIM('MSR RAW'!A776),11)="Department:",TRIM('MSR RAW'!A776),C775)</f>
        <v/>
      </c>
      <c r="D776">
        <f>IF(LEFT(TRIM('MSR RAW'!B776),9)="Location:",TRIM(MID('MSR RAW'!B776,10,999)),D775)</f>
        <v/>
      </c>
      <c r="E776">
        <f>IF(AND(ISNUMBER(SEARCH(" - ",TRIM('MSR RAW'!C776))),RIGHT(TRIM('MSR RAW'!C776),6)="Total:"),LEFT(TRIM('MSR RAW'!C776),SEARCH(" - ",TRIM('MSR RAW'!C776))-1),"")</f>
        <v/>
      </c>
      <c r="F776">
        <f>IF(E776="","",TRIM(MID(TRIM('MSR RAW'!C776),SEARCH(" - ",TRIM('MSR RAW'!C776))+3,LEN(TRIM('MSR RAW'!C776))-SEARCH(" - ",TRIM('MSR RAW'!C776))-9)))</f>
        <v/>
      </c>
      <c r="G776">
        <f>IF(E776="","",IFERROR(VLOOKUP(E776,'CATEGORY MAP'!$A$2:$B$20,2,FALSE()),"REVIEW"))</f>
        <v/>
      </c>
      <c r="H776">
        <f>IF(E776="","",IFERROR(VALUE(SUBSTITUTE('MSR RAW'!P776,",","")),0))</f>
        <v/>
      </c>
      <c r="I776">
        <f>IF(E776="","",IFERROR(VALUE(SUBSTITUTE('MSR RAW'!S776,",","")),0))</f>
        <v/>
      </c>
    </row>
    <row r="777" ht="68.65000000000001" customHeight="1" s="126">
      <c r="A777" t="n">
        <v>777</v>
      </c>
      <c r="B777" s="30">
        <f>IF('MSR RAW'!$A$3="","",'MSR RAW'!$A$3)</f>
        <v/>
      </c>
      <c r="C777">
        <f>IF(LEFT(TRIM('MSR RAW'!A777),11)="Department:",TRIM('MSR RAW'!A777),C776)</f>
        <v/>
      </c>
      <c r="D777">
        <f>IF(LEFT(TRIM('MSR RAW'!B777),9)="Location:",TRIM(MID('MSR RAW'!B777,10,999)),D776)</f>
        <v/>
      </c>
      <c r="E777">
        <f>IF(AND(ISNUMBER(SEARCH(" - ",TRIM('MSR RAW'!C777))),RIGHT(TRIM('MSR RAW'!C777),6)="Total:"),LEFT(TRIM('MSR RAW'!C777),SEARCH(" - ",TRIM('MSR RAW'!C777))-1),"")</f>
        <v/>
      </c>
      <c r="F777">
        <f>IF(E777="","",TRIM(MID(TRIM('MSR RAW'!C777),SEARCH(" - ",TRIM('MSR RAW'!C777))+3,LEN(TRIM('MSR RAW'!C777))-SEARCH(" - ",TRIM('MSR RAW'!C777))-9)))</f>
        <v/>
      </c>
      <c r="G777">
        <f>IF(E777="","",IFERROR(VLOOKUP(E777,'CATEGORY MAP'!$A$2:$B$20,2,FALSE()),"REVIEW"))</f>
        <v/>
      </c>
      <c r="H777">
        <f>IF(E777="","",IFERROR(VALUE(SUBSTITUTE('MSR RAW'!P777,",","")),0))</f>
        <v/>
      </c>
      <c r="I777">
        <f>IF(E777="","",IFERROR(VALUE(SUBSTITUTE('MSR RAW'!S777,",","")),0))</f>
        <v/>
      </c>
    </row>
    <row r="778" ht="68.65000000000001" customHeight="1" s="126">
      <c r="A778" t="n">
        <v>778</v>
      </c>
      <c r="B778" s="30">
        <f>IF('MSR RAW'!$A$3="","",'MSR RAW'!$A$3)</f>
        <v/>
      </c>
      <c r="C778">
        <f>IF(LEFT(TRIM('MSR RAW'!A778),11)="Department:",TRIM('MSR RAW'!A778),C777)</f>
        <v/>
      </c>
      <c r="D778">
        <f>IF(LEFT(TRIM('MSR RAW'!B778),9)="Location:",TRIM(MID('MSR RAW'!B778,10,999)),D777)</f>
        <v/>
      </c>
      <c r="E778">
        <f>IF(AND(ISNUMBER(SEARCH(" - ",TRIM('MSR RAW'!C778))),RIGHT(TRIM('MSR RAW'!C778),6)="Total:"),LEFT(TRIM('MSR RAW'!C778),SEARCH(" - ",TRIM('MSR RAW'!C778))-1),"")</f>
        <v/>
      </c>
      <c r="F778">
        <f>IF(E778="","",TRIM(MID(TRIM('MSR RAW'!C778),SEARCH(" - ",TRIM('MSR RAW'!C778))+3,LEN(TRIM('MSR RAW'!C778))-SEARCH(" - ",TRIM('MSR RAW'!C778))-9)))</f>
        <v/>
      </c>
      <c r="G778">
        <f>IF(E778="","",IFERROR(VLOOKUP(E778,'CATEGORY MAP'!$A$2:$B$20,2,FALSE()),"REVIEW"))</f>
        <v/>
      </c>
      <c r="H778">
        <f>IF(E778="","",IFERROR(VALUE(SUBSTITUTE('MSR RAW'!P778,",","")),0))</f>
        <v/>
      </c>
      <c r="I778">
        <f>IF(E778="","",IFERROR(VALUE(SUBSTITUTE('MSR RAW'!S778,",","")),0))</f>
        <v/>
      </c>
    </row>
    <row r="779" ht="68.65000000000001" customHeight="1" s="126">
      <c r="A779" t="n">
        <v>779</v>
      </c>
      <c r="B779" s="30">
        <f>IF('MSR RAW'!$A$3="","",'MSR RAW'!$A$3)</f>
        <v/>
      </c>
      <c r="C779">
        <f>IF(LEFT(TRIM('MSR RAW'!A779),11)="Department:",TRIM('MSR RAW'!A779),C778)</f>
        <v/>
      </c>
      <c r="D779">
        <f>IF(LEFT(TRIM('MSR RAW'!B779),9)="Location:",TRIM(MID('MSR RAW'!B779,10,999)),D778)</f>
        <v/>
      </c>
      <c r="E779">
        <f>IF(AND(ISNUMBER(SEARCH(" - ",TRIM('MSR RAW'!C779))),RIGHT(TRIM('MSR RAW'!C779),6)="Total:"),LEFT(TRIM('MSR RAW'!C779),SEARCH(" - ",TRIM('MSR RAW'!C779))-1),"")</f>
        <v/>
      </c>
      <c r="F779">
        <f>IF(E779="","",TRIM(MID(TRIM('MSR RAW'!C779),SEARCH(" - ",TRIM('MSR RAW'!C779))+3,LEN(TRIM('MSR RAW'!C779))-SEARCH(" - ",TRIM('MSR RAW'!C779))-9)))</f>
        <v/>
      </c>
      <c r="G779">
        <f>IF(E779="","",IFERROR(VLOOKUP(E779,'CATEGORY MAP'!$A$2:$B$20,2,FALSE()),"REVIEW"))</f>
        <v/>
      </c>
      <c r="H779">
        <f>IF(E779="","",IFERROR(VALUE(SUBSTITUTE('MSR RAW'!P779,",","")),0))</f>
        <v/>
      </c>
      <c r="I779">
        <f>IF(E779="","",IFERROR(VALUE(SUBSTITUTE('MSR RAW'!S779,",","")),0))</f>
        <v/>
      </c>
    </row>
    <row r="780" ht="68.65000000000001" customHeight="1" s="126">
      <c r="A780" t="n">
        <v>780</v>
      </c>
      <c r="B780" s="30">
        <f>IF('MSR RAW'!$A$3="","",'MSR RAW'!$A$3)</f>
        <v/>
      </c>
      <c r="C780">
        <f>IF(LEFT(TRIM('MSR RAW'!A780),11)="Department:",TRIM('MSR RAW'!A780),C779)</f>
        <v/>
      </c>
      <c r="D780">
        <f>IF(LEFT(TRIM('MSR RAW'!B780),9)="Location:",TRIM(MID('MSR RAW'!B780,10,999)),D779)</f>
        <v/>
      </c>
      <c r="E780">
        <f>IF(AND(ISNUMBER(SEARCH(" - ",TRIM('MSR RAW'!C780))),RIGHT(TRIM('MSR RAW'!C780),6)="Total:"),LEFT(TRIM('MSR RAW'!C780),SEARCH(" - ",TRIM('MSR RAW'!C780))-1),"")</f>
        <v/>
      </c>
      <c r="F780">
        <f>IF(E780="","",TRIM(MID(TRIM('MSR RAW'!C780),SEARCH(" - ",TRIM('MSR RAW'!C780))+3,LEN(TRIM('MSR RAW'!C780))-SEARCH(" - ",TRIM('MSR RAW'!C780))-9)))</f>
        <v/>
      </c>
      <c r="G780">
        <f>IF(E780="","",IFERROR(VLOOKUP(E780,'CATEGORY MAP'!$A$2:$B$20,2,FALSE()),"REVIEW"))</f>
        <v/>
      </c>
      <c r="H780">
        <f>IF(E780="","",IFERROR(VALUE(SUBSTITUTE('MSR RAW'!P780,",","")),0))</f>
        <v/>
      </c>
      <c r="I780">
        <f>IF(E780="","",IFERROR(VALUE(SUBSTITUTE('MSR RAW'!S780,",","")),0))</f>
        <v/>
      </c>
    </row>
    <row r="781" ht="68.65000000000001" customHeight="1" s="126">
      <c r="A781" t="n">
        <v>781</v>
      </c>
      <c r="B781" s="30">
        <f>IF('MSR RAW'!$A$3="","",'MSR RAW'!$A$3)</f>
        <v/>
      </c>
      <c r="C781">
        <f>IF(LEFT(TRIM('MSR RAW'!A781),11)="Department:",TRIM('MSR RAW'!A781),C780)</f>
        <v/>
      </c>
      <c r="D781">
        <f>IF(LEFT(TRIM('MSR RAW'!B781),9)="Location:",TRIM(MID('MSR RAW'!B781,10,999)),D780)</f>
        <v/>
      </c>
      <c r="E781">
        <f>IF(AND(ISNUMBER(SEARCH(" - ",TRIM('MSR RAW'!C781))),RIGHT(TRIM('MSR RAW'!C781),6)="Total:"),LEFT(TRIM('MSR RAW'!C781),SEARCH(" - ",TRIM('MSR RAW'!C781))-1),"")</f>
        <v/>
      </c>
      <c r="F781">
        <f>IF(E781="","",TRIM(MID(TRIM('MSR RAW'!C781),SEARCH(" - ",TRIM('MSR RAW'!C781))+3,LEN(TRIM('MSR RAW'!C781))-SEARCH(" - ",TRIM('MSR RAW'!C781))-9)))</f>
        <v/>
      </c>
      <c r="G781">
        <f>IF(E781="","",IFERROR(VLOOKUP(E781,'CATEGORY MAP'!$A$2:$B$20,2,FALSE()),"REVIEW"))</f>
        <v/>
      </c>
      <c r="H781">
        <f>IF(E781="","",IFERROR(VALUE(SUBSTITUTE('MSR RAW'!P781,",","")),0))</f>
        <v/>
      </c>
      <c r="I781">
        <f>IF(E781="","",IFERROR(VALUE(SUBSTITUTE('MSR RAW'!S781,",","")),0))</f>
        <v/>
      </c>
    </row>
    <row r="782" ht="68.65000000000001" customHeight="1" s="126">
      <c r="A782" t="n">
        <v>782</v>
      </c>
      <c r="B782" s="30">
        <f>IF('MSR RAW'!$A$3="","",'MSR RAW'!$A$3)</f>
        <v/>
      </c>
      <c r="C782">
        <f>IF(LEFT(TRIM('MSR RAW'!A782),11)="Department:",TRIM('MSR RAW'!A782),C781)</f>
        <v/>
      </c>
      <c r="D782">
        <f>IF(LEFT(TRIM('MSR RAW'!B782),9)="Location:",TRIM(MID('MSR RAW'!B782,10,999)),D781)</f>
        <v/>
      </c>
      <c r="E782">
        <f>IF(AND(ISNUMBER(SEARCH(" - ",TRIM('MSR RAW'!C782))),RIGHT(TRIM('MSR RAW'!C782),6)="Total:"),LEFT(TRIM('MSR RAW'!C782),SEARCH(" - ",TRIM('MSR RAW'!C782))-1),"")</f>
        <v/>
      </c>
      <c r="F782">
        <f>IF(E782="","",TRIM(MID(TRIM('MSR RAW'!C782),SEARCH(" - ",TRIM('MSR RAW'!C782))+3,LEN(TRIM('MSR RAW'!C782))-SEARCH(" - ",TRIM('MSR RAW'!C782))-9)))</f>
        <v/>
      </c>
      <c r="G782">
        <f>IF(E782="","",IFERROR(VLOOKUP(E782,'CATEGORY MAP'!$A$2:$B$20,2,FALSE()),"REVIEW"))</f>
        <v/>
      </c>
      <c r="H782">
        <f>IF(E782="","",IFERROR(VALUE(SUBSTITUTE('MSR RAW'!P782,",","")),0))</f>
        <v/>
      </c>
      <c r="I782">
        <f>IF(E782="","",IFERROR(VALUE(SUBSTITUTE('MSR RAW'!S782,",","")),0))</f>
        <v/>
      </c>
    </row>
    <row r="783" ht="68.65000000000001" customHeight="1" s="126">
      <c r="A783" t="n">
        <v>783</v>
      </c>
      <c r="B783" s="30">
        <f>IF('MSR RAW'!$A$3="","",'MSR RAW'!$A$3)</f>
        <v/>
      </c>
      <c r="C783">
        <f>IF(LEFT(TRIM('MSR RAW'!A783),11)="Department:",TRIM('MSR RAW'!A783),C782)</f>
        <v/>
      </c>
      <c r="D783">
        <f>IF(LEFT(TRIM('MSR RAW'!B783),9)="Location:",TRIM(MID('MSR RAW'!B783,10,999)),D782)</f>
        <v/>
      </c>
      <c r="E783">
        <f>IF(AND(ISNUMBER(SEARCH(" - ",TRIM('MSR RAW'!C783))),RIGHT(TRIM('MSR RAW'!C783),6)="Total:"),LEFT(TRIM('MSR RAW'!C783),SEARCH(" - ",TRIM('MSR RAW'!C783))-1),"")</f>
        <v/>
      </c>
      <c r="F783">
        <f>IF(E783="","",TRIM(MID(TRIM('MSR RAW'!C783),SEARCH(" - ",TRIM('MSR RAW'!C783))+3,LEN(TRIM('MSR RAW'!C783))-SEARCH(" - ",TRIM('MSR RAW'!C783))-9)))</f>
        <v/>
      </c>
      <c r="G783">
        <f>IF(E783="","",IFERROR(VLOOKUP(E783,'CATEGORY MAP'!$A$2:$B$20,2,FALSE()),"REVIEW"))</f>
        <v/>
      </c>
      <c r="H783">
        <f>IF(E783="","",IFERROR(VALUE(SUBSTITUTE('MSR RAW'!P783,",","")),0))</f>
        <v/>
      </c>
      <c r="I783">
        <f>IF(E783="","",IFERROR(VALUE(SUBSTITUTE('MSR RAW'!S783,",","")),0))</f>
        <v/>
      </c>
    </row>
    <row r="784" ht="68.65000000000001" customHeight="1" s="126">
      <c r="A784" t="n">
        <v>784</v>
      </c>
      <c r="B784" s="30">
        <f>IF('MSR RAW'!$A$3="","",'MSR RAW'!$A$3)</f>
        <v/>
      </c>
      <c r="C784">
        <f>IF(LEFT(TRIM('MSR RAW'!A784),11)="Department:",TRIM('MSR RAW'!A784),C783)</f>
        <v/>
      </c>
      <c r="D784">
        <f>IF(LEFT(TRIM('MSR RAW'!B784),9)="Location:",TRIM(MID('MSR RAW'!B784,10,999)),D783)</f>
        <v/>
      </c>
      <c r="E784">
        <f>IF(AND(ISNUMBER(SEARCH(" - ",TRIM('MSR RAW'!C784))),RIGHT(TRIM('MSR RAW'!C784),6)="Total:"),LEFT(TRIM('MSR RAW'!C784),SEARCH(" - ",TRIM('MSR RAW'!C784))-1),"")</f>
        <v/>
      </c>
      <c r="F784">
        <f>IF(E784="","",TRIM(MID(TRIM('MSR RAW'!C784),SEARCH(" - ",TRIM('MSR RAW'!C784))+3,LEN(TRIM('MSR RAW'!C784))-SEARCH(" - ",TRIM('MSR RAW'!C784))-9)))</f>
        <v/>
      </c>
      <c r="G784">
        <f>IF(E784="","",IFERROR(VLOOKUP(E784,'CATEGORY MAP'!$A$2:$B$20,2,FALSE()),"REVIEW"))</f>
        <v/>
      </c>
      <c r="H784">
        <f>IF(E784="","",IFERROR(VALUE(SUBSTITUTE('MSR RAW'!P784,",","")),0))</f>
        <v/>
      </c>
      <c r="I784">
        <f>IF(E784="","",IFERROR(VALUE(SUBSTITUTE('MSR RAW'!S784,",","")),0))</f>
        <v/>
      </c>
    </row>
    <row r="785" ht="68.65000000000001" customHeight="1" s="126">
      <c r="A785" t="n">
        <v>785</v>
      </c>
      <c r="B785" s="30">
        <f>IF('MSR RAW'!$A$3="","",'MSR RAW'!$A$3)</f>
        <v/>
      </c>
      <c r="C785">
        <f>IF(LEFT(TRIM('MSR RAW'!A785),11)="Department:",TRIM('MSR RAW'!A785),C784)</f>
        <v/>
      </c>
      <c r="D785">
        <f>IF(LEFT(TRIM('MSR RAW'!B785),9)="Location:",TRIM(MID('MSR RAW'!B785,10,999)),D784)</f>
        <v/>
      </c>
      <c r="E785">
        <f>IF(AND(ISNUMBER(SEARCH(" - ",TRIM('MSR RAW'!C785))),RIGHT(TRIM('MSR RAW'!C785),6)="Total:"),LEFT(TRIM('MSR RAW'!C785),SEARCH(" - ",TRIM('MSR RAW'!C785))-1),"")</f>
        <v/>
      </c>
      <c r="F785">
        <f>IF(E785="","",TRIM(MID(TRIM('MSR RAW'!C785),SEARCH(" - ",TRIM('MSR RAW'!C785))+3,LEN(TRIM('MSR RAW'!C785))-SEARCH(" - ",TRIM('MSR RAW'!C785))-9)))</f>
        <v/>
      </c>
      <c r="G785">
        <f>IF(E785="","",IFERROR(VLOOKUP(E785,'CATEGORY MAP'!$A$2:$B$20,2,FALSE()),"REVIEW"))</f>
        <v/>
      </c>
      <c r="H785">
        <f>IF(E785="","",IFERROR(VALUE(SUBSTITUTE('MSR RAW'!P785,",","")),0))</f>
        <v/>
      </c>
      <c r="I785">
        <f>IF(E785="","",IFERROR(VALUE(SUBSTITUTE('MSR RAW'!S785,",","")),0))</f>
        <v/>
      </c>
    </row>
    <row r="786" ht="68.65000000000001" customHeight="1" s="126">
      <c r="A786" t="n">
        <v>786</v>
      </c>
      <c r="B786" s="30">
        <f>IF('MSR RAW'!$A$3="","",'MSR RAW'!$A$3)</f>
        <v/>
      </c>
      <c r="C786">
        <f>IF(LEFT(TRIM('MSR RAW'!A786),11)="Department:",TRIM('MSR RAW'!A786),C785)</f>
        <v/>
      </c>
      <c r="D786">
        <f>IF(LEFT(TRIM('MSR RAW'!B786),9)="Location:",TRIM(MID('MSR RAW'!B786,10,999)),D785)</f>
        <v/>
      </c>
      <c r="E786">
        <f>IF(AND(ISNUMBER(SEARCH(" - ",TRIM('MSR RAW'!C786))),RIGHT(TRIM('MSR RAW'!C786),6)="Total:"),LEFT(TRIM('MSR RAW'!C786),SEARCH(" - ",TRIM('MSR RAW'!C786))-1),"")</f>
        <v/>
      </c>
      <c r="F786">
        <f>IF(E786="","",TRIM(MID(TRIM('MSR RAW'!C786),SEARCH(" - ",TRIM('MSR RAW'!C786))+3,LEN(TRIM('MSR RAW'!C786))-SEARCH(" - ",TRIM('MSR RAW'!C786))-9)))</f>
        <v/>
      </c>
      <c r="G786">
        <f>IF(E786="","",IFERROR(VLOOKUP(E786,'CATEGORY MAP'!$A$2:$B$20,2,FALSE()),"REVIEW"))</f>
        <v/>
      </c>
      <c r="H786">
        <f>IF(E786="","",IFERROR(VALUE(SUBSTITUTE('MSR RAW'!P786,",","")),0))</f>
        <v/>
      </c>
      <c r="I786">
        <f>IF(E786="","",IFERROR(VALUE(SUBSTITUTE('MSR RAW'!S786,",","")),0))</f>
        <v/>
      </c>
    </row>
    <row r="787" ht="68.65000000000001" customHeight="1" s="126">
      <c r="A787" t="n">
        <v>787</v>
      </c>
      <c r="B787" s="30">
        <f>IF('MSR RAW'!$A$3="","",'MSR RAW'!$A$3)</f>
        <v/>
      </c>
      <c r="C787">
        <f>IF(LEFT(TRIM('MSR RAW'!A787),11)="Department:",TRIM('MSR RAW'!A787),C786)</f>
        <v/>
      </c>
      <c r="D787">
        <f>IF(LEFT(TRIM('MSR RAW'!B787),9)="Location:",TRIM(MID('MSR RAW'!B787,10,999)),D786)</f>
        <v/>
      </c>
      <c r="E787">
        <f>IF(AND(ISNUMBER(SEARCH(" - ",TRIM('MSR RAW'!C787))),RIGHT(TRIM('MSR RAW'!C787),6)="Total:"),LEFT(TRIM('MSR RAW'!C787),SEARCH(" - ",TRIM('MSR RAW'!C787))-1),"")</f>
        <v/>
      </c>
      <c r="F787">
        <f>IF(E787="","",TRIM(MID(TRIM('MSR RAW'!C787),SEARCH(" - ",TRIM('MSR RAW'!C787))+3,LEN(TRIM('MSR RAW'!C787))-SEARCH(" - ",TRIM('MSR RAW'!C787))-9)))</f>
        <v/>
      </c>
      <c r="G787">
        <f>IF(E787="","",IFERROR(VLOOKUP(E787,'CATEGORY MAP'!$A$2:$B$20,2,FALSE()),"REVIEW"))</f>
        <v/>
      </c>
      <c r="H787">
        <f>IF(E787="","",IFERROR(VALUE(SUBSTITUTE('MSR RAW'!P787,",","")),0))</f>
        <v/>
      </c>
      <c r="I787">
        <f>IF(E787="","",IFERROR(VALUE(SUBSTITUTE('MSR RAW'!S787,",","")),0))</f>
        <v/>
      </c>
    </row>
    <row r="788" ht="68.65000000000001" customHeight="1" s="126">
      <c r="A788" t="n">
        <v>788</v>
      </c>
      <c r="B788" s="30">
        <f>IF('MSR RAW'!$A$3="","",'MSR RAW'!$A$3)</f>
        <v/>
      </c>
      <c r="C788">
        <f>IF(LEFT(TRIM('MSR RAW'!A788),11)="Department:",TRIM('MSR RAW'!A788),C787)</f>
        <v/>
      </c>
      <c r="D788">
        <f>IF(LEFT(TRIM('MSR RAW'!B788),9)="Location:",TRIM(MID('MSR RAW'!B788,10,999)),D787)</f>
        <v/>
      </c>
      <c r="E788">
        <f>IF(AND(ISNUMBER(SEARCH(" - ",TRIM('MSR RAW'!C788))),RIGHT(TRIM('MSR RAW'!C788),6)="Total:"),LEFT(TRIM('MSR RAW'!C788),SEARCH(" - ",TRIM('MSR RAW'!C788))-1),"")</f>
        <v/>
      </c>
      <c r="F788">
        <f>IF(E788="","",TRIM(MID(TRIM('MSR RAW'!C788),SEARCH(" - ",TRIM('MSR RAW'!C788))+3,LEN(TRIM('MSR RAW'!C788))-SEARCH(" - ",TRIM('MSR RAW'!C788))-9)))</f>
        <v/>
      </c>
      <c r="G788">
        <f>IF(E788="","",IFERROR(VLOOKUP(E788,'CATEGORY MAP'!$A$2:$B$20,2,FALSE()),"REVIEW"))</f>
        <v/>
      </c>
      <c r="H788">
        <f>IF(E788="","",IFERROR(VALUE(SUBSTITUTE('MSR RAW'!P788,",","")),0))</f>
        <v/>
      </c>
      <c r="I788">
        <f>IF(E788="","",IFERROR(VALUE(SUBSTITUTE('MSR RAW'!S788,",","")),0))</f>
        <v/>
      </c>
    </row>
    <row r="789" ht="68.65000000000001" customHeight="1" s="126">
      <c r="A789" t="n">
        <v>789</v>
      </c>
      <c r="B789" s="30">
        <f>IF('MSR RAW'!$A$3="","",'MSR RAW'!$A$3)</f>
        <v/>
      </c>
      <c r="C789">
        <f>IF(LEFT(TRIM('MSR RAW'!A789),11)="Department:",TRIM('MSR RAW'!A789),C788)</f>
        <v/>
      </c>
      <c r="D789">
        <f>IF(LEFT(TRIM('MSR RAW'!B789),9)="Location:",TRIM(MID('MSR RAW'!B789,10,999)),D788)</f>
        <v/>
      </c>
      <c r="E789">
        <f>IF(AND(ISNUMBER(SEARCH(" - ",TRIM('MSR RAW'!C789))),RIGHT(TRIM('MSR RAW'!C789),6)="Total:"),LEFT(TRIM('MSR RAW'!C789),SEARCH(" - ",TRIM('MSR RAW'!C789))-1),"")</f>
        <v/>
      </c>
      <c r="F789">
        <f>IF(E789="","",TRIM(MID(TRIM('MSR RAW'!C789),SEARCH(" - ",TRIM('MSR RAW'!C789))+3,LEN(TRIM('MSR RAW'!C789))-SEARCH(" - ",TRIM('MSR RAW'!C789))-9)))</f>
        <v/>
      </c>
      <c r="G789">
        <f>IF(E789="","",IFERROR(VLOOKUP(E789,'CATEGORY MAP'!$A$2:$B$20,2,FALSE()),"REVIEW"))</f>
        <v/>
      </c>
      <c r="H789">
        <f>IF(E789="","",IFERROR(VALUE(SUBSTITUTE('MSR RAW'!P789,",","")),0))</f>
        <v/>
      </c>
      <c r="I789">
        <f>IF(E789="","",IFERROR(VALUE(SUBSTITUTE('MSR RAW'!S789,",","")),0))</f>
        <v/>
      </c>
    </row>
    <row r="790" ht="68.65000000000001" customHeight="1" s="126">
      <c r="A790" t="n">
        <v>790</v>
      </c>
      <c r="B790" s="30">
        <f>IF('MSR RAW'!$A$3="","",'MSR RAW'!$A$3)</f>
        <v/>
      </c>
      <c r="C790">
        <f>IF(LEFT(TRIM('MSR RAW'!A790),11)="Department:",TRIM('MSR RAW'!A790),C789)</f>
        <v/>
      </c>
      <c r="D790">
        <f>IF(LEFT(TRIM('MSR RAW'!B790),9)="Location:",TRIM(MID('MSR RAW'!B790,10,999)),D789)</f>
        <v/>
      </c>
      <c r="E790">
        <f>IF(AND(ISNUMBER(SEARCH(" - ",TRIM('MSR RAW'!C790))),RIGHT(TRIM('MSR RAW'!C790),6)="Total:"),LEFT(TRIM('MSR RAW'!C790),SEARCH(" - ",TRIM('MSR RAW'!C790))-1),"")</f>
        <v/>
      </c>
      <c r="F790">
        <f>IF(E790="","",TRIM(MID(TRIM('MSR RAW'!C790),SEARCH(" - ",TRIM('MSR RAW'!C790))+3,LEN(TRIM('MSR RAW'!C790))-SEARCH(" - ",TRIM('MSR RAW'!C790))-9)))</f>
        <v/>
      </c>
      <c r="G790">
        <f>IF(E790="","",IFERROR(VLOOKUP(E790,'CATEGORY MAP'!$A$2:$B$20,2,FALSE()),"REVIEW"))</f>
        <v/>
      </c>
      <c r="H790">
        <f>IF(E790="","",IFERROR(VALUE(SUBSTITUTE('MSR RAW'!P790,",","")),0))</f>
        <v/>
      </c>
      <c r="I790">
        <f>IF(E790="","",IFERROR(VALUE(SUBSTITUTE('MSR RAW'!S790,",","")),0))</f>
        <v/>
      </c>
    </row>
    <row r="791" ht="68.65000000000001" customHeight="1" s="126">
      <c r="A791" t="n">
        <v>791</v>
      </c>
      <c r="B791" s="30">
        <f>IF('MSR RAW'!$A$3="","",'MSR RAW'!$A$3)</f>
        <v/>
      </c>
      <c r="C791">
        <f>IF(LEFT(TRIM('MSR RAW'!A791),11)="Department:",TRIM('MSR RAW'!A791),C790)</f>
        <v/>
      </c>
      <c r="D791">
        <f>IF(LEFT(TRIM('MSR RAW'!B791),9)="Location:",TRIM(MID('MSR RAW'!B791,10,999)),D790)</f>
        <v/>
      </c>
      <c r="E791">
        <f>IF(AND(ISNUMBER(SEARCH(" - ",TRIM('MSR RAW'!C791))),RIGHT(TRIM('MSR RAW'!C791),6)="Total:"),LEFT(TRIM('MSR RAW'!C791),SEARCH(" - ",TRIM('MSR RAW'!C791))-1),"")</f>
        <v/>
      </c>
      <c r="F791">
        <f>IF(E791="","",TRIM(MID(TRIM('MSR RAW'!C791),SEARCH(" - ",TRIM('MSR RAW'!C791))+3,LEN(TRIM('MSR RAW'!C791))-SEARCH(" - ",TRIM('MSR RAW'!C791))-9)))</f>
        <v/>
      </c>
      <c r="G791">
        <f>IF(E791="","",IFERROR(VLOOKUP(E791,'CATEGORY MAP'!$A$2:$B$20,2,FALSE()),"REVIEW"))</f>
        <v/>
      </c>
      <c r="H791">
        <f>IF(E791="","",IFERROR(VALUE(SUBSTITUTE('MSR RAW'!P791,",","")),0))</f>
        <v/>
      </c>
      <c r="I791">
        <f>IF(E791="","",IFERROR(VALUE(SUBSTITUTE('MSR RAW'!S791,",","")),0))</f>
        <v/>
      </c>
    </row>
    <row r="792" ht="68.65000000000001" customHeight="1" s="126">
      <c r="A792" t="n">
        <v>792</v>
      </c>
      <c r="B792" s="30">
        <f>IF('MSR RAW'!$A$3="","",'MSR RAW'!$A$3)</f>
        <v/>
      </c>
      <c r="C792">
        <f>IF(LEFT(TRIM('MSR RAW'!A792),11)="Department:",TRIM('MSR RAW'!A792),C791)</f>
        <v/>
      </c>
      <c r="D792">
        <f>IF(LEFT(TRIM('MSR RAW'!B792),9)="Location:",TRIM(MID('MSR RAW'!B792,10,999)),D791)</f>
        <v/>
      </c>
      <c r="E792">
        <f>IF(AND(ISNUMBER(SEARCH(" - ",TRIM('MSR RAW'!C792))),RIGHT(TRIM('MSR RAW'!C792),6)="Total:"),LEFT(TRIM('MSR RAW'!C792),SEARCH(" - ",TRIM('MSR RAW'!C792))-1),"")</f>
        <v/>
      </c>
      <c r="F792">
        <f>IF(E792="","",TRIM(MID(TRIM('MSR RAW'!C792),SEARCH(" - ",TRIM('MSR RAW'!C792))+3,LEN(TRIM('MSR RAW'!C792))-SEARCH(" - ",TRIM('MSR RAW'!C792))-9)))</f>
        <v/>
      </c>
      <c r="G792">
        <f>IF(E792="","",IFERROR(VLOOKUP(E792,'CATEGORY MAP'!$A$2:$B$20,2,FALSE()),"REVIEW"))</f>
        <v/>
      </c>
      <c r="H792">
        <f>IF(E792="","",IFERROR(VALUE(SUBSTITUTE('MSR RAW'!P792,",","")),0))</f>
        <v/>
      </c>
      <c r="I792">
        <f>IF(E792="","",IFERROR(VALUE(SUBSTITUTE('MSR RAW'!S792,",","")),0))</f>
        <v/>
      </c>
    </row>
    <row r="793" ht="68.65000000000001" customHeight="1" s="126">
      <c r="A793" t="n">
        <v>793</v>
      </c>
      <c r="B793" s="30">
        <f>IF('MSR RAW'!$A$3="","",'MSR RAW'!$A$3)</f>
        <v/>
      </c>
      <c r="C793">
        <f>IF(LEFT(TRIM('MSR RAW'!A793),11)="Department:",TRIM('MSR RAW'!A793),C792)</f>
        <v/>
      </c>
      <c r="D793">
        <f>IF(LEFT(TRIM('MSR RAW'!B793),9)="Location:",TRIM(MID('MSR RAW'!B793,10,999)),D792)</f>
        <v/>
      </c>
      <c r="E793">
        <f>IF(AND(ISNUMBER(SEARCH(" - ",TRIM('MSR RAW'!C793))),RIGHT(TRIM('MSR RAW'!C793),6)="Total:"),LEFT(TRIM('MSR RAW'!C793),SEARCH(" - ",TRIM('MSR RAW'!C793))-1),"")</f>
        <v/>
      </c>
      <c r="F793">
        <f>IF(E793="","",TRIM(MID(TRIM('MSR RAW'!C793),SEARCH(" - ",TRIM('MSR RAW'!C793))+3,LEN(TRIM('MSR RAW'!C793))-SEARCH(" - ",TRIM('MSR RAW'!C793))-9)))</f>
        <v/>
      </c>
      <c r="G793">
        <f>IF(E793="","",IFERROR(VLOOKUP(E793,'CATEGORY MAP'!$A$2:$B$20,2,FALSE()),"REVIEW"))</f>
        <v/>
      </c>
      <c r="H793">
        <f>IF(E793="","",IFERROR(VALUE(SUBSTITUTE('MSR RAW'!P793,",","")),0))</f>
        <v/>
      </c>
      <c r="I793">
        <f>IF(E793="","",IFERROR(VALUE(SUBSTITUTE('MSR RAW'!S793,",","")),0))</f>
        <v/>
      </c>
    </row>
    <row r="794" ht="68.65000000000001" customHeight="1" s="126">
      <c r="A794" t="n">
        <v>794</v>
      </c>
      <c r="B794" s="30">
        <f>IF('MSR RAW'!$A$3="","",'MSR RAW'!$A$3)</f>
        <v/>
      </c>
      <c r="C794">
        <f>IF(LEFT(TRIM('MSR RAW'!A794),11)="Department:",TRIM('MSR RAW'!A794),C793)</f>
        <v/>
      </c>
      <c r="D794">
        <f>IF(LEFT(TRIM('MSR RAW'!B794),9)="Location:",TRIM(MID('MSR RAW'!B794,10,999)),D793)</f>
        <v/>
      </c>
      <c r="E794">
        <f>IF(AND(ISNUMBER(SEARCH(" - ",TRIM('MSR RAW'!C794))),RIGHT(TRIM('MSR RAW'!C794),6)="Total:"),LEFT(TRIM('MSR RAW'!C794),SEARCH(" - ",TRIM('MSR RAW'!C794))-1),"")</f>
        <v/>
      </c>
      <c r="F794">
        <f>IF(E794="","",TRIM(MID(TRIM('MSR RAW'!C794),SEARCH(" - ",TRIM('MSR RAW'!C794))+3,LEN(TRIM('MSR RAW'!C794))-SEARCH(" - ",TRIM('MSR RAW'!C794))-9)))</f>
        <v/>
      </c>
      <c r="G794">
        <f>IF(E794="","",IFERROR(VLOOKUP(E794,'CATEGORY MAP'!$A$2:$B$20,2,FALSE()),"REVIEW"))</f>
        <v/>
      </c>
      <c r="H794">
        <f>IF(E794="","",IFERROR(VALUE(SUBSTITUTE('MSR RAW'!P794,",","")),0))</f>
        <v/>
      </c>
      <c r="I794">
        <f>IF(E794="","",IFERROR(VALUE(SUBSTITUTE('MSR RAW'!S794,",","")),0))</f>
        <v/>
      </c>
    </row>
    <row r="795" ht="68.65000000000001" customHeight="1" s="126">
      <c r="A795" t="n">
        <v>795</v>
      </c>
      <c r="B795" s="30">
        <f>IF('MSR RAW'!$A$3="","",'MSR RAW'!$A$3)</f>
        <v/>
      </c>
      <c r="C795">
        <f>IF(LEFT(TRIM('MSR RAW'!A795),11)="Department:",TRIM('MSR RAW'!A795),C794)</f>
        <v/>
      </c>
      <c r="D795">
        <f>IF(LEFT(TRIM('MSR RAW'!B795),9)="Location:",TRIM(MID('MSR RAW'!B795,10,999)),D794)</f>
        <v/>
      </c>
      <c r="E795">
        <f>IF(AND(ISNUMBER(SEARCH(" - ",TRIM('MSR RAW'!C795))),RIGHT(TRIM('MSR RAW'!C795),6)="Total:"),LEFT(TRIM('MSR RAW'!C795),SEARCH(" - ",TRIM('MSR RAW'!C795))-1),"")</f>
        <v/>
      </c>
      <c r="F795">
        <f>IF(E795="","",TRIM(MID(TRIM('MSR RAW'!C795),SEARCH(" - ",TRIM('MSR RAW'!C795))+3,LEN(TRIM('MSR RAW'!C795))-SEARCH(" - ",TRIM('MSR RAW'!C795))-9)))</f>
        <v/>
      </c>
      <c r="G795">
        <f>IF(E795="","",IFERROR(VLOOKUP(E795,'CATEGORY MAP'!$A$2:$B$20,2,FALSE()),"REVIEW"))</f>
        <v/>
      </c>
      <c r="H795">
        <f>IF(E795="","",IFERROR(VALUE(SUBSTITUTE('MSR RAW'!P795,",","")),0))</f>
        <v/>
      </c>
      <c r="I795">
        <f>IF(E795="","",IFERROR(VALUE(SUBSTITUTE('MSR RAW'!S795,",","")),0))</f>
        <v/>
      </c>
    </row>
    <row r="796" ht="68.65000000000001" customHeight="1" s="126">
      <c r="A796" t="n">
        <v>796</v>
      </c>
      <c r="B796" s="30">
        <f>IF('MSR RAW'!$A$3="","",'MSR RAW'!$A$3)</f>
        <v/>
      </c>
      <c r="C796">
        <f>IF(LEFT(TRIM('MSR RAW'!A796),11)="Department:",TRIM('MSR RAW'!A796),C795)</f>
        <v/>
      </c>
      <c r="D796">
        <f>IF(LEFT(TRIM('MSR RAW'!B796),9)="Location:",TRIM(MID('MSR RAW'!B796,10,999)),D795)</f>
        <v/>
      </c>
      <c r="E796">
        <f>IF(AND(ISNUMBER(SEARCH(" - ",TRIM('MSR RAW'!C796))),RIGHT(TRIM('MSR RAW'!C796),6)="Total:"),LEFT(TRIM('MSR RAW'!C796),SEARCH(" - ",TRIM('MSR RAW'!C796))-1),"")</f>
        <v/>
      </c>
      <c r="F796">
        <f>IF(E796="","",TRIM(MID(TRIM('MSR RAW'!C796),SEARCH(" - ",TRIM('MSR RAW'!C796))+3,LEN(TRIM('MSR RAW'!C796))-SEARCH(" - ",TRIM('MSR RAW'!C796))-9)))</f>
        <v/>
      </c>
      <c r="G796">
        <f>IF(E796="","",IFERROR(VLOOKUP(E796,'CATEGORY MAP'!$A$2:$B$20,2,FALSE()),"REVIEW"))</f>
        <v/>
      </c>
      <c r="H796">
        <f>IF(E796="","",IFERROR(VALUE(SUBSTITUTE('MSR RAW'!P796,",","")),0))</f>
        <v/>
      </c>
      <c r="I796">
        <f>IF(E796="","",IFERROR(VALUE(SUBSTITUTE('MSR RAW'!S796,",","")),0))</f>
        <v/>
      </c>
    </row>
    <row r="797" ht="68.65000000000001" customHeight="1" s="126">
      <c r="A797" t="n">
        <v>797</v>
      </c>
      <c r="B797" s="30">
        <f>IF('MSR RAW'!$A$3="","",'MSR RAW'!$A$3)</f>
        <v/>
      </c>
      <c r="C797">
        <f>IF(LEFT(TRIM('MSR RAW'!A797),11)="Department:",TRIM('MSR RAW'!A797),C796)</f>
        <v/>
      </c>
      <c r="D797">
        <f>IF(LEFT(TRIM('MSR RAW'!B797),9)="Location:",TRIM(MID('MSR RAW'!B797,10,999)),D796)</f>
        <v/>
      </c>
      <c r="E797">
        <f>IF(AND(ISNUMBER(SEARCH(" - ",TRIM('MSR RAW'!C797))),RIGHT(TRIM('MSR RAW'!C797),6)="Total:"),LEFT(TRIM('MSR RAW'!C797),SEARCH(" - ",TRIM('MSR RAW'!C797))-1),"")</f>
        <v/>
      </c>
      <c r="F797">
        <f>IF(E797="","",TRIM(MID(TRIM('MSR RAW'!C797),SEARCH(" - ",TRIM('MSR RAW'!C797))+3,LEN(TRIM('MSR RAW'!C797))-SEARCH(" - ",TRIM('MSR RAW'!C797))-9)))</f>
        <v/>
      </c>
      <c r="G797">
        <f>IF(E797="","",IFERROR(VLOOKUP(E797,'CATEGORY MAP'!$A$2:$B$20,2,FALSE()),"REVIEW"))</f>
        <v/>
      </c>
      <c r="H797">
        <f>IF(E797="","",IFERROR(VALUE(SUBSTITUTE('MSR RAW'!P797,",","")),0))</f>
        <v/>
      </c>
      <c r="I797">
        <f>IF(E797="","",IFERROR(VALUE(SUBSTITUTE('MSR RAW'!S797,",","")),0))</f>
        <v/>
      </c>
    </row>
    <row r="798" ht="68.65000000000001" customHeight="1" s="126">
      <c r="A798" t="n">
        <v>798</v>
      </c>
      <c r="B798" s="30">
        <f>IF('MSR RAW'!$A$3="","",'MSR RAW'!$A$3)</f>
        <v/>
      </c>
      <c r="C798">
        <f>IF(LEFT(TRIM('MSR RAW'!A798),11)="Department:",TRIM('MSR RAW'!A798),C797)</f>
        <v/>
      </c>
      <c r="D798">
        <f>IF(LEFT(TRIM('MSR RAW'!B798),9)="Location:",TRIM(MID('MSR RAW'!B798,10,999)),D797)</f>
        <v/>
      </c>
      <c r="E798">
        <f>IF(AND(ISNUMBER(SEARCH(" - ",TRIM('MSR RAW'!C798))),RIGHT(TRIM('MSR RAW'!C798),6)="Total:"),LEFT(TRIM('MSR RAW'!C798),SEARCH(" - ",TRIM('MSR RAW'!C798))-1),"")</f>
        <v/>
      </c>
      <c r="F798">
        <f>IF(E798="","",TRIM(MID(TRIM('MSR RAW'!C798),SEARCH(" - ",TRIM('MSR RAW'!C798))+3,LEN(TRIM('MSR RAW'!C798))-SEARCH(" - ",TRIM('MSR RAW'!C798))-9)))</f>
        <v/>
      </c>
      <c r="G798">
        <f>IF(E798="","",IFERROR(VLOOKUP(E798,'CATEGORY MAP'!$A$2:$B$20,2,FALSE()),"REVIEW"))</f>
        <v/>
      </c>
      <c r="H798">
        <f>IF(E798="","",IFERROR(VALUE(SUBSTITUTE('MSR RAW'!P798,",","")),0))</f>
        <v/>
      </c>
      <c r="I798">
        <f>IF(E798="","",IFERROR(VALUE(SUBSTITUTE('MSR RAW'!S798,",","")),0))</f>
        <v/>
      </c>
    </row>
    <row r="799" ht="68.65000000000001" customHeight="1" s="126">
      <c r="A799" t="n">
        <v>799</v>
      </c>
      <c r="B799" s="30">
        <f>IF('MSR RAW'!$A$3="","",'MSR RAW'!$A$3)</f>
        <v/>
      </c>
      <c r="C799">
        <f>IF(LEFT(TRIM('MSR RAW'!A799),11)="Department:",TRIM('MSR RAW'!A799),C798)</f>
        <v/>
      </c>
      <c r="D799">
        <f>IF(LEFT(TRIM('MSR RAW'!B799),9)="Location:",TRIM(MID('MSR RAW'!B799,10,999)),D798)</f>
        <v/>
      </c>
      <c r="E799">
        <f>IF(AND(ISNUMBER(SEARCH(" - ",TRIM('MSR RAW'!C799))),RIGHT(TRIM('MSR RAW'!C799),6)="Total:"),LEFT(TRIM('MSR RAW'!C799),SEARCH(" - ",TRIM('MSR RAW'!C799))-1),"")</f>
        <v/>
      </c>
      <c r="F799">
        <f>IF(E799="","",TRIM(MID(TRIM('MSR RAW'!C799),SEARCH(" - ",TRIM('MSR RAW'!C799))+3,LEN(TRIM('MSR RAW'!C799))-SEARCH(" - ",TRIM('MSR RAW'!C799))-9)))</f>
        <v/>
      </c>
      <c r="G799">
        <f>IF(E799="","",IFERROR(VLOOKUP(E799,'CATEGORY MAP'!$A$2:$B$20,2,FALSE()),"REVIEW"))</f>
        <v/>
      </c>
      <c r="H799">
        <f>IF(E799="","",IFERROR(VALUE(SUBSTITUTE('MSR RAW'!P799,",","")),0))</f>
        <v/>
      </c>
      <c r="I799">
        <f>IF(E799="","",IFERROR(VALUE(SUBSTITUTE('MSR RAW'!S799,",","")),0))</f>
        <v/>
      </c>
    </row>
    <row r="800" ht="68.65000000000001" customHeight="1" s="126">
      <c r="A800" t="n">
        <v>800</v>
      </c>
      <c r="B800" s="30">
        <f>IF('MSR RAW'!$A$3="","",'MSR RAW'!$A$3)</f>
        <v/>
      </c>
      <c r="C800">
        <f>IF(LEFT(TRIM('MSR RAW'!A800),11)="Department:",TRIM('MSR RAW'!A800),C799)</f>
        <v/>
      </c>
      <c r="D800">
        <f>IF(LEFT(TRIM('MSR RAW'!B800),9)="Location:",TRIM(MID('MSR RAW'!B800,10,999)),D799)</f>
        <v/>
      </c>
      <c r="E800">
        <f>IF(AND(ISNUMBER(SEARCH(" - ",TRIM('MSR RAW'!C800))),RIGHT(TRIM('MSR RAW'!C800),6)="Total:"),LEFT(TRIM('MSR RAW'!C800),SEARCH(" - ",TRIM('MSR RAW'!C800))-1),"")</f>
        <v/>
      </c>
      <c r="F800">
        <f>IF(E800="","",TRIM(MID(TRIM('MSR RAW'!C800),SEARCH(" - ",TRIM('MSR RAW'!C800))+3,LEN(TRIM('MSR RAW'!C800))-SEARCH(" - ",TRIM('MSR RAW'!C800))-9)))</f>
        <v/>
      </c>
      <c r="G800">
        <f>IF(E800="","",IFERROR(VLOOKUP(E800,'CATEGORY MAP'!$A$2:$B$20,2,FALSE()),"REVIEW"))</f>
        <v/>
      </c>
      <c r="H800">
        <f>IF(E800="","",IFERROR(VALUE(SUBSTITUTE('MSR RAW'!P800,",","")),0))</f>
        <v/>
      </c>
      <c r="I800">
        <f>IF(E800="","",IFERROR(VALUE(SUBSTITUTE('MSR RAW'!S800,",","")),0))</f>
        <v/>
      </c>
    </row>
    <row r="801" ht="68.65000000000001" customHeight="1" s="126">
      <c r="A801" t="n">
        <v>801</v>
      </c>
      <c r="B801" s="30">
        <f>IF('MSR RAW'!$A$3="","",'MSR RAW'!$A$3)</f>
        <v/>
      </c>
      <c r="C801">
        <f>IF(LEFT(TRIM('MSR RAW'!A801),11)="Department:",TRIM('MSR RAW'!A801),C800)</f>
        <v/>
      </c>
      <c r="D801">
        <f>IF(LEFT(TRIM('MSR RAW'!B801),9)="Location:",TRIM(MID('MSR RAW'!B801,10,999)),D800)</f>
        <v/>
      </c>
      <c r="E801">
        <f>IF(AND(ISNUMBER(SEARCH(" - ",TRIM('MSR RAW'!C801))),RIGHT(TRIM('MSR RAW'!C801),6)="Total:"),LEFT(TRIM('MSR RAW'!C801),SEARCH(" - ",TRIM('MSR RAW'!C801))-1),"")</f>
        <v/>
      </c>
      <c r="F801">
        <f>IF(E801="","",TRIM(MID(TRIM('MSR RAW'!C801),SEARCH(" - ",TRIM('MSR RAW'!C801))+3,LEN(TRIM('MSR RAW'!C801))-SEARCH(" - ",TRIM('MSR RAW'!C801))-9)))</f>
        <v/>
      </c>
      <c r="G801">
        <f>IF(E801="","",IFERROR(VLOOKUP(E801,'CATEGORY MAP'!$A$2:$B$20,2,FALSE()),"REVIEW"))</f>
        <v/>
      </c>
      <c r="H801">
        <f>IF(E801="","",IFERROR(VALUE(SUBSTITUTE('MSR RAW'!P801,",","")),0))</f>
        <v/>
      </c>
      <c r="I801">
        <f>IF(E801="","",IFERROR(VALUE(SUBSTITUTE('MSR RAW'!S801,",","")),0))</f>
        <v/>
      </c>
    </row>
    <row r="802" ht="68.65000000000001" customHeight="1" s="126">
      <c r="A802" t="n">
        <v>802</v>
      </c>
      <c r="B802" s="30">
        <f>IF('MSR RAW'!$A$3="","",'MSR RAW'!$A$3)</f>
        <v/>
      </c>
      <c r="C802">
        <f>IF(LEFT(TRIM('MSR RAW'!A802),11)="Department:",TRIM('MSR RAW'!A802),C801)</f>
        <v/>
      </c>
      <c r="D802">
        <f>IF(LEFT(TRIM('MSR RAW'!B802),9)="Location:",TRIM(MID('MSR RAW'!B802,10,999)),D801)</f>
        <v/>
      </c>
      <c r="E802">
        <f>IF(AND(ISNUMBER(SEARCH(" - ",TRIM('MSR RAW'!C802))),RIGHT(TRIM('MSR RAW'!C802),6)="Total:"),LEFT(TRIM('MSR RAW'!C802),SEARCH(" - ",TRIM('MSR RAW'!C802))-1),"")</f>
        <v/>
      </c>
      <c r="F802">
        <f>IF(E802="","",TRIM(MID(TRIM('MSR RAW'!C802),SEARCH(" - ",TRIM('MSR RAW'!C802))+3,LEN(TRIM('MSR RAW'!C802))-SEARCH(" - ",TRIM('MSR RAW'!C802))-9)))</f>
        <v/>
      </c>
      <c r="G802">
        <f>IF(E802="","",IFERROR(VLOOKUP(E802,'CATEGORY MAP'!$A$2:$B$20,2,FALSE()),"REVIEW"))</f>
        <v/>
      </c>
      <c r="H802">
        <f>IF(E802="","",IFERROR(VALUE(SUBSTITUTE('MSR RAW'!P802,",","")),0))</f>
        <v/>
      </c>
      <c r="I802">
        <f>IF(E802="","",IFERROR(VALUE(SUBSTITUTE('MSR RAW'!S802,",","")),0))</f>
        <v/>
      </c>
    </row>
    <row r="803" ht="68.65000000000001" customHeight="1" s="126">
      <c r="A803" t="n">
        <v>803</v>
      </c>
      <c r="B803" s="30">
        <f>IF('MSR RAW'!$A$3="","",'MSR RAW'!$A$3)</f>
        <v/>
      </c>
      <c r="C803">
        <f>IF(LEFT(TRIM('MSR RAW'!A803),11)="Department:",TRIM('MSR RAW'!A803),C802)</f>
        <v/>
      </c>
      <c r="D803">
        <f>IF(LEFT(TRIM('MSR RAW'!B803),9)="Location:",TRIM(MID('MSR RAW'!B803,10,999)),D802)</f>
        <v/>
      </c>
      <c r="E803">
        <f>IF(AND(ISNUMBER(SEARCH(" - ",TRIM('MSR RAW'!C803))),RIGHT(TRIM('MSR RAW'!C803),6)="Total:"),LEFT(TRIM('MSR RAW'!C803),SEARCH(" - ",TRIM('MSR RAW'!C803))-1),"")</f>
        <v/>
      </c>
      <c r="F803">
        <f>IF(E803="","",TRIM(MID(TRIM('MSR RAW'!C803),SEARCH(" - ",TRIM('MSR RAW'!C803))+3,LEN(TRIM('MSR RAW'!C803))-SEARCH(" - ",TRIM('MSR RAW'!C803))-9)))</f>
        <v/>
      </c>
      <c r="G803">
        <f>IF(E803="","",IFERROR(VLOOKUP(E803,'CATEGORY MAP'!$A$2:$B$20,2,FALSE()),"REVIEW"))</f>
        <v/>
      </c>
      <c r="H803">
        <f>IF(E803="","",IFERROR(VALUE(SUBSTITUTE('MSR RAW'!P803,",","")),0))</f>
        <v/>
      </c>
      <c r="I803">
        <f>IF(E803="","",IFERROR(VALUE(SUBSTITUTE('MSR RAW'!S803,",","")),0))</f>
        <v/>
      </c>
    </row>
    <row r="804" ht="68.65000000000001" customHeight="1" s="126">
      <c r="A804" t="n">
        <v>804</v>
      </c>
      <c r="B804" s="30">
        <f>IF('MSR RAW'!$A$3="","",'MSR RAW'!$A$3)</f>
        <v/>
      </c>
      <c r="C804">
        <f>IF(LEFT(TRIM('MSR RAW'!A804),11)="Department:",TRIM('MSR RAW'!A804),C803)</f>
        <v/>
      </c>
      <c r="D804">
        <f>IF(LEFT(TRIM('MSR RAW'!B804),9)="Location:",TRIM(MID('MSR RAW'!B804,10,999)),D803)</f>
        <v/>
      </c>
      <c r="E804">
        <f>IF(AND(ISNUMBER(SEARCH(" - ",TRIM('MSR RAW'!C804))),RIGHT(TRIM('MSR RAW'!C804),6)="Total:"),LEFT(TRIM('MSR RAW'!C804),SEARCH(" - ",TRIM('MSR RAW'!C804))-1),"")</f>
        <v/>
      </c>
      <c r="F804">
        <f>IF(E804="","",TRIM(MID(TRIM('MSR RAW'!C804),SEARCH(" - ",TRIM('MSR RAW'!C804))+3,LEN(TRIM('MSR RAW'!C804))-SEARCH(" - ",TRIM('MSR RAW'!C804))-9)))</f>
        <v/>
      </c>
      <c r="G804">
        <f>IF(E804="","",IFERROR(VLOOKUP(E804,'CATEGORY MAP'!$A$2:$B$20,2,FALSE()),"REVIEW"))</f>
        <v/>
      </c>
      <c r="H804">
        <f>IF(E804="","",IFERROR(VALUE(SUBSTITUTE('MSR RAW'!P804,",","")),0))</f>
        <v/>
      </c>
      <c r="I804">
        <f>IF(E804="","",IFERROR(VALUE(SUBSTITUTE('MSR RAW'!S804,",","")),0))</f>
        <v/>
      </c>
    </row>
    <row r="805" ht="68.65000000000001" customHeight="1" s="126">
      <c r="A805" t="n">
        <v>805</v>
      </c>
      <c r="B805" s="30">
        <f>IF('MSR RAW'!$A$3="","",'MSR RAW'!$A$3)</f>
        <v/>
      </c>
      <c r="C805">
        <f>IF(LEFT(TRIM('MSR RAW'!A805),11)="Department:",TRIM('MSR RAW'!A805),C804)</f>
        <v/>
      </c>
      <c r="D805">
        <f>IF(LEFT(TRIM('MSR RAW'!B805),9)="Location:",TRIM(MID('MSR RAW'!B805,10,999)),D804)</f>
        <v/>
      </c>
      <c r="E805">
        <f>IF(AND(ISNUMBER(SEARCH(" - ",TRIM('MSR RAW'!C805))),RIGHT(TRIM('MSR RAW'!C805),6)="Total:"),LEFT(TRIM('MSR RAW'!C805),SEARCH(" - ",TRIM('MSR RAW'!C805))-1),"")</f>
        <v/>
      </c>
      <c r="F805">
        <f>IF(E805="","",TRIM(MID(TRIM('MSR RAW'!C805),SEARCH(" - ",TRIM('MSR RAW'!C805))+3,LEN(TRIM('MSR RAW'!C805))-SEARCH(" - ",TRIM('MSR RAW'!C805))-9)))</f>
        <v/>
      </c>
      <c r="G805">
        <f>IF(E805="","",IFERROR(VLOOKUP(E805,'CATEGORY MAP'!$A$2:$B$20,2,FALSE()),"REVIEW"))</f>
        <v/>
      </c>
      <c r="H805">
        <f>IF(E805="","",IFERROR(VALUE(SUBSTITUTE('MSR RAW'!P805,",","")),0))</f>
        <v/>
      </c>
      <c r="I805">
        <f>IF(E805="","",IFERROR(VALUE(SUBSTITUTE('MSR RAW'!S805,",","")),0))</f>
        <v/>
      </c>
    </row>
    <row r="806" ht="68.65000000000001" customHeight="1" s="126">
      <c r="A806" t="n">
        <v>806</v>
      </c>
      <c r="B806" s="30">
        <f>IF('MSR RAW'!$A$3="","",'MSR RAW'!$A$3)</f>
        <v/>
      </c>
      <c r="C806">
        <f>IF(LEFT(TRIM('MSR RAW'!A806),11)="Department:",TRIM('MSR RAW'!A806),C805)</f>
        <v/>
      </c>
      <c r="D806">
        <f>IF(LEFT(TRIM('MSR RAW'!B806),9)="Location:",TRIM(MID('MSR RAW'!B806,10,999)),D805)</f>
        <v/>
      </c>
      <c r="E806">
        <f>IF(AND(ISNUMBER(SEARCH(" - ",TRIM('MSR RAW'!C806))),RIGHT(TRIM('MSR RAW'!C806),6)="Total:"),LEFT(TRIM('MSR RAW'!C806),SEARCH(" - ",TRIM('MSR RAW'!C806))-1),"")</f>
        <v/>
      </c>
      <c r="F806">
        <f>IF(E806="","",TRIM(MID(TRIM('MSR RAW'!C806),SEARCH(" - ",TRIM('MSR RAW'!C806))+3,LEN(TRIM('MSR RAW'!C806))-SEARCH(" - ",TRIM('MSR RAW'!C806))-9)))</f>
        <v/>
      </c>
      <c r="G806">
        <f>IF(E806="","",IFERROR(VLOOKUP(E806,'CATEGORY MAP'!$A$2:$B$20,2,FALSE()),"REVIEW"))</f>
        <v/>
      </c>
      <c r="H806">
        <f>IF(E806="","",IFERROR(VALUE(SUBSTITUTE('MSR RAW'!P806,",","")),0))</f>
        <v/>
      </c>
      <c r="I806">
        <f>IF(E806="","",IFERROR(VALUE(SUBSTITUTE('MSR RAW'!S806,",","")),0))</f>
        <v/>
      </c>
    </row>
    <row r="807" ht="68.65000000000001" customHeight="1" s="126">
      <c r="A807" t="n">
        <v>807</v>
      </c>
      <c r="B807" s="30">
        <f>IF('MSR RAW'!$A$3="","",'MSR RAW'!$A$3)</f>
        <v/>
      </c>
      <c r="C807">
        <f>IF(LEFT(TRIM('MSR RAW'!A807),11)="Department:",TRIM('MSR RAW'!A807),C806)</f>
        <v/>
      </c>
      <c r="D807">
        <f>IF(LEFT(TRIM('MSR RAW'!B807),9)="Location:",TRIM(MID('MSR RAW'!B807,10,999)),D806)</f>
        <v/>
      </c>
      <c r="E807">
        <f>IF(AND(ISNUMBER(SEARCH(" - ",TRIM('MSR RAW'!C807))),RIGHT(TRIM('MSR RAW'!C807),6)="Total:"),LEFT(TRIM('MSR RAW'!C807),SEARCH(" - ",TRIM('MSR RAW'!C807))-1),"")</f>
        <v/>
      </c>
      <c r="F807">
        <f>IF(E807="","",TRIM(MID(TRIM('MSR RAW'!C807),SEARCH(" - ",TRIM('MSR RAW'!C807))+3,LEN(TRIM('MSR RAW'!C807))-SEARCH(" - ",TRIM('MSR RAW'!C807))-9)))</f>
        <v/>
      </c>
      <c r="G807">
        <f>IF(E807="","",IFERROR(VLOOKUP(E807,'CATEGORY MAP'!$A$2:$B$20,2,FALSE()),"REVIEW"))</f>
        <v/>
      </c>
      <c r="H807">
        <f>IF(E807="","",IFERROR(VALUE(SUBSTITUTE('MSR RAW'!P807,",","")),0))</f>
        <v/>
      </c>
      <c r="I807">
        <f>IF(E807="","",IFERROR(VALUE(SUBSTITUTE('MSR RAW'!S807,",","")),0))</f>
        <v/>
      </c>
    </row>
    <row r="808" ht="68.65000000000001" customHeight="1" s="126">
      <c r="A808" t="n">
        <v>808</v>
      </c>
      <c r="B808" s="30">
        <f>IF('MSR RAW'!$A$3="","",'MSR RAW'!$A$3)</f>
        <v/>
      </c>
      <c r="C808">
        <f>IF(LEFT(TRIM('MSR RAW'!A808),11)="Department:",TRIM('MSR RAW'!A808),C807)</f>
        <v/>
      </c>
      <c r="D808">
        <f>IF(LEFT(TRIM('MSR RAW'!B808),9)="Location:",TRIM(MID('MSR RAW'!B808,10,999)),D807)</f>
        <v/>
      </c>
      <c r="E808">
        <f>IF(AND(ISNUMBER(SEARCH(" - ",TRIM('MSR RAW'!C808))),RIGHT(TRIM('MSR RAW'!C808),6)="Total:"),LEFT(TRIM('MSR RAW'!C808),SEARCH(" - ",TRIM('MSR RAW'!C808))-1),"")</f>
        <v/>
      </c>
      <c r="F808">
        <f>IF(E808="","",TRIM(MID(TRIM('MSR RAW'!C808),SEARCH(" - ",TRIM('MSR RAW'!C808))+3,LEN(TRIM('MSR RAW'!C808))-SEARCH(" - ",TRIM('MSR RAW'!C808))-9)))</f>
        <v/>
      </c>
      <c r="G808">
        <f>IF(E808="","",IFERROR(VLOOKUP(E808,'CATEGORY MAP'!$A$2:$B$20,2,FALSE()),"REVIEW"))</f>
        <v/>
      </c>
      <c r="H808">
        <f>IF(E808="","",IFERROR(VALUE(SUBSTITUTE('MSR RAW'!P808,",","")),0))</f>
        <v/>
      </c>
      <c r="I808">
        <f>IF(E808="","",IFERROR(VALUE(SUBSTITUTE('MSR RAW'!S808,",","")),0))</f>
        <v/>
      </c>
    </row>
    <row r="809" ht="68.65000000000001" customHeight="1" s="126">
      <c r="A809" t="n">
        <v>809</v>
      </c>
      <c r="B809" s="30">
        <f>IF('MSR RAW'!$A$3="","",'MSR RAW'!$A$3)</f>
        <v/>
      </c>
      <c r="C809">
        <f>IF(LEFT(TRIM('MSR RAW'!A809),11)="Department:",TRIM('MSR RAW'!A809),C808)</f>
        <v/>
      </c>
      <c r="D809">
        <f>IF(LEFT(TRIM('MSR RAW'!B809),9)="Location:",TRIM(MID('MSR RAW'!B809,10,999)),D808)</f>
        <v/>
      </c>
      <c r="E809">
        <f>IF(AND(ISNUMBER(SEARCH(" - ",TRIM('MSR RAW'!C809))),RIGHT(TRIM('MSR RAW'!C809),6)="Total:"),LEFT(TRIM('MSR RAW'!C809),SEARCH(" - ",TRIM('MSR RAW'!C809))-1),"")</f>
        <v/>
      </c>
      <c r="F809">
        <f>IF(E809="","",TRIM(MID(TRIM('MSR RAW'!C809),SEARCH(" - ",TRIM('MSR RAW'!C809))+3,LEN(TRIM('MSR RAW'!C809))-SEARCH(" - ",TRIM('MSR RAW'!C809))-9)))</f>
        <v/>
      </c>
      <c r="G809">
        <f>IF(E809="","",IFERROR(VLOOKUP(E809,'CATEGORY MAP'!$A$2:$B$20,2,FALSE()),"REVIEW"))</f>
        <v/>
      </c>
      <c r="H809">
        <f>IF(E809="","",IFERROR(VALUE(SUBSTITUTE('MSR RAW'!P809,",","")),0))</f>
        <v/>
      </c>
      <c r="I809">
        <f>IF(E809="","",IFERROR(VALUE(SUBSTITUTE('MSR RAW'!S809,",","")),0))</f>
        <v/>
      </c>
    </row>
    <row r="810" ht="68.65000000000001" customHeight="1" s="126">
      <c r="A810" t="n">
        <v>810</v>
      </c>
      <c r="B810" s="30">
        <f>IF('MSR RAW'!$A$3="","",'MSR RAW'!$A$3)</f>
        <v/>
      </c>
      <c r="C810">
        <f>IF(LEFT(TRIM('MSR RAW'!A810),11)="Department:",TRIM('MSR RAW'!A810),C809)</f>
        <v/>
      </c>
      <c r="D810">
        <f>IF(LEFT(TRIM('MSR RAW'!B810),9)="Location:",TRIM(MID('MSR RAW'!B810,10,999)),D809)</f>
        <v/>
      </c>
      <c r="E810">
        <f>IF(AND(ISNUMBER(SEARCH(" - ",TRIM('MSR RAW'!C810))),RIGHT(TRIM('MSR RAW'!C810),6)="Total:"),LEFT(TRIM('MSR RAW'!C810),SEARCH(" - ",TRIM('MSR RAW'!C810))-1),"")</f>
        <v/>
      </c>
      <c r="F810">
        <f>IF(E810="","",TRIM(MID(TRIM('MSR RAW'!C810),SEARCH(" - ",TRIM('MSR RAW'!C810))+3,LEN(TRIM('MSR RAW'!C810))-SEARCH(" - ",TRIM('MSR RAW'!C810))-9)))</f>
        <v/>
      </c>
      <c r="G810">
        <f>IF(E810="","",IFERROR(VLOOKUP(E810,'CATEGORY MAP'!$A$2:$B$20,2,FALSE()),"REVIEW"))</f>
        <v/>
      </c>
      <c r="H810">
        <f>IF(E810="","",IFERROR(VALUE(SUBSTITUTE('MSR RAW'!P810,",","")),0))</f>
        <v/>
      </c>
      <c r="I810">
        <f>IF(E810="","",IFERROR(VALUE(SUBSTITUTE('MSR RAW'!S810,",","")),0))</f>
        <v/>
      </c>
    </row>
    <row r="811" ht="68.65000000000001" customHeight="1" s="126">
      <c r="A811" t="n">
        <v>811</v>
      </c>
      <c r="B811" s="30">
        <f>IF('MSR RAW'!$A$3="","",'MSR RAW'!$A$3)</f>
        <v/>
      </c>
      <c r="C811">
        <f>IF(LEFT(TRIM('MSR RAW'!A811),11)="Department:",TRIM('MSR RAW'!A811),C810)</f>
        <v/>
      </c>
      <c r="D811">
        <f>IF(LEFT(TRIM('MSR RAW'!B811),9)="Location:",TRIM(MID('MSR RAW'!B811,10,999)),D810)</f>
        <v/>
      </c>
      <c r="E811">
        <f>IF(AND(ISNUMBER(SEARCH(" - ",TRIM('MSR RAW'!C811))),RIGHT(TRIM('MSR RAW'!C811),6)="Total:"),LEFT(TRIM('MSR RAW'!C811),SEARCH(" - ",TRIM('MSR RAW'!C811))-1),"")</f>
        <v/>
      </c>
      <c r="F811">
        <f>IF(E811="","",TRIM(MID(TRIM('MSR RAW'!C811),SEARCH(" - ",TRIM('MSR RAW'!C811))+3,LEN(TRIM('MSR RAW'!C811))-SEARCH(" - ",TRIM('MSR RAW'!C811))-9)))</f>
        <v/>
      </c>
      <c r="G811">
        <f>IF(E811="","",IFERROR(VLOOKUP(E811,'CATEGORY MAP'!$A$2:$B$20,2,FALSE()),"REVIEW"))</f>
        <v/>
      </c>
      <c r="H811">
        <f>IF(E811="","",IFERROR(VALUE(SUBSTITUTE('MSR RAW'!P811,",","")),0))</f>
        <v/>
      </c>
      <c r="I811">
        <f>IF(E811="","",IFERROR(VALUE(SUBSTITUTE('MSR RAW'!S811,",","")),0))</f>
        <v/>
      </c>
    </row>
    <row r="812" ht="68.65000000000001" customHeight="1" s="126">
      <c r="A812" t="n">
        <v>812</v>
      </c>
      <c r="B812" s="30">
        <f>IF('MSR RAW'!$A$3="","",'MSR RAW'!$A$3)</f>
        <v/>
      </c>
      <c r="C812">
        <f>IF(LEFT(TRIM('MSR RAW'!A812),11)="Department:",TRIM('MSR RAW'!A812),C811)</f>
        <v/>
      </c>
      <c r="D812">
        <f>IF(LEFT(TRIM('MSR RAW'!B812),9)="Location:",TRIM(MID('MSR RAW'!B812,10,999)),D811)</f>
        <v/>
      </c>
      <c r="E812">
        <f>IF(AND(ISNUMBER(SEARCH(" - ",TRIM('MSR RAW'!C812))),RIGHT(TRIM('MSR RAW'!C812),6)="Total:"),LEFT(TRIM('MSR RAW'!C812),SEARCH(" - ",TRIM('MSR RAW'!C812))-1),"")</f>
        <v/>
      </c>
      <c r="F812">
        <f>IF(E812="","",TRIM(MID(TRIM('MSR RAW'!C812),SEARCH(" - ",TRIM('MSR RAW'!C812))+3,LEN(TRIM('MSR RAW'!C812))-SEARCH(" - ",TRIM('MSR RAW'!C812))-9)))</f>
        <v/>
      </c>
      <c r="G812">
        <f>IF(E812="","",IFERROR(VLOOKUP(E812,'CATEGORY MAP'!$A$2:$B$20,2,FALSE()),"REVIEW"))</f>
        <v/>
      </c>
      <c r="H812">
        <f>IF(E812="","",IFERROR(VALUE(SUBSTITUTE('MSR RAW'!P812,",","")),0))</f>
        <v/>
      </c>
      <c r="I812">
        <f>IF(E812="","",IFERROR(VALUE(SUBSTITUTE('MSR RAW'!S812,",","")),0))</f>
        <v/>
      </c>
    </row>
    <row r="813" ht="68.65000000000001" customHeight="1" s="126">
      <c r="A813" t="n">
        <v>813</v>
      </c>
      <c r="B813" s="30">
        <f>IF('MSR RAW'!$A$3="","",'MSR RAW'!$A$3)</f>
        <v/>
      </c>
      <c r="C813">
        <f>IF(LEFT(TRIM('MSR RAW'!A813),11)="Department:",TRIM('MSR RAW'!A813),C812)</f>
        <v/>
      </c>
      <c r="D813">
        <f>IF(LEFT(TRIM('MSR RAW'!B813),9)="Location:",TRIM(MID('MSR RAW'!B813,10,999)),D812)</f>
        <v/>
      </c>
      <c r="E813">
        <f>IF(AND(ISNUMBER(SEARCH(" - ",TRIM('MSR RAW'!C813))),RIGHT(TRIM('MSR RAW'!C813),6)="Total:"),LEFT(TRIM('MSR RAW'!C813),SEARCH(" - ",TRIM('MSR RAW'!C813))-1),"")</f>
        <v/>
      </c>
      <c r="F813">
        <f>IF(E813="","",TRIM(MID(TRIM('MSR RAW'!C813),SEARCH(" - ",TRIM('MSR RAW'!C813))+3,LEN(TRIM('MSR RAW'!C813))-SEARCH(" - ",TRIM('MSR RAW'!C813))-9)))</f>
        <v/>
      </c>
      <c r="G813">
        <f>IF(E813="","",IFERROR(VLOOKUP(E813,'CATEGORY MAP'!$A$2:$B$20,2,FALSE()),"REVIEW"))</f>
        <v/>
      </c>
      <c r="H813">
        <f>IF(E813="","",IFERROR(VALUE(SUBSTITUTE('MSR RAW'!P813,",","")),0))</f>
        <v/>
      </c>
      <c r="I813">
        <f>IF(E813="","",IFERROR(VALUE(SUBSTITUTE('MSR RAW'!S813,",","")),0))</f>
        <v/>
      </c>
    </row>
    <row r="814" ht="68.65000000000001" customHeight="1" s="126">
      <c r="A814" t="n">
        <v>814</v>
      </c>
      <c r="B814" s="30">
        <f>IF('MSR RAW'!$A$3="","",'MSR RAW'!$A$3)</f>
        <v/>
      </c>
      <c r="C814">
        <f>IF(LEFT(TRIM('MSR RAW'!A814),11)="Department:",TRIM('MSR RAW'!A814),C813)</f>
        <v/>
      </c>
      <c r="D814">
        <f>IF(LEFT(TRIM('MSR RAW'!B814),9)="Location:",TRIM(MID('MSR RAW'!B814,10,999)),D813)</f>
        <v/>
      </c>
      <c r="E814">
        <f>IF(AND(ISNUMBER(SEARCH(" - ",TRIM('MSR RAW'!C814))),RIGHT(TRIM('MSR RAW'!C814),6)="Total:"),LEFT(TRIM('MSR RAW'!C814),SEARCH(" - ",TRIM('MSR RAW'!C814))-1),"")</f>
        <v/>
      </c>
      <c r="F814">
        <f>IF(E814="","",TRIM(MID(TRIM('MSR RAW'!C814),SEARCH(" - ",TRIM('MSR RAW'!C814))+3,LEN(TRIM('MSR RAW'!C814))-SEARCH(" - ",TRIM('MSR RAW'!C814))-9)))</f>
        <v/>
      </c>
      <c r="G814">
        <f>IF(E814="","",IFERROR(VLOOKUP(E814,'CATEGORY MAP'!$A$2:$B$20,2,FALSE()),"REVIEW"))</f>
        <v/>
      </c>
      <c r="H814">
        <f>IF(E814="","",IFERROR(VALUE(SUBSTITUTE('MSR RAW'!P814,",","")),0))</f>
        <v/>
      </c>
      <c r="I814">
        <f>IF(E814="","",IFERROR(VALUE(SUBSTITUTE('MSR RAW'!S814,",","")),0))</f>
        <v/>
      </c>
    </row>
    <row r="815" ht="68.65000000000001" customHeight="1" s="126">
      <c r="A815" t="n">
        <v>815</v>
      </c>
      <c r="B815" s="30">
        <f>IF('MSR RAW'!$A$3="","",'MSR RAW'!$A$3)</f>
        <v/>
      </c>
      <c r="C815">
        <f>IF(LEFT(TRIM('MSR RAW'!A815),11)="Department:",TRIM('MSR RAW'!A815),C814)</f>
        <v/>
      </c>
      <c r="D815">
        <f>IF(LEFT(TRIM('MSR RAW'!B815),9)="Location:",TRIM(MID('MSR RAW'!B815,10,999)),D814)</f>
        <v/>
      </c>
      <c r="E815">
        <f>IF(AND(ISNUMBER(SEARCH(" - ",TRIM('MSR RAW'!C815))),RIGHT(TRIM('MSR RAW'!C815),6)="Total:"),LEFT(TRIM('MSR RAW'!C815),SEARCH(" - ",TRIM('MSR RAW'!C815))-1),"")</f>
        <v/>
      </c>
      <c r="F815">
        <f>IF(E815="","",TRIM(MID(TRIM('MSR RAW'!C815),SEARCH(" - ",TRIM('MSR RAW'!C815))+3,LEN(TRIM('MSR RAW'!C815))-SEARCH(" - ",TRIM('MSR RAW'!C815))-9)))</f>
        <v/>
      </c>
      <c r="G815">
        <f>IF(E815="","",IFERROR(VLOOKUP(E815,'CATEGORY MAP'!$A$2:$B$20,2,FALSE()),"REVIEW"))</f>
        <v/>
      </c>
      <c r="H815">
        <f>IF(E815="","",IFERROR(VALUE(SUBSTITUTE('MSR RAW'!P815,",","")),0))</f>
        <v/>
      </c>
      <c r="I815">
        <f>IF(E815="","",IFERROR(VALUE(SUBSTITUTE('MSR RAW'!S815,",","")),0))</f>
        <v/>
      </c>
    </row>
    <row r="816" ht="68.65000000000001" customHeight="1" s="126">
      <c r="A816" t="n">
        <v>816</v>
      </c>
      <c r="B816" s="30">
        <f>IF('MSR RAW'!$A$3="","",'MSR RAW'!$A$3)</f>
        <v/>
      </c>
      <c r="C816">
        <f>IF(LEFT(TRIM('MSR RAW'!A816),11)="Department:",TRIM('MSR RAW'!A816),C815)</f>
        <v/>
      </c>
      <c r="D816">
        <f>IF(LEFT(TRIM('MSR RAW'!B816),9)="Location:",TRIM(MID('MSR RAW'!B816,10,999)),D815)</f>
        <v/>
      </c>
      <c r="E816">
        <f>IF(AND(ISNUMBER(SEARCH(" - ",TRIM('MSR RAW'!C816))),RIGHT(TRIM('MSR RAW'!C816),6)="Total:"),LEFT(TRIM('MSR RAW'!C816),SEARCH(" - ",TRIM('MSR RAW'!C816))-1),"")</f>
        <v/>
      </c>
      <c r="F816">
        <f>IF(E816="","",TRIM(MID(TRIM('MSR RAW'!C816),SEARCH(" - ",TRIM('MSR RAW'!C816))+3,LEN(TRIM('MSR RAW'!C816))-SEARCH(" - ",TRIM('MSR RAW'!C816))-9)))</f>
        <v/>
      </c>
      <c r="G816">
        <f>IF(E816="","",IFERROR(VLOOKUP(E816,'CATEGORY MAP'!$A$2:$B$20,2,FALSE()),"REVIEW"))</f>
        <v/>
      </c>
      <c r="H816">
        <f>IF(E816="","",IFERROR(VALUE(SUBSTITUTE('MSR RAW'!P816,",","")),0))</f>
        <v/>
      </c>
      <c r="I816">
        <f>IF(E816="","",IFERROR(VALUE(SUBSTITUTE('MSR RAW'!S816,",","")),0))</f>
        <v/>
      </c>
    </row>
    <row r="817" ht="68.65000000000001" customHeight="1" s="126">
      <c r="A817" t="n">
        <v>817</v>
      </c>
      <c r="B817" s="30">
        <f>IF('MSR RAW'!$A$3="","",'MSR RAW'!$A$3)</f>
        <v/>
      </c>
      <c r="C817">
        <f>IF(LEFT(TRIM('MSR RAW'!A817),11)="Department:",TRIM('MSR RAW'!A817),C816)</f>
        <v/>
      </c>
      <c r="D817">
        <f>IF(LEFT(TRIM('MSR RAW'!B817),9)="Location:",TRIM(MID('MSR RAW'!B817,10,999)),D816)</f>
        <v/>
      </c>
      <c r="E817">
        <f>IF(AND(ISNUMBER(SEARCH(" - ",TRIM('MSR RAW'!C817))),RIGHT(TRIM('MSR RAW'!C817),6)="Total:"),LEFT(TRIM('MSR RAW'!C817),SEARCH(" - ",TRIM('MSR RAW'!C817))-1),"")</f>
        <v/>
      </c>
      <c r="F817">
        <f>IF(E817="","",TRIM(MID(TRIM('MSR RAW'!C817),SEARCH(" - ",TRIM('MSR RAW'!C817))+3,LEN(TRIM('MSR RAW'!C817))-SEARCH(" - ",TRIM('MSR RAW'!C817))-9)))</f>
        <v/>
      </c>
      <c r="G817">
        <f>IF(E817="","",IFERROR(VLOOKUP(E817,'CATEGORY MAP'!$A$2:$B$20,2,FALSE()),"REVIEW"))</f>
        <v/>
      </c>
      <c r="H817">
        <f>IF(E817="","",IFERROR(VALUE(SUBSTITUTE('MSR RAW'!P817,",","")),0))</f>
        <v/>
      </c>
      <c r="I817">
        <f>IF(E817="","",IFERROR(VALUE(SUBSTITUTE('MSR RAW'!S817,",","")),0))</f>
        <v/>
      </c>
    </row>
    <row r="818" ht="68.65000000000001" customHeight="1" s="126">
      <c r="A818" t="n">
        <v>818</v>
      </c>
      <c r="B818" s="30">
        <f>IF('MSR RAW'!$A$3="","",'MSR RAW'!$A$3)</f>
        <v/>
      </c>
      <c r="C818">
        <f>IF(LEFT(TRIM('MSR RAW'!A818),11)="Department:",TRIM('MSR RAW'!A818),C817)</f>
        <v/>
      </c>
      <c r="D818">
        <f>IF(LEFT(TRIM('MSR RAW'!B818),9)="Location:",TRIM(MID('MSR RAW'!B818,10,999)),D817)</f>
        <v/>
      </c>
      <c r="E818">
        <f>IF(AND(ISNUMBER(SEARCH(" - ",TRIM('MSR RAW'!C818))),RIGHT(TRIM('MSR RAW'!C818),6)="Total:"),LEFT(TRIM('MSR RAW'!C818),SEARCH(" - ",TRIM('MSR RAW'!C818))-1),"")</f>
        <v/>
      </c>
      <c r="F818">
        <f>IF(E818="","",TRIM(MID(TRIM('MSR RAW'!C818),SEARCH(" - ",TRIM('MSR RAW'!C818))+3,LEN(TRIM('MSR RAW'!C818))-SEARCH(" - ",TRIM('MSR RAW'!C818))-9)))</f>
        <v/>
      </c>
      <c r="G818">
        <f>IF(E818="","",IFERROR(VLOOKUP(E818,'CATEGORY MAP'!$A$2:$B$20,2,FALSE()),"REVIEW"))</f>
        <v/>
      </c>
      <c r="H818">
        <f>IF(E818="","",IFERROR(VALUE(SUBSTITUTE('MSR RAW'!P818,",","")),0))</f>
        <v/>
      </c>
      <c r="I818">
        <f>IF(E818="","",IFERROR(VALUE(SUBSTITUTE('MSR RAW'!S818,",","")),0))</f>
        <v/>
      </c>
    </row>
    <row r="819" ht="68.65000000000001" customHeight="1" s="126">
      <c r="A819" t="n">
        <v>819</v>
      </c>
      <c r="B819" s="30">
        <f>IF('MSR RAW'!$A$3="","",'MSR RAW'!$A$3)</f>
        <v/>
      </c>
      <c r="C819">
        <f>IF(LEFT(TRIM('MSR RAW'!A819),11)="Department:",TRIM('MSR RAW'!A819),C818)</f>
        <v/>
      </c>
      <c r="D819">
        <f>IF(LEFT(TRIM('MSR RAW'!B819),9)="Location:",TRIM(MID('MSR RAW'!B819,10,999)),D818)</f>
        <v/>
      </c>
      <c r="E819">
        <f>IF(AND(ISNUMBER(SEARCH(" - ",TRIM('MSR RAW'!C819))),RIGHT(TRIM('MSR RAW'!C819),6)="Total:"),LEFT(TRIM('MSR RAW'!C819),SEARCH(" - ",TRIM('MSR RAW'!C819))-1),"")</f>
        <v/>
      </c>
      <c r="F819">
        <f>IF(E819="","",TRIM(MID(TRIM('MSR RAW'!C819),SEARCH(" - ",TRIM('MSR RAW'!C819))+3,LEN(TRIM('MSR RAW'!C819))-SEARCH(" - ",TRIM('MSR RAW'!C819))-9)))</f>
        <v/>
      </c>
      <c r="G819">
        <f>IF(E819="","",IFERROR(VLOOKUP(E819,'CATEGORY MAP'!$A$2:$B$20,2,FALSE()),"REVIEW"))</f>
        <v/>
      </c>
      <c r="H819">
        <f>IF(E819="","",IFERROR(VALUE(SUBSTITUTE('MSR RAW'!P819,",","")),0))</f>
        <v/>
      </c>
      <c r="I819">
        <f>IF(E819="","",IFERROR(VALUE(SUBSTITUTE('MSR RAW'!S819,",","")),0))</f>
        <v/>
      </c>
    </row>
    <row r="820" ht="68.65000000000001" customHeight="1" s="126">
      <c r="A820" t="n">
        <v>820</v>
      </c>
      <c r="B820" s="30">
        <f>IF('MSR RAW'!$A$3="","",'MSR RAW'!$A$3)</f>
        <v/>
      </c>
      <c r="C820">
        <f>IF(LEFT(TRIM('MSR RAW'!A820),11)="Department:",TRIM('MSR RAW'!A820),C819)</f>
        <v/>
      </c>
      <c r="D820">
        <f>IF(LEFT(TRIM('MSR RAW'!B820),9)="Location:",TRIM(MID('MSR RAW'!B820,10,999)),D819)</f>
        <v/>
      </c>
      <c r="E820">
        <f>IF(AND(ISNUMBER(SEARCH(" - ",TRIM('MSR RAW'!C820))),RIGHT(TRIM('MSR RAW'!C820),6)="Total:"),LEFT(TRIM('MSR RAW'!C820),SEARCH(" - ",TRIM('MSR RAW'!C820))-1),"")</f>
        <v/>
      </c>
      <c r="F820">
        <f>IF(E820="","",TRIM(MID(TRIM('MSR RAW'!C820),SEARCH(" - ",TRIM('MSR RAW'!C820))+3,LEN(TRIM('MSR RAW'!C820))-SEARCH(" - ",TRIM('MSR RAW'!C820))-9)))</f>
        <v/>
      </c>
      <c r="G820">
        <f>IF(E820="","",IFERROR(VLOOKUP(E820,'CATEGORY MAP'!$A$2:$B$20,2,FALSE()),"REVIEW"))</f>
        <v/>
      </c>
      <c r="H820">
        <f>IF(E820="","",IFERROR(VALUE(SUBSTITUTE('MSR RAW'!P820,",","")),0))</f>
        <v/>
      </c>
      <c r="I820">
        <f>IF(E820="","",IFERROR(VALUE(SUBSTITUTE('MSR RAW'!S820,",","")),0))</f>
        <v/>
      </c>
    </row>
    <row r="821" ht="68.65000000000001" customHeight="1" s="126">
      <c r="A821" t="n">
        <v>821</v>
      </c>
      <c r="B821" s="30">
        <f>IF('MSR RAW'!$A$3="","",'MSR RAW'!$A$3)</f>
        <v/>
      </c>
      <c r="C821">
        <f>IF(LEFT(TRIM('MSR RAW'!A821),11)="Department:",TRIM('MSR RAW'!A821),C820)</f>
        <v/>
      </c>
      <c r="D821">
        <f>IF(LEFT(TRIM('MSR RAW'!B821),9)="Location:",TRIM(MID('MSR RAW'!B821,10,999)),D820)</f>
        <v/>
      </c>
      <c r="E821">
        <f>IF(AND(ISNUMBER(SEARCH(" - ",TRIM('MSR RAW'!C821))),RIGHT(TRIM('MSR RAW'!C821),6)="Total:"),LEFT(TRIM('MSR RAW'!C821),SEARCH(" - ",TRIM('MSR RAW'!C821))-1),"")</f>
        <v/>
      </c>
      <c r="F821">
        <f>IF(E821="","",TRIM(MID(TRIM('MSR RAW'!C821),SEARCH(" - ",TRIM('MSR RAW'!C821))+3,LEN(TRIM('MSR RAW'!C821))-SEARCH(" - ",TRIM('MSR RAW'!C821))-9)))</f>
        <v/>
      </c>
      <c r="G821">
        <f>IF(E821="","",IFERROR(VLOOKUP(E821,'CATEGORY MAP'!$A$2:$B$20,2,FALSE()),"REVIEW"))</f>
        <v/>
      </c>
      <c r="H821">
        <f>IF(E821="","",IFERROR(VALUE(SUBSTITUTE('MSR RAW'!P821,",","")),0))</f>
        <v/>
      </c>
      <c r="I821">
        <f>IF(E821="","",IFERROR(VALUE(SUBSTITUTE('MSR RAW'!S821,",","")),0))</f>
        <v/>
      </c>
    </row>
    <row r="822" ht="68.65000000000001" customHeight="1" s="126">
      <c r="A822" t="n">
        <v>822</v>
      </c>
      <c r="B822" s="30">
        <f>IF('MSR RAW'!$A$3="","",'MSR RAW'!$A$3)</f>
        <v/>
      </c>
      <c r="C822">
        <f>IF(LEFT(TRIM('MSR RAW'!A822),11)="Department:",TRIM('MSR RAW'!A822),C821)</f>
        <v/>
      </c>
      <c r="D822">
        <f>IF(LEFT(TRIM('MSR RAW'!B822),9)="Location:",TRIM(MID('MSR RAW'!B822,10,999)),D821)</f>
        <v/>
      </c>
      <c r="E822">
        <f>IF(AND(ISNUMBER(SEARCH(" - ",TRIM('MSR RAW'!C822))),RIGHT(TRIM('MSR RAW'!C822),6)="Total:"),LEFT(TRIM('MSR RAW'!C822),SEARCH(" - ",TRIM('MSR RAW'!C822))-1),"")</f>
        <v/>
      </c>
      <c r="F822">
        <f>IF(E822="","",TRIM(MID(TRIM('MSR RAW'!C822),SEARCH(" - ",TRIM('MSR RAW'!C822))+3,LEN(TRIM('MSR RAW'!C822))-SEARCH(" - ",TRIM('MSR RAW'!C822))-9)))</f>
        <v/>
      </c>
      <c r="G822">
        <f>IF(E822="","",IFERROR(VLOOKUP(E822,'CATEGORY MAP'!$A$2:$B$20,2,FALSE()),"REVIEW"))</f>
        <v/>
      </c>
      <c r="H822">
        <f>IF(E822="","",IFERROR(VALUE(SUBSTITUTE('MSR RAW'!P822,",","")),0))</f>
        <v/>
      </c>
      <c r="I822">
        <f>IF(E822="","",IFERROR(VALUE(SUBSTITUTE('MSR RAW'!S822,",","")),0))</f>
        <v/>
      </c>
    </row>
    <row r="823" ht="68.65000000000001" customHeight="1" s="126">
      <c r="A823" t="n">
        <v>823</v>
      </c>
      <c r="B823" s="30">
        <f>IF('MSR RAW'!$A$3="","",'MSR RAW'!$A$3)</f>
        <v/>
      </c>
      <c r="C823">
        <f>IF(LEFT(TRIM('MSR RAW'!A823),11)="Department:",TRIM('MSR RAW'!A823),C822)</f>
        <v/>
      </c>
      <c r="D823">
        <f>IF(LEFT(TRIM('MSR RAW'!B823),9)="Location:",TRIM(MID('MSR RAW'!B823,10,999)),D822)</f>
        <v/>
      </c>
      <c r="E823">
        <f>IF(AND(ISNUMBER(SEARCH(" - ",TRIM('MSR RAW'!C823))),RIGHT(TRIM('MSR RAW'!C823),6)="Total:"),LEFT(TRIM('MSR RAW'!C823),SEARCH(" - ",TRIM('MSR RAW'!C823))-1),"")</f>
        <v/>
      </c>
      <c r="F823">
        <f>IF(E823="","",TRIM(MID(TRIM('MSR RAW'!C823),SEARCH(" - ",TRIM('MSR RAW'!C823))+3,LEN(TRIM('MSR RAW'!C823))-SEARCH(" - ",TRIM('MSR RAW'!C823))-9)))</f>
        <v/>
      </c>
      <c r="G823">
        <f>IF(E823="","",IFERROR(VLOOKUP(E823,'CATEGORY MAP'!$A$2:$B$20,2,FALSE()),"REVIEW"))</f>
        <v/>
      </c>
      <c r="H823">
        <f>IF(E823="","",IFERROR(VALUE(SUBSTITUTE('MSR RAW'!P823,",","")),0))</f>
        <v/>
      </c>
      <c r="I823">
        <f>IF(E823="","",IFERROR(VALUE(SUBSTITUTE('MSR RAW'!S823,",","")),0))</f>
        <v/>
      </c>
    </row>
    <row r="824" ht="68.65000000000001" customHeight="1" s="126">
      <c r="A824" t="n">
        <v>824</v>
      </c>
      <c r="B824" s="30">
        <f>IF('MSR RAW'!$A$3="","",'MSR RAW'!$A$3)</f>
        <v/>
      </c>
      <c r="C824">
        <f>IF(LEFT(TRIM('MSR RAW'!A824),11)="Department:",TRIM('MSR RAW'!A824),C823)</f>
        <v/>
      </c>
      <c r="D824">
        <f>IF(LEFT(TRIM('MSR RAW'!B824),9)="Location:",TRIM(MID('MSR RAW'!B824,10,999)),D823)</f>
        <v/>
      </c>
      <c r="E824">
        <f>IF(AND(ISNUMBER(SEARCH(" - ",TRIM('MSR RAW'!C824))),RIGHT(TRIM('MSR RAW'!C824),6)="Total:"),LEFT(TRIM('MSR RAW'!C824),SEARCH(" - ",TRIM('MSR RAW'!C824))-1),"")</f>
        <v/>
      </c>
      <c r="F824">
        <f>IF(E824="","",TRIM(MID(TRIM('MSR RAW'!C824),SEARCH(" - ",TRIM('MSR RAW'!C824))+3,LEN(TRIM('MSR RAW'!C824))-SEARCH(" - ",TRIM('MSR RAW'!C824))-9)))</f>
        <v/>
      </c>
      <c r="G824">
        <f>IF(E824="","",IFERROR(VLOOKUP(E824,'CATEGORY MAP'!$A$2:$B$20,2,FALSE()),"REVIEW"))</f>
        <v/>
      </c>
      <c r="H824">
        <f>IF(E824="","",IFERROR(VALUE(SUBSTITUTE('MSR RAW'!P824,",","")),0))</f>
        <v/>
      </c>
      <c r="I824">
        <f>IF(E824="","",IFERROR(VALUE(SUBSTITUTE('MSR RAW'!S824,",","")),0))</f>
        <v/>
      </c>
    </row>
    <row r="825" ht="68.65000000000001" customHeight="1" s="126">
      <c r="A825" t="n">
        <v>825</v>
      </c>
      <c r="B825" s="30">
        <f>IF('MSR RAW'!$A$3="","",'MSR RAW'!$A$3)</f>
        <v/>
      </c>
      <c r="C825">
        <f>IF(LEFT(TRIM('MSR RAW'!A825),11)="Department:",TRIM('MSR RAW'!A825),C824)</f>
        <v/>
      </c>
      <c r="D825">
        <f>IF(LEFT(TRIM('MSR RAW'!B825),9)="Location:",TRIM(MID('MSR RAW'!B825,10,999)),D824)</f>
        <v/>
      </c>
      <c r="E825">
        <f>IF(AND(ISNUMBER(SEARCH(" - ",TRIM('MSR RAW'!C825))),RIGHT(TRIM('MSR RAW'!C825),6)="Total:"),LEFT(TRIM('MSR RAW'!C825),SEARCH(" - ",TRIM('MSR RAW'!C825))-1),"")</f>
        <v/>
      </c>
      <c r="F825">
        <f>IF(E825="","",TRIM(MID(TRIM('MSR RAW'!C825),SEARCH(" - ",TRIM('MSR RAW'!C825))+3,LEN(TRIM('MSR RAW'!C825))-SEARCH(" - ",TRIM('MSR RAW'!C825))-9)))</f>
        <v/>
      </c>
      <c r="G825">
        <f>IF(E825="","",IFERROR(VLOOKUP(E825,'CATEGORY MAP'!$A$2:$B$20,2,FALSE()),"REVIEW"))</f>
        <v/>
      </c>
      <c r="H825">
        <f>IF(E825="","",IFERROR(VALUE(SUBSTITUTE('MSR RAW'!P825,",","")),0))</f>
        <v/>
      </c>
      <c r="I825">
        <f>IF(E825="","",IFERROR(VALUE(SUBSTITUTE('MSR RAW'!S825,",","")),0))</f>
        <v/>
      </c>
    </row>
    <row r="826" ht="68.65000000000001" customHeight="1" s="126">
      <c r="A826" t="n">
        <v>826</v>
      </c>
      <c r="B826" s="30">
        <f>IF('MSR RAW'!$A$3="","",'MSR RAW'!$A$3)</f>
        <v/>
      </c>
      <c r="C826">
        <f>IF(LEFT(TRIM('MSR RAW'!A826),11)="Department:",TRIM('MSR RAW'!A826),C825)</f>
        <v/>
      </c>
      <c r="D826">
        <f>IF(LEFT(TRIM('MSR RAW'!B826),9)="Location:",TRIM(MID('MSR RAW'!B826,10,999)),D825)</f>
        <v/>
      </c>
      <c r="E826">
        <f>IF(AND(ISNUMBER(SEARCH(" - ",TRIM('MSR RAW'!C826))),RIGHT(TRIM('MSR RAW'!C826),6)="Total:"),LEFT(TRIM('MSR RAW'!C826),SEARCH(" - ",TRIM('MSR RAW'!C826))-1),"")</f>
        <v/>
      </c>
      <c r="F826">
        <f>IF(E826="","",TRIM(MID(TRIM('MSR RAW'!C826),SEARCH(" - ",TRIM('MSR RAW'!C826))+3,LEN(TRIM('MSR RAW'!C826))-SEARCH(" - ",TRIM('MSR RAW'!C826))-9)))</f>
        <v/>
      </c>
      <c r="G826">
        <f>IF(E826="","",IFERROR(VLOOKUP(E826,'CATEGORY MAP'!$A$2:$B$20,2,FALSE()),"REVIEW"))</f>
        <v/>
      </c>
      <c r="H826">
        <f>IF(E826="","",IFERROR(VALUE(SUBSTITUTE('MSR RAW'!P826,",","")),0))</f>
        <v/>
      </c>
      <c r="I826">
        <f>IF(E826="","",IFERROR(VALUE(SUBSTITUTE('MSR RAW'!S826,",","")),0))</f>
        <v/>
      </c>
    </row>
    <row r="827" ht="68.65000000000001" customHeight="1" s="126">
      <c r="A827" t="n">
        <v>827</v>
      </c>
      <c r="B827" s="30">
        <f>IF('MSR RAW'!$A$3="","",'MSR RAW'!$A$3)</f>
        <v/>
      </c>
      <c r="C827">
        <f>IF(LEFT(TRIM('MSR RAW'!A827),11)="Department:",TRIM('MSR RAW'!A827),C826)</f>
        <v/>
      </c>
      <c r="D827">
        <f>IF(LEFT(TRIM('MSR RAW'!B827),9)="Location:",TRIM(MID('MSR RAW'!B827,10,999)),D826)</f>
        <v/>
      </c>
      <c r="E827">
        <f>IF(AND(ISNUMBER(SEARCH(" - ",TRIM('MSR RAW'!C827))),RIGHT(TRIM('MSR RAW'!C827),6)="Total:"),LEFT(TRIM('MSR RAW'!C827),SEARCH(" - ",TRIM('MSR RAW'!C827))-1),"")</f>
        <v/>
      </c>
      <c r="F827">
        <f>IF(E827="","",TRIM(MID(TRIM('MSR RAW'!C827),SEARCH(" - ",TRIM('MSR RAW'!C827))+3,LEN(TRIM('MSR RAW'!C827))-SEARCH(" - ",TRIM('MSR RAW'!C827))-9)))</f>
        <v/>
      </c>
      <c r="G827">
        <f>IF(E827="","",IFERROR(VLOOKUP(E827,'CATEGORY MAP'!$A$2:$B$20,2,FALSE()),"REVIEW"))</f>
        <v/>
      </c>
      <c r="H827">
        <f>IF(E827="","",IFERROR(VALUE(SUBSTITUTE('MSR RAW'!P827,",","")),0))</f>
        <v/>
      </c>
      <c r="I827">
        <f>IF(E827="","",IFERROR(VALUE(SUBSTITUTE('MSR RAW'!S827,",","")),0))</f>
        <v/>
      </c>
    </row>
    <row r="828" ht="68.65000000000001" customHeight="1" s="126">
      <c r="A828" t="n">
        <v>828</v>
      </c>
      <c r="B828" s="30">
        <f>IF('MSR RAW'!$A$3="","",'MSR RAW'!$A$3)</f>
        <v/>
      </c>
      <c r="C828">
        <f>IF(LEFT(TRIM('MSR RAW'!A828),11)="Department:",TRIM('MSR RAW'!A828),C827)</f>
        <v/>
      </c>
      <c r="D828">
        <f>IF(LEFT(TRIM('MSR RAW'!B828),9)="Location:",TRIM(MID('MSR RAW'!B828,10,999)),D827)</f>
        <v/>
      </c>
      <c r="E828">
        <f>IF(AND(ISNUMBER(SEARCH(" - ",TRIM('MSR RAW'!C828))),RIGHT(TRIM('MSR RAW'!C828),6)="Total:"),LEFT(TRIM('MSR RAW'!C828),SEARCH(" - ",TRIM('MSR RAW'!C828))-1),"")</f>
        <v/>
      </c>
      <c r="F828">
        <f>IF(E828="","",TRIM(MID(TRIM('MSR RAW'!C828),SEARCH(" - ",TRIM('MSR RAW'!C828))+3,LEN(TRIM('MSR RAW'!C828))-SEARCH(" - ",TRIM('MSR RAW'!C828))-9)))</f>
        <v/>
      </c>
      <c r="G828">
        <f>IF(E828="","",IFERROR(VLOOKUP(E828,'CATEGORY MAP'!$A$2:$B$20,2,FALSE()),"REVIEW"))</f>
        <v/>
      </c>
      <c r="H828">
        <f>IF(E828="","",IFERROR(VALUE(SUBSTITUTE('MSR RAW'!P828,",","")),0))</f>
        <v/>
      </c>
      <c r="I828">
        <f>IF(E828="","",IFERROR(VALUE(SUBSTITUTE('MSR RAW'!S828,",","")),0))</f>
        <v/>
      </c>
    </row>
    <row r="829" ht="68.65000000000001" customHeight="1" s="126">
      <c r="A829" t="n">
        <v>829</v>
      </c>
      <c r="B829" s="30">
        <f>IF('MSR RAW'!$A$3="","",'MSR RAW'!$A$3)</f>
        <v/>
      </c>
      <c r="C829">
        <f>IF(LEFT(TRIM('MSR RAW'!A829),11)="Department:",TRIM('MSR RAW'!A829),C828)</f>
        <v/>
      </c>
      <c r="D829">
        <f>IF(LEFT(TRIM('MSR RAW'!B829),9)="Location:",TRIM(MID('MSR RAW'!B829,10,999)),D828)</f>
        <v/>
      </c>
      <c r="E829">
        <f>IF(AND(ISNUMBER(SEARCH(" - ",TRIM('MSR RAW'!C829))),RIGHT(TRIM('MSR RAW'!C829),6)="Total:"),LEFT(TRIM('MSR RAW'!C829),SEARCH(" - ",TRIM('MSR RAW'!C829))-1),"")</f>
        <v/>
      </c>
      <c r="F829">
        <f>IF(E829="","",TRIM(MID(TRIM('MSR RAW'!C829),SEARCH(" - ",TRIM('MSR RAW'!C829))+3,LEN(TRIM('MSR RAW'!C829))-SEARCH(" - ",TRIM('MSR RAW'!C829))-9)))</f>
        <v/>
      </c>
      <c r="G829">
        <f>IF(E829="","",IFERROR(VLOOKUP(E829,'CATEGORY MAP'!$A$2:$B$20,2,FALSE()),"REVIEW"))</f>
        <v/>
      </c>
      <c r="H829">
        <f>IF(E829="","",IFERROR(VALUE(SUBSTITUTE('MSR RAW'!P829,",","")),0))</f>
        <v/>
      </c>
      <c r="I829">
        <f>IF(E829="","",IFERROR(VALUE(SUBSTITUTE('MSR RAW'!S829,",","")),0))</f>
        <v/>
      </c>
    </row>
    <row r="830" ht="68.65000000000001" customHeight="1" s="126">
      <c r="A830" t="n">
        <v>830</v>
      </c>
      <c r="B830" s="30">
        <f>IF('MSR RAW'!$A$3="","",'MSR RAW'!$A$3)</f>
        <v/>
      </c>
      <c r="C830">
        <f>IF(LEFT(TRIM('MSR RAW'!A830),11)="Department:",TRIM('MSR RAW'!A830),C829)</f>
        <v/>
      </c>
      <c r="D830">
        <f>IF(LEFT(TRIM('MSR RAW'!B830),9)="Location:",TRIM(MID('MSR RAW'!B830,10,999)),D829)</f>
        <v/>
      </c>
      <c r="E830">
        <f>IF(AND(ISNUMBER(SEARCH(" - ",TRIM('MSR RAW'!C830))),RIGHT(TRIM('MSR RAW'!C830),6)="Total:"),LEFT(TRIM('MSR RAW'!C830),SEARCH(" - ",TRIM('MSR RAW'!C830))-1),"")</f>
        <v/>
      </c>
      <c r="F830">
        <f>IF(E830="","",TRIM(MID(TRIM('MSR RAW'!C830),SEARCH(" - ",TRIM('MSR RAW'!C830))+3,LEN(TRIM('MSR RAW'!C830))-SEARCH(" - ",TRIM('MSR RAW'!C830))-9)))</f>
        <v/>
      </c>
      <c r="G830">
        <f>IF(E830="","",IFERROR(VLOOKUP(E830,'CATEGORY MAP'!$A$2:$B$20,2,FALSE()),"REVIEW"))</f>
        <v/>
      </c>
      <c r="H830">
        <f>IF(E830="","",IFERROR(VALUE(SUBSTITUTE('MSR RAW'!P830,",","")),0))</f>
        <v/>
      </c>
      <c r="I830">
        <f>IF(E830="","",IFERROR(VALUE(SUBSTITUTE('MSR RAW'!S830,",","")),0))</f>
        <v/>
      </c>
    </row>
    <row r="831" ht="68.65000000000001" customHeight="1" s="126">
      <c r="A831" t="n">
        <v>831</v>
      </c>
      <c r="B831" s="30">
        <f>IF('MSR RAW'!$A$3="","",'MSR RAW'!$A$3)</f>
        <v/>
      </c>
      <c r="C831">
        <f>IF(LEFT(TRIM('MSR RAW'!A831),11)="Department:",TRIM('MSR RAW'!A831),C830)</f>
        <v/>
      </c>
      <c r="D831">
        <f>IF(LEFT(TRIM('MSR RAW'!B831),9)="Location:",TRIM(MID('MSR RAW'!B831,10,999)),D830)</f>
        <v/>
      </c>
      <c r="E831">
        <f>IF(AND(ISNUMBER(SEARCH(" - ",TRIM('MSR RAW'!C831))),RIGHT(TRIM('MSR RAW'!C831),6)="Total:"),LEFT(TRIM('MSR RAW'!C831),SEARCH(" - ",TRIM('MSR RAW'!C831))-1),"")</f>
        <v/>
      </c>
      <c r="F831">
        <f>IF(E831="","",TRIM(MID(TRIM('MSR RAW'!C831),SEARCH(" - ",TRIM('MSR RAW'!C831))+3,LEN(TRIM('MSR RAW'!C831))-SEARCH(" - ",TRIM('MSR RAW'!C831))-9)))</f>
        <v/>
      </c>
      <c r="G831">
        <f>IF(E831="","",IFERROR(VLOOKUP(E831,'CATEGORY MAP'!$A$2:$B$20,2,FALSE()),"REVIEW"))</f>
        <v/>
      </c>
      <c r="H831">
        <f>IF(E831="","",IFERROR(VALUE(SUBSTITUTE('MSR RAW'!P831,",","")),0))</f>
        <v/>
      </c>
      <c r="I831">
        <f>IF(E831="","",IFERROR(VALUE(SUBSTITUTE('MSR RAW'!S831,",","")),0))</f>
        <v/>
      </c>
    </row>
    <row r="832" ht="68.65000000000001" customHeight="1" s="126">
      <c r="A832" t="n">
        <v>832</v>
      </c>
      <c r="B832" s="30">
        <f>IF('MSR RAW'!$A$3="","",'MSR RAW'!$A$3)</f>
        <v/>
      </c>
      <c r="C832">
        <f>IF(LEFT(TRIM('MSR RAW'!A832),11)="Department:",TRIM('MSR RAW'!A832),C831)</f>
        <v/>
      </c>
      <c r="D832">
        <f>IF(LEFT(TRIM('MSR RAW'!B832),9)="Location:",TRIM(MID('MSR RAW'!B832,10,999)),D831)</f>
        <v/>
      </c>
      <c r="E832">
        <f>IF(AND(ISNUMBER(SEARCH(" - ",TRIM('MSR RAW'!C832))),RIGHT(TRIM('MSR RAW'!C832),6)="Total:"),LEFT(TRIM('MSR RAW'!C832),SEARCH(" - ",TRIM('MSR RAW'!C832))-1),"")</f>
        <v/>
      </c>
      <c r="F832">
        <f>IF(E832="","",TRIM(MID(TRIM('MSR RAW'!C832),SEARCH(" - ",TRIM('MSR RAW'!C832))+3,LEN(TRIM('MSR RAW'!C832))-SEARCH(" - ",TRIM('MSR RAW'!C832))-9)))</f>
        <v/>
      </c>
      <c r="G832">
        <f>IF(E832="","",IFERROR(VLOOKUP(E832,'CATEGORY MAP'!$A$2:$B$20,2,FALSE()),"REVIEW"))</f>
        <v/>
      </c>
      <c r="H832">
        <f>IF(E832="","",IFERROR(VALUE(SUBSTITUTE('MSR RAW'!P832,",","")),0))</f>
        <v/>
      </c>
      <c r="I832">
        <f>IF(E832="","",IFERROR(VALUE(SUBSTITUTE('MSR RAW'!S832,",","")),0))</f>
        <v/>
      </c>
    </row>
    <row r="833" ht="68.65000000000001" customHeight="1" s="126">
      <c r="A833" t="n">
        <v>833</v>
      </c>
      <c r="B833" s="30">
        <f>IF('MSR RAW'!$A$3="","",'MSR RAW'!$A$3)</f>
        <v/>
      </c>
      <c r="C833">
        <f>IF(LEFT(TRIM('MSR RAW'!A833),11)="Department:",TRIM('MSR RAW'!A833),C832)</f>
        <v/>
      </c>
      <c r="D833">
        <f>IF(LEFT(TRIM('MSR RAW'!B833),9)="Location:",TRIM(MID('MSR RAW'!B833,10,999)),D832)</f>
        <v/>
      </c>
      <c r="E833">
        <f>IF(AND(ISNUMBER(SEARCH(" - ",TRIM('MSR RAW'!C833))),RIGHT(TRIM('MSR RAW'!C833),6)="Total:"),LEFT(TRIM('MSR RAW'!C833),SEARCH(" - ",TRIM('MSR RAW'!C833))-1),"")</f>
        <v/>
      </c>
      <c r="F833">
        <f>IF(E833="","",TRIM(MID(TRIM('MSR RAW'!C833),SEARCH(" - ",TRIM('MSR RAW'!C833))+3,LEN(TRIM('MSR RAW'!C833))-SEARCH(" - ",TRIM('MSR RAW'!C833))-9)))</f>
        <v/>
      </c>
      <c r="G833">
        <f>IF(E833="","",IFERROR(VLOOKUP(E833,'CATEGORY MAP'!$A$2:$B$20,2,FALSE()),"REVIEW"))</f>
        <v/>
      </c>
      <c r="H833">
        <f>IF(E833="","",IFERROR(VALUE(SUBSTITUTE('MSR RAW'!P833,",","")),0))</f>
        <v/>
      </c>
      <c r="I833">
        <f>IF(E833="","",IFERROR(VALUE(SUBSTITUTE('MSR RAW'!S833,",","")),0))</f>
        <v/>
      </c>
    </row>
    <row r="834" ht="68.65000000000001" customHeight="1" s="126">
      <c r="A834" t="n">
        <v>834</v>
      </c>
      <c r="B834" s="30">
        <f>IF('MSR RAW'!$A$3="","",'MSR RAW'!$A$3)</f>
        <v/>
      </c>
      <c r="C834">
        <f>IF(LEFT(TRIM('MSR RAW'!A834),11)="Department:",TRIM('MSR RAW'!A834),C833)</f>
        <v/>
      </c>
      <c r="D834">
        <f>IF(LEFT(TRIM('MSR RAW'!B834),9)="Location:",TRIM(MID('MSR RAW'!B834,10,999)),D833)</f>
        <v/>
      </c>
      <c r="E834">
        <f>IF(AND(ISNUMBER(SEARCH(" - ",TRIM('MSR RAW'!C834))),RIGHT(TRIM('MSR RAW'!C834),6)="Total:"),LEFT(TRIM('MSR RAW'!C834),SEARCH(" - ",TRIM('MSR RAW'!C834))-1),"")</f>
        <v/>
      </c>
      <c r="F834">
        <f>IF(E834="","",TRIM(MID(TRIM('MSR RAW'!C834),SEARCH(" - ",TRIM('MSR RAW'!C834))+3,LEN(TRIM('MSR RAW'!C834))-SEARCH(" - ",TRIM('MSR RAW'!C834))-9)))</f>
        <v/>
      </c>
      <c r="G834">
        <f>IF(E834="","",IFERROR(VLOOKUP(E834,'CATEGORY MAP'!$A$2:$B$20,2,FALSE()),"REVIEW"))</f>
        <v/>
      </c>
      <c r="H834">
        <f>IF(E834="","",IFERROR(VALUE(SUBSTITUTE('MSR RAW'!P834,",","")),0))</f>
        <v/>
      </c>
      <c r="I834">
        <f>IF(E834="","",IFERROR(VALUE(SUBSTITUTE('MSR RAW'!S834,",","")),0))</f>
        <v/>
      </c>
    </row>
    <row r="835" ht="68.65000000000001" customHeight="1" s="126">
      <c r="A835" t="n">
        <v>835</v>
      </c>
      <c r="B835" s="30">
        <f>IF('MSR RAW'!$A$3="","",'MSR RAW'!$A$3)</f>
        <v/>
      </c>
      <c r="C835">
        <f>IF(LEFT(TRIM('MSR RAW'!A835),11)="Department:",TRIM('MSR RAW'!A835),C834)</f>
        <v/>
      </c>
      <c r="D835">
        <f>IF(LEFT(TRIM('MSR RAW'!B835),9)="Location:",TRIM(MID('MSR RAW'!B835,10,999)),D834)</f>
        <v/>
      </c>
      <c r="E835">
        <f>IF(AND(ISNUMBER(SEARCH(" - ",TRIM('MSR RAW'!C835))),RIGHT(TRIM('MSR RAW'!C835),6)="Total:"),LEFT(TRIM('MSR RAW'!C835),SEARCH(" - ",TRIM('MSR RAW'!C835))-1),"")</f>
        <v/>
      </c>
      <c r="F835">
        <f>IF(E835="","",TRIM(MID(TRIM('MSR RAW'!C835),SEARCH(" - ",TRIM('MSR RAW'!C835))+3,LEN(TRIM('MSR RAW'!C835))-SEARCH(" - ",TRIM('MSR RAW'!C835))-9)))</f>
        <v/>
      </c>
      <c r="G835">
        <f>IF(E835="","",IFERROR(VLOOKUP(E835,'CATEGORY MAP'!$A$2:$B$20,2,FALSE()),"REVIEW"))</f>
        <v/>
      </c>
      <c r="H835">
        <f>IF(E835="","",IFERROR(VALUE(SUBSTITUTE('MSR RAW'!P835,",","")),0))</f>
        <v/>
      </c>
      <c r="I835">
        <f>IF(E835="","",IFERROR(VALUE(SUBSTITUTE('MSR RAW'!S835,",","")),0))</f>
        <v/>
      </c>
    </row>
    <row r="836" ht="68.65000000000001" customHeight="1" s="126">
      <c r="A836" t="n">
        <v>836</v>
      </c>
      <c r="B836" s="30">
        <f>IF('MSR RAW'!$A$3="","",'MSR RAW'!$A$3)</f>
        <v/>
      </c>
      <c r="C836">
        <f>IF(LEFT(TRIM('MSR RAW'!A836),11)="Department:",TRIM('MSR RAW'!A836),C835)</f>
        <v/>
      </c>
      <c r="D836">
        <f>IF(LEFT(TRIM('MSR RAW'!B836),9)="Location:",TRIM(MID('MSR RAW'!B836,10,999)),D835)</f>
        <v/>
      </c>
      <c r="E836">
        <f>IF(AND(ISNUMBER(SEARCH(" - ",TRIM('MSR RAW'!C836))),RIGHT(TRIM('MSR RAW'!C836),6)="Total:"),LEFT(TRIM('MSR RAW'!C836),SEARCH(" - ",TRIM('MSR RAW'!C836))-1),"")</f>
        <v/>
      </c>
      <c r="F836">
        <f>IF(E836="","",TRIM(MID(TRIM('MSR RAW'!C836),SEARCH(" - ",TRIM('MSR RAW'!C836))+3,LEN(TRIM('MSR RAW'!C836))-SEARCH(" - ",TRIM('MSR RAW'!C836))-9)))</f>
        <v/>
      </c>
      <c r="G836">
        <f>IF(E836="","",IFERROR(VLOOKUP(E836,'CATEGORY MAP'!$A$2:$B$20,2,FALSE()),"REVIEW"))</f>
        <v/>
      </c>
      <c r="H836">
        <f>IF(E836="","",IFERROR(VALUE(SUBSTITUTE('MSR RAW'!P836,",","")),0))</f>
        <v/>
      </c>
      <c r="I836">
        <f>IF(E836="","",IFERROR(VALUE(SUBSTITUTE('MSR RAW'!S836,",","")),0))</f>
        <v/>
      </c>
    </row>
    <row r="837" ht="68.65000000000001" customHeight="1" s="126">
      <c r="A837" t="n">
        <v>837</v>
      </c>
      <c r="B837" s="30">
        <f>IF('MSR RAW'!$A$3="","",'MSR RAW'!$A$3)</f>
        <v/>
      </c>
      <c r="C837">
        <f>IF(LEFT(TRIM('MSR RAW'!A837),11)="Department:",TRIM('MSR RAW'!A837),C836)</f>
        <v/>
      </c>
      <c r="D837">
        <f>IF(LEFT(TRIM('MSR RAW'!B837),9)="Location:",TRIM(MID('MSR RAW'!B837,10,999)),D836)</f>
        <v/>
      </c>
      <c r="E837">
        <f>IF(AND(ISNUMBER(SEARCH(" - ",TRIM('MSR RAW'!C837))),RIGHT(TRIM('MSR RAW'!C837),6)="Total:"),LEFT(TRIM('MSR RAW'!C837),SEARCH(" - ",TRIM('MSR RAW'!C837))-1),"")</f>
        <v/>
      </c>
      <c r="F837">
        <f>IF(E837="","",TRIM(MID(TRIM('MSR RAW'!C837),SEARCH(" - ",TRIM('MSR RAW'!C837))+3,LEN(TRIM('MSR RAW'!C837))-SEARCH(" - ",TRIM('MSR RAW'!C837))-9)))</f>
        <v/>
      </c>
      <c r="G837">
        <f>IF(E837="","",IFERROR(VLOOKUP(E837,'CATEGORY MAP'!$A$2:$B$20,2,FALSE()),"REVIEW"))</f>
        <v/>
      </c>
      <c r="H837">
        <f>IF(E837="","",IFERROR(VALUE(SUBSTITUTE('MSR RAW'!P837,",","")),0))</f>
        <v/>
      </c>
      <c r="I837">
        <f>IF(E837="","",IFERROR(VALUE(SUBSTITUTE('MSR RAW'!S837,",","")),0))</f>
        <v/>
      </c>
    </row>
    <row r="838" ht="68.65000000000001" customHeight="1" s="126">
      <c r="A838" t="n">
        <v>838</v>
      </c>
      <c r="B838" s="30">
        <f>IF('MSR RAW'!$A$3="","",'MSR RAW'!$A$3)</f>
        <v/>
      </c>
      <c r="C838">
        <f>IF(LEFT(TRIM('MSR RAW'!A838),11)="Department:",TRIM('MSR RAW'!A838),C837)</f>
        <v/>
      </c>
      <c r="D838">
        <f>IF(LEFT(TRIM('MSR RAW'!B838),9)="Location:",TRIM(MID('MSR RAW'!B838,10,999)),D837)</f>
        <v/>
      </c>
      <c r="E838">
        <f>IF(AND(ISNUMBER(SEARCH(" - ",TRIM('MSR RAW'!C838))),RIGHT(TRIM('MSR RAW'!C838),6)="Total:"),LEFT(TRIM('MSR RAW'!C838),SEARCH(" - ",TRIM('MSR RAW'!C838))-1),"")</f>
        <v/>
      </c>
      <c r="F838">
        <f>IF(E838="","",TRIM(MID(TRIM('MSR RAW'!C838),SEARCH(" - ",TRIM('MSR RAW'!C838))+3,LEN(TRIM('MSR RAW'!C838))-SEARCH(" - ",TRIM('MSR RAW'!C838))-9)))</f>
        <v/>
      </c>
      <c r="G838">
        <f>IF(E838="","",IFERROR(VLOOKUP(E838,'CATEGORY MAP'!$A$2:$B$20,2,FALSE()),"REVIEW"))</f>
        <v/>
      </c>
      <c r="H838">
        <f>IF(E838="","",IFERROR(VALUE(SUBSTITUTE('MSR RAW'!P838,",","")),0))</f>
        <v/>
      </c>
      <c r="I838">
        <f>IF(E838="","",IFERROR(VALUE(SUBSTITUTE('MSR RAW'!S838,",","")),0))</f>
        <v/>
      </c>
    </row>
    <row r="839" ht="68.65000000000001" customHeight="1" s="126">
      <c r="A839" t="n">
        <v>839</v>
      </c>
      <c r="B839" s="30">
        <f>IF('MSR RAW'!$A$3="","",'MSR RAW'!$A$3)</f>
        <v/>
      </c>
      <c r="C839">
        <f>IF(LEFT(TRIM('MSR RAW'!A839),11)="Department:",TRIM('MSR RAW'!A839),C838)</f>
        <v/>
      </c>
      <c r="D839">
        <f>IF(LEFT(TRIM('MSR RAW'!B839),9)="Location:",TRIM(MID('MSR RAW'!B839,10,999)),D838)</f>
        <v/>
      </c>
      <c r="E839">
        <f>IF(AND(ISNUMBER(SEARCH(" - ",TRIM('MSR RAW'!C839))),RIGHT(TRIM('MSR RAW'!C839),6)="Total:"),LEFT(TRIM('MSR RAW'!C839),SEARCH(" - ",TRIM('MSR RAW'!C839))-1),"")</f>
        <v/>
      </c>
      <c r="F839">
        <f>IF(E839="","",TRIM(MID(TRIM('MSR RAW'!C839),SEARCH(" - ",TRIM('MSR RAW'!C839))+3,LEN(TRIM('MSR RAW'!C839))-SEARCH(" - ",TRIM('MSR RAW'!C839))-9)))</f>
        <v/>
      </c>
      <c r="G839">
        <f>IF(E839="","",IFERROR(VLOOKUP(E839,'CATEGORY MAP'!$A$2:$B$20,2,FALSE()),"REVIEW"))</f>
        <v/>
      </c>
      <c r="H839">
        <f>IF(E839="","",IFERROR(VALUE(SUBSTITUTE('MSR RAW'!P839,",","")),0))</f>
        <v/>
      </c>
      <c r="I839">
        <f>IF(E839="","",IFERROR(VALUE(SUBSTITUTE('MSR RAW'!S839,",","")),0))</f>
        <v/>
      </c>
    </row>
    <row r="840" ht="68.65000000000001" customHeight="1" s="126">
      <c r="A840" t="n">
        <v>840</v>
      </c>
      <c r="B840" s="30">
        <f>IF('MSR RAW'!$A$3="","",'MSR RAW'!$A$3)</f>
        <v/>
      </c>
      <c r="C840">
        <f>IF(LEFT(TRIM('MSR RAW'!A840),11)="Department:",TRIM('MSR RAW'!A840),C839)</f>
        <v/>
      </c>
      <c r="D840">
        <f>IF(LEFT(TRIM('MSR RAW'!B840),9)="Location:",TRIM(MID('MSR RAW'!B840,10,999)),D839)</f>
        <v/>
      </c>
      <c r="E840">
        <f>IF(AND(ISNUMBER(SEARCH(" - ",TRIM('MSR RAW'!C840))),RIGHT(TRIM('MSR RAW'!C840),6)="Total:"),LEFT(TRIM('MSR RAW'!C840),SEARCH(" - ",TRIM('MSR RAW'!C840))-1),"")</f>
        <v/>
      </c>
      <c r="F840">
        <f>IF(E840="","",TRIM(MID(TRIM('MSR RAW'!C840),SEARCH(" - ",TRIM('MSR RAW'!C840))+3,LEN(TRIM('MSR RAW'!C840))-SEARCH(" - ",TRIM('MSR RAW'!C840))-9)))</f>
        <v/>
      </c>
      <c r="G840">
        <f>IF(E840="","",IFERROR(VLOOKUP(E840,'CATEGORY MAP'!$A$2:$B$20,2,FALSE()),"REVIEW"))</f>
        <v/>
      </c>
      <c r="H840">
        <f>IF(E840="","",IFERROR(VALUE(SUBSTITUTE('MSR RAW'!P840,",","")),0))</f>
        <v/>
      </c>
      <c r="I840">
        <f>IF(E840="","",IFERROR(VALUE(SUBSTITUTE('MSR RAW'!S840,",","")),0))</f>
        <v/>
      </c>
    </row>
    <row r="841" ht="68.65000000000001" customHeight="1" s="126">
      <c r="A841" t="n">
        <v>841</v>
      </c>
      <c r="B841" s="30">
        <f>IF('MSR RAW'!$A$3="","",'MSR RAW'!$A$3)</f>
        <v/>
      </c>
      <c r="C841">
        <f>IF(LEFT(TRIM('MSR RAW'!A841),11)="Department:",TRIM('MSR RAW'!A841),C840)</f>
        <v/>
      </c>
      <c r="D841">
        <f>IF(LEFT(TRIM('MSR RAW'!B841),9)="Location:",TRIM(MID('MSR RAW'!B841,10,999)),D840)</f>
        <v/>
      </c>
      <c r="E841">
        <f>IF(AND(ISNUMBER(SEARCH(" - ",TRIM('MSR RAW'!C841))),RIGHT(TRIM('MSR RAW'!C841),6)="Total:"),LEFT(TRIM('MSR RAW'!C841),SEARCH(" - ",TRIM('MSR RAW'!C841))-1),"")</f>
        <v/>
      </c>
      <c r="F841">
        <f>IF(E841="","",TRIM(MID(TRIM('MSR RAW'!C841),SEARCH(" - ",TRIM('MSR RAW'!C841))+3,LEN(TRIM('MSR RAW'!C841))-SEARCH(" - ",TRIM('MSR RAW'!C841))-9)))</f>
        <v/>
      </c>
      <c r="G841">
        <f>IF(E841="","",IFERROR(VLOOKUP(E841,'CATEGORY MAP'!$A$2:$B$20,2,FALSE()),"REVIEW"))</f>
        <v/>
      </c>
      <c r="H841">
        <f>IF(E841="","",IFERROR(VALUE(SUBSTITUTE('MSR RAW'!P841,",","")),0))</f>
        <v/>
      </c>
      <c r="I841">
        <f>IF(E841="","",IFERROR(VALUE(SUBSTITUTE('MSR RAW'!S841,",","")),0))</f>
        <v/>
      </c>
    </row>
    <row r="842" ht="68.65000000000001" customHeight="1" s="126">
      <c r="A842" t="n">
        <v>842</v>
      </c>
      <c r="B842" s="30">
        <f>IF('MSR RAW'!$A$3="","",'MSR RAW'!$A$3)</f>
        <v/>
      </c>
      <c r="C842">
        <f>IF(LEFT(TRIM('MSR RAW'!A842),11)="Department:",TRIM('MSR RAW'!A842),C841)</f>
        <v/>
      </c>
      <c r="D842">
        <f>IF(LEFT(TRIM('MSR RAW'!B842),9)="Location:",TRIM(MID('MSR RAW'!B842,10,999)),D841)</f>
        <v/>
      </c>
      <c r="E842">
        <f>IF(AND(ISNUMBER(SEARCH(" - ",TRIM('MSR RAW'!C842))),RIGHT(TRIM('MSR RAW'!C842),6)="Total:"),LEFT(TRIM('MSR RAW'!C842),SEARCH(" - ",TRIM('MSR RAW'!C842))-1),"")</f>
        <v/>
      </c>
      <c r="F842">
        <f>IF(E842="","",TRIM(MID(TRIM('MSR RAW'!C842),SEARCH(" - ",TRIM('MSR RAW'!C842))+3,LEN(TRIM('MSR RAW'!C842))-SEARCH(" - ",TRIM('MSR RAW'!C842))-9)))</f>
        <v/>
      </c>
      <c r="G842">
        <f>IF(E842="","",IFERROR(VLOOKUP(E842,'CATEGORY MAP'!$A$2:$B$20,2,FALSE()),"REVIEW"))</f>
        <v/>
      </c>
      <c r="H842">
        <f>IF(E842="","",IFERROR(VALUE(SUBSTITUTE('MSR RAW'!P842,",","")),0))</f>
        <v/>
      </c>
      <c r="I842">
        <f>IF(E842="","",IFERROR(VALUE(SUBSTITUTE('MSR RAW'!S842,",","")),0))</f>
        <v/>
      </c>
    </row>
    <row r="843" ht="68.65000000000001" customHeight="1" s="126">
      <c r="A843" t="n">
        <v>843</v>
      </c>
      <c r="B843" s="30">
        <f>IF('MSR RAW'!$A$3="","",'MSR RAW'!$A$3)</f>
        <v/>
      </c>
      <c r="C843">
        <f>IF(LEFT(TRIM('MSR RAW'!A843),11)="Department:",TRIM('MSR RAW'!A843),C842)</f>
        <v/>
      </c>
      <c r="D843">
        <f>IF(LEFT(TRIM('MSR RAW'!B843),9)="Location:",TRIM(MID('MSR RAW'!B843,10,999)),D842)</f>
        <v/>
      </c>
      <c r="E843">
        <f>IF(AND(ISNUMBER(SEARCH(" - ",TRIM('MSR RAW'!C843))),RIGHT(TRIM('MSR RAW'!C843),6)="Total:"),LEFT(TRIM('MSR RAW'!C843),SEARCH(" - ",TRIM('MSR RAW'!C843))-1),"")</f>
        <v/>
      </c>
      <c r="F843">
        <f>IF(E843="","",TRIM(MID(TRIM('MSR RAW'!C843),SEARCH(" - ",TRIM('MSR RAW'!C843))+3,LEN(TRIM('MSR RAW'!C843))-SEARCH(" - ",TRIM('MSR RAW'!C843))-9)))</f>
        <v/>
      </c>
      <c r="G843">
        <f>IF(E843="","",IFERROR(VLOOKUP(E843,'CATEGORY MAP'!$A$2:$B$20,2,FALSE()),"REVIEW"))</f>
        <v/>
      </c>
      <c r="H843">
        <f>IF(E843="","",IFERROR(VALUE(SUBSTITUTE('MSR RAW'!P843,",","")),0))</f>
        <v/>
      </c>
      <c r="I843">
        <f>IF(E843="","",IFERROR(VALUE(SUBSTITUTE('MSR RAW'!S843,",","")),0))</f>
        <v/>
      </c>
    </row>
    <row r="844" ht="68.65000000000001" customHeight="1" s="126">
      <c r="A844" t="n">
        <v>844</v>
      </c>
      <c r="B844" s="30">
        <f>IF('MSR RAW'!$A$3="","",'MSR RAW'!$A$3)</f>
        <v/>
      </c>
      <c r="C844">
        <f>IF(LEFT(TRIM('MSR RAW'!A844),11)="Department:",TRIM('MSR RAW'!A844),C843)</f>
        <v/>
      </c>
      <c r="D844">
        <f>IF(LEFT(TRIM('MSR RAW'!B844),9)="Location:",TRIM(MID('MSR RAW'!B844,10,999)),D843)</f>
        <v/>
      </c>
      <c r="E844">
        <f>IF(AND(ISNUMBER(SEARCH(" - ",TRIM('MSR RAW'!C844))),RIGHT(TRIM('MSR RAW'!C844),6)="Total:"),LEFT(TRIM('MSR RAW'!C844),SEARCH(" - ",TRIM('MSR RAW'!C844))-1),"")</f>
        <v/>
      </c>
      <c r="F844">
        <f>IF(E844="","",TRIM(MID(TRIM('MSR RAW'!C844),SEARCH(" - ",TRIM('MSR RAW'!C844))+3,LEN(TRIM('MSR RAW'!C844))-SEARCH(" - ",TRIM('MSR RAW'!C844))-9)))</f>
        <v/>
      </c>
      <c r="G844">
        <f>IF(E844="","",IFERROR(VLOOKUP(E844,'CATEGORY MAP'!$A$2:$B$20,2,FALSE()),"REVIEW"))</f>
        <v/>
      </c>
      <c r="H844">
        <f>IF(E844="","",IFERROR(VALUE(SUBSTITUTE('MSR RAW'!P844,",","")),0))</f>
        <v/>
      </c>
      <c r="I844">
        <f>IF(E844="","",IFERROR(VALUE(SUBSTITUTE('MSR RAW'!S844,",","")),0))</f>
        <v/>
      </c>
    </row>
    <row r="845" ht="68.65000000000001" customHeight="1" s="126">
      <c r="A845" t="n">
        <v>845</v>
      </c>
      <c r="B845" s="30">
        <f>IF('MSR RAW'!$A$3="","",'MSR RAW'!$A$3)</f>
        <v/>
      </c>
      <c r="C845">
        <f>IF(LEFT(TRIM('MSR RAW'!A845),11)="Department:",TRIM('MSR RAW'!A845),C844)</f>
        <v/>
      </c>
      <c r="D845">
        <f>IF(LEFT(TRIM('MSR RAW'!B845),9)="Location:",TRIM(MID('MSR RAW'!B845,10,999)),D844)</f>
        <v/>
      </c>
      <c r="E845">
        <f>IF(AND(ISNUMBER(SEARCH(" - ",TRIM('MSR RAW'!C845))),RIGHT(TRIM('MSR RAW'!C845),6)="Total:"),LEFT(TRIM('MSR RAW'!C845),SEARCH(" - ",TRIM('MSR RAW'!C845))-1),"")</f>
        <v/>
      </c>
      <c r="F845">
        <f>IF(E845="","",TRIM(MID(TRIM('MSR RAW'!C845),SEARCH(" - ",TRIM('MSR RAW'!C845))+3,LEN(TRIM('MSR RAW'!C845))-SEARCH(" - ",TRIM('MSR RAW'!C845))-9)))</f>
        <v/>
      </c>
      <c r="G845">
        <f>IF(E845="","",IFERROR(VLOOKUP(E845,'CATEGORY MAP'!$A$2:$B$20,2,FALSE()),"REVIEW"))</f>
        <v/>
      </c>
      <c r="H845">
        <f>IF(E845="","",IFERROR(VALUE(SUBSTITUTE('MSR RAW'!P845,",","")),0))</f>
        <v/>
      </c>
      <c r="I845">
        <f>IF(E845="","",IFERROR(VALUE(SUBSTITUTE('MSR RAW'!S845,",","")),0))</f>
        <v/>
      </c>
    </row>
    <row r="846" ht="68.65000000000001" customHeight="1" s="126">
      <c r="A846" t="n">
        <v>846</v>
      </c>
      <c r="B846" s="30">
        <f>IF('MSR RAW'!$A$3="","",'MSR RAW'!$A$3)</f>
        <v/>
      </c>
      <c r="C846">
        <f>IF(LEFT(TRIM('MSR RAW'!A846),11)="Department:",TRIM('MSR RAW'!A846),C845)</f>
        <v/>
      </c>
      <c r="D846">
        <f>IF(LEFT(TRIM('MSR RAW'!B846),9)="Location:",TRIM(MID('MSR RAW'!B846,10,999)),D845)</f>
        <v/>
      </c>
      <c r="E846">
        <f>IF(AND(ISNUMBER(SEARCH(" - ",TRIM('MSR RAW'!C846))),RIGHT(TRIM('MSR RAW'!C846),6)="Total:"),LEFT(TRIM('MSR RAW'!C846),SEARCH(" - ",TRIM('MSR RAW'!C846))-1),"")</f>
        <v/>
      </c>
      <c r="F846">
        <f>IF(E846="","",TRIM(MID(TRIM('MSR RAW'!C846),SEARCH(" - ",TRIM('MSR RAW'!C846))+3,LEN(TRIM('MSR RAW'!C846))-SEARCH(" - ",TRIM('MSR RAW'!C846))-9)))</f>
        <v/>
      </c>
      <c r="G846">
        <f>IF(E846="","",IFERROR(VLOOKUP(E846,'CATEGORY MAP'!$A$2:$B$20,2,FALSE()),"REVIEW"))</f>
        <v/>
      </c>
      <c r="H846">
        <f>IF(E846="","",IFERROR(VALUE(SUBSTITUTE('MSR RAW'!P846,",","")),0))</f>
        <v/>
      </c>
      <c r="I846">
        <f>IF(E846="","",IFERROR(VALUE(SUBSTITUTE('MSR RAW'!S846,",","")),0))</f>
        <v/>
      </c>
    </row>
    <row r="847" ht="68.65000000000001" customHeight="1" s="126">
      <c r="A847" t="n">
        <v>847</v>
      </c>
      <c r="B847" s="30">
        <f>IF('MSR RAW'!$A$3="","",'MSR RAW'!$A$3)</f>
        <v/>
      </c>
      <c r="C847">
        <f>IF(LEFT(TRIM('MSR RAW'!A847),11)="Department:",TRIM('MSR RAW'!A847),C846)</f>
        <v/>
      </c>
      <c r="D847">
        <f>IF(LEFT(TRIM('MSR RAW'!B847),9)="Location:",TRIM(MID('MSR RAW'!B847,10,999)),D846)</f>
        <v/>
      </c>
      <c r="E847">
        <f>IF(AND(ISNUMBER(SEARCH(" - ",TRIM('MSR RAW'!C847))),RIGHT(TRIM('MSR RAW'!C847),6)="Total:"),LEFT(TRIM('MSR RAW'!C847),SEARCH(" - ",TRIM('MSR RAW'!C847))-1),"")</f>
        <v/>
      </c>
      <c r="F847">
        <f>IF(E847="","",TRIM(MID(TRIM('MSR RAW'!C847),SEARCH(" - ",TRIM('MSR RAW'!C847))+3,LEN(TRIM('MSR RAW'!C847))-SEARCH(" - ",TRIM('MSR RAW'!C847))-9)))</f>
        <v/>
      </c>
      <c r="G847">
        <f>IF(E847="","",IFERROR(VLOOKUP(E847,'CATEGORY MAP'!$A$2:$B$20,2,FALSE()),"REVIEW"))</f>
        <v/>
      </c>
      <c r="H847">
        <f>IF(E847="","",IFERROR(VALUE(SUBSTITUTE('MSR RAW'!P847,",","")),0))</f>
        <v/>
      </c>
      <c r="I847">
        <f>IF(E847="","",IFERROR(VALUE(SUBSTITUTE('MSR RAW'!S847,",","")),0))</f>
        <v/>
      </c>
    </row>
    <row r="848" ht="68.65000000000001" customHeight="1" s="126">
      <c r="A848" t="n">
        <v>848</v>
      </c>
      <c r="B848" s="30">
        <f>IF('MSR RAW'!$A$3="","",'MSR RAW'!$A$3)</f>
        <v/>
      </c>
      <c r="C848">
        <f>IF(LEFT(TRIM('MSR RAW'!A848),11)="Department:",TRIM('MSR RAW'!A848),C847)</f>
        <v/>
      </c>
      <c r="D848">
        <f>IF(LEFT(TRIM('MSR RAW'!B848),9)="Location:",TRIM(MID('MSR RAW'!B848,10,999)),D847)</f>
        <v/>
      </c>
      <c r="E848">
        <f>IF(AND(ISNUMBER(SEARCH(" - ",TRIM('MSR RAW'!C848))),RIGHT(TRIM('MSR RAW'!C848),6)="Total:"),LEFT(TRIM('MSR RAW'!C848),SEARCH(" - ",TRIM('MSR RAW'!C848))-1),"")</f>
        <v/>
      </c>
      <c r="F848">
        <f>IF(E848="","",TRIM(MID(TRIM('MSR RAW'!C848),SEARCH(" - ",TRIM('MSR RAW'!C848))+3,LEN(TRIM('MSR RAW'!C848))-SEARCH(" - ",TRIM('MSR RAW'!C848))-9)))</f>
        <v/>
      </c>
      <c r="G848">
        <f>IF(E848="","",IFERROR(VLOOKUP(E848,'CATEGORY MAP'!$A$2:$B$20,2,FALSE()),"REVIEW"))</f>
        <v/>
      </c>
      <c r="H848">
        <f>IF(E848="","",IFERROR(VALUE(SUBSTITUTE('MSR RAW'!P848,",","")),0))</f>
        <v/>
      </c>
      <c r="I848">
        <f>IF(E848="","",IFERROR(VALUE(SUBSTITUTE('MSR RAW'!S848,",","")),0))</f>
        <v/>
      </c>
    </row>
    <row r="849" ht="68.65000000000001" customHeight="1" s="126">
      <c r="A849" t="n">
        <v>849</v>
      </c>
      <c r="B849" s="30">
        <f>IF('MSR RAW'!$A$3="","",'MSR RAW'!$A$3)</f>
        <v/>
      </c>
      <c r="C849">
        <f>IF(LEFT(TRIM('MSR RAW'!A849),11)="Department:",TRIM('MSR RAW'!A849),C848)</f>
        <v/>
      </c>
      <c r="D849">
        <f>IF(LEFT(TRIM('MSR RAW'!B849),9)="Location:",TRIM(MID('MSR RAW'!B849,10,999)),D848)</f>
        <v/>
      </c>
      <c r="E849">
        <f>IF(AND(ISNUMBER(SEARCH(" - ",TRIM('MSR RAW'!C849))),RIGHT(TRIM('MSR RAW'!C849),6)="Total:"),LEFT(TRIM('MSR RAW'!C849),SEARCH(" - ",TRIM('MSR RAW'!C849))-1),"")</f>
        <v/>
      </c>
      <c r="F849">
        <f>IF(E849="","",TRIM(MID(TRIM('MSR RAW'!C849),SEARCH(" - ",TRIM('MSR RAW'!C849))+3,LEN(TRIM('MSR RAW'!C849))-SEARCH(" - ",TRIM('MSR RAW'!C849))-9)))</f>
        <v/>
      </c>
      <c r="G849">
        <f>IF(E849="","",IFERROR(VLOOKUP(E849,'CATEGORY MAP'!$A$2:$B$20,2,FALSE()),"REVIEW"))</f>
        <v/>
      </c>
      <c r="H849">
        <f>IF(E849="","",IFERROR(VALUE(SUBSTITUTE('MSR RAW'!P849,",","")),0))</f>
        <v/>
      </c>
      <c r="I849">
        <f>IF(E849="","",IFERROR(VALUE(SUBSTITUTE('MSR RAW'!S849,",","")),0))</f>
        <v/>
      </c>
    </row>
    <row r="850" ht="68.65000000000001" customHeight="1" s="126">
      <c r="A850" t="n">
        <v>850</v>
      </c>
      <c r="B850" s="30">
        <f>IF('MSR RAW'!$A$3="","",'MSR RAW'!$A$3)</f>
        <v/>
      </c>
      <c r="C850">
        <f>IF(LEFT(TRIM('MSR RAW'!A850),11)="Department:",TRIM('MSR RAW'!A850),C849)</f>
        <v/>
      </c>
      <c r="D850">
        <f>IF(LEFT(TRIM('MSR RAW'!B850),9)="Location:",TRIM(MID('MSR RAW'!B850,10,999)),D849)</f>
        <v/>
      </c>
      <c r="E850">
        <f>IF(AND(ISNUMBER(SEARCH(" - ",TRIM('MSR RAW'!C850))),RIGHT(TRIM('MSR RAW'!C850),6)="Total:"),LEFT(TRIM('MSR RAW'!C850),SEARCH(" - ",TRIM('MSR RAW'!C850))-1),"")</f>
        <v/>
      </c>
      <c r="F850">
        <f>IF(E850="","",TRIM(MID(TRIM('MSR RAW'!C850),SEARCH(" - ",TRIM('MSR RAW'!C850))+3,LEN(TRIM('MSR RAW'!C850))-SEARCH(" - ",TRIM('MSR RAW'!C850))-9)))</f>
        <v/>
      </c>
      <c r="G850">
        <f>IF(E850="","",IFERROR(VLOOKUP(E850,'CATEGORY MAP'!$A$2:$B$20,2,FALSE()),"REVIEW"))</f>
        <v/>
      </c>
      <c r="H850">
        <f>IF(E850="","",IFERROR(VALUE(SUBSTITUTE('MSR RAW'!P850,",","")),0))</f>
        <v/>
      </c>
      <c r="I850">
        <f>IF(E850="","",IFERROR(VALUE(SUBSTITUTE('MSR RAW'!S850,",","")),0))</f>
        <v/>
      </c>
    </row>
    <row r="851" ht="68.65000000000001" customHeight="1" s="126">
      <c r="A851" t="n">
        <v>851</v>
      </c>
      <c r="B851" s="30">
        <f>IF('MSR RAW'!$A$3="","",'MSR RAW'!$A$3)</f>
        <v/>
      </c>
      <c r="C851">
        <f>IF(LEFT(TRIM('MSR RAW'!A851),11)="Department:",TRIM('MSR RAW'!A851),C850)</f>
        <v/>
      </c>
      <c r="D851">
        <f>IF(LEFT(TRIM('MSR RAW'!B851),9)="Location:",TRIM(MID('MSR RAW'!B851,10,999)),D850)</f>
        <v/>
      </c>
      <c r="E851">
        <f>IF(AND(ISNUMBER(SEARCH(" - ",TRIM('MSR RAW'!C851))),RIGHT(TRIM('MSR RAW'!C851),6)="Total:"),LEFT(TRIM('MSR RAW'!C851),SEARCH(" - ",TRIM('MSR RAW'!C851))-1),"")</f>
        <v/>
      </c>
      <c r="F851">
        <f>IF(E851="","",TRIM(MID(TRIM('MSR RAW'!C851),SEARCH(" - ",TRIM('MSR RAW'!C851))+3,LEN(TRIM('MSR RAW'!C851))-SEARCH(" - ",TRIM('MSR RAW'!C851))-9)))</f>
        <v/>
      </c>
      <c r="G851">
        <f>IF(E851="","",IFERROR(VLOOKUP(E851,'CATEGORY MAP'!$A$2:$B$20,2,FALSE()),"REVIEW"))</f>
        <v/>
      </c>
      <c r="H851">
        <f>IF(E851="","",IFERROR(VALUE(SUBSTITUTE('MSR RAW'!P851,",","")),0))</f>
        <v/>
      </c>
      <c r="I851">
        <f>IF(E851="","",IFERROR(VALUE(SUBSTITUTE('MSR RAW'!S851,",","")),0))</f>
        <v/>
      </c>
    </row>
    <row r="852" ht="68.65000000000001" customHeight="1" s="126">
      <c r="A852" t="n">
        <v>852</v>
      </c>
      <c r="B852" s="30">
        <f>IF('MSR RAW'!$A$3="","",'MSR RAW'!$A$3)</f>
        <v/>
      </c>
      <c r="C852">
        <f>IF(LEFT(TRIM('MSR RAW'!A852),11)="Department:",TRIM('MSR RAW'!A852),C851)</f>
        <v/>
      </c>
      <c r="D852">
        <f>IF(LEFT(TRIM('MSR RAW'!B852),9)="Location:",TRIM(MID('MSR RAW'!B852,10,999)),D851)</f>
        <v/>
      </c>
      <c r="E852">
        <f>IF(AND(ISNUMBER(SEARCH(" - ",TRIM('MSR RAW'!C852))),RIGHT(TRIM('MSR RAW'!C852),6)="Total:"),LEFT(TRIM('MSR RAW'!C852),SEARCH(" - ",TRIM('MSR RAW'!C852))-1),"")</f>
        <v/>
      </c>
      <c r="F852">
        <f>IF(E852="","",TRIM(MID(TRIM('MSR RAW'!C852),SEARCH(" - ",TRIM('MSR RAW'!C852))+3,LEN(TRIM('MSR RAW'!C852))-SEARCH(" - ",TRIM('MSR RAW'!C852))-9)))</f>
        <v/>
      </c>
      <c r="G852">
        <f>IF(E852="","",IFERROR(VLOOKUP(E852,'CATEGORY MAP'!$A$2:$B$20,2,FALSE()),"REVIEW"))</f>
        <v/>
      </c>
      <c r="H852">
        <f>IF(E852="","",IFERROR(VALUE(SUBSTITUTE('MSR RAW'!P852,",","")),0))</f>
        <v/>
      </c>
      <c r="I852">
        <f>IF(E852="","",IFERROR(VALUE(SUBSTITUTE('MSR RAW'!S852,",","")),0))</f>
        <v/>
      </c>
    </row>
    <row r="853" ht="68.65000000000001" customHeight="1" s="126">
      <c r="A853" t="n">
        <v>853</v>
      </c>
      <c r="B853" s="30">
        <f>IF('MSR RAW'!$A$3="","",'MSR RAW'!$A$3)</f>
        <v/>
      </c>
      <c r="C853">
        <f>IF(LEFT(TRIM('MSR RAW'!A853),11)="Department:",TRIM('MSR RAW'!A853),C852)</f>
        <v/>
      </c>
      <c r="D853">
        <f>IF(LEFT(TRIM('MSR RAW'!B853),9)="Location:",TRIM(MID('MSR RAW'!B853,10,999)),D852)</f>
        <v/>
      </c>
      <c r="E853">
        <f>IF(AND(ISNUMBER(SEARCH(" - ",TRIM('MSR RAW'!C853))),RIGHT(TRIM('MSR RAW'!C853),6)="Total:"),LEFT(TRIM('MSR RAW'!C853),SEARCH(" - ",TRIM('MSR RAW'!C853))-1),"")</f>
        <v/>
      </c>
      <c r="F853">
        <f>IF(E853="","",TRIM(MID(TRIM('MSR RAW'!C853),SEARCH(" - ",TRIM('MSR RAW'!C853))+3,LEN(TRIM('MSR RAW'!C853))-SEARCH(" - ",TRIM('MSR RAW'!C853))-9)))</f>
        <v/>
      </c>
      <c r="G853">
        <f>IF(E853="","",IFERROR(VLOOKUP(E853,'CATEGORY MAP'!$A$2:$B$20,2,FALSE()),"REVIEW"))</f>
        <v/>
      </c>
      <c r="H853">
        <f>IF(E853="","",IFERROR(VALUE(SUBSTITUTE('MSR RAW'!P853,",","")),0))</f>
        <v/>
      </c>
      <c r="I853">
        <f>IF(E853="","",IFERROR(VALUE(SUBSTITUTE('MSR RAW'!S853,",","")),0))</f>
        <v/>
      </c>
    </row>
    <row r="854" ht="68.65000000000001" customHeight="1" s="126">
      <c r="A854" t="n">
        <v>854</v>
      </c>
      <c r="B854" s="30">
        <f>IF('MSR RAW'!$A$3="","",'MSR RAW'!$A$3)</f>
        <v/>
      </c>
      <c r="C854">
        <f>IF(LEFT(TRIM('MSR RAW'!A854),11)="Department:",TRIM('MSR RAW'!A854),C853)</f>
        <v/>
      </c>
      <c r="D854">
        <f>IF(LEFT(TRIM('MSR RAW'!B854),9)="Location:",TRIM(MID('MSR RAW'!B854,10,999)),D853)</f>
        <v/>
      </c>
      <c r="E854">
        <f>IF(AND(ISNUMBER(SEARCH(" - ",TRIM('MSR RAW'!C854))),RIGHT(TRIM('MSR RAW'!C854),6)="Total:"),LEFT(TRIM('MSR RAW'!C854),SEARCH(" - ",TRIM('MSR RAW'!C854))-1),"")</f>
        <v/>
      </c>
      <c r="F854">
        <f>IF(E854="","",TRIM(MID(TRIM('MSR RAW'!C854),SEARCH(" - ",TRIM('MSR RAW'!C854))+3,LEN(TRIM('MSR RAW'!C854))-SEARCH(" - ",TRIM('MSR RAW'!C854))-9)))</f>
        <v/>
      </c>
      <c r="G854">
        <f>IF(E854="","",IFERROR(VLOOKUP(E854,'CATEGORY MAP'!$A$2:$B$20,2,FALSE()),"REVIEW"))</f>
        <v/>
      </c>
      <c r="H854">
        <f>IF(E854="","",IFERROR(VALUE(SUBSTITUTE('MSR RAW'!P854,",","")),0))</f>
        <v/>
      </c>
      <c r="I854">
        <f>IF(E854="","",IFERROR(VALUE(SUBSTITUTE('MSR RAW'!S854,",","")),0))</f>
        <v/>
      </c>
    </row>
    <row r="855" ht="68.65000000000001" customHeight="1" s="126">
      <c r="A855" t="n">
        <v>855</v>
      </c>
      <c r="B855" s="30">
        <f>IF('MSR RAW'!$A$3="","",'MSR RAW'!$A$3)</f>
        <v/>
      </c>
      <c r="C855">
        <f>IF(LEFT(TRIM('MSR RAW'!A855),11)="Department:",TRIM('MSR RAW'!A855),C854)</f>
        <v/>
      </c>
      <c r="D855">
        <f>IF(LEFT(TRIM('MSR RAW'!B855),9)="Location:",TRIM(MID('MSR RAW'!B855,10,999)),D854)</f>
        <v/>
      </c>
      <c r="E855">
        <f>IF(AND(ISNUMBER(SEARCH(" - ",TRIM('MSR RAW'!C855))),RIGHT(TRIM('MSR RAW'!C855),6)="Total:"),LEFT(TRIM('MSR RAW'!C855),SEARCH(" - ",TRIM('MSR RAW'!C855))-1),"")</f>
        <v/>
      </c>
      <c r="F855">
        <f>IF(E855="","",TRIM(MID(TRIM('MSR RAW'!C855),SEARCH(" - ",TRIM('MSR RAW'!C855))+3,LEN(TRIM('MSR RAW'!C855))-SEARCH(" - ",TRIM('MSR RAW'!C855))-9)))</f>
        <v/>
      </c>
      <c r="G855">
        <f>IF(E855="","",IFERROR(VLOOKUP(E855,'CATEGORY MAP'!$A$2:$B$20,2,FALSE()),"REVIEW"))</f>
        <v/>
      </c>
      <c r="H855">
        <f>IF(E855="","",IFERROR(VALUE(SUBSTITUTE('MSR RAW'!P855,",","")),0))</f>
        <v/>
      </c>
      <c r="I855">
        <f>IF(E855="","",IFERROR(VALUE(SUBSTITUTE('MSR RAW'!S855,",","")),0))</f>
        <v/>
      </c>
    </row>
    <row r="856" ht="68.65000000000001" customHeight="1" s="126">
      <c r="A856" t="n">
        <v>856</v>
      </c>
      <c r="B856" s="30">
        <f>IF('MSR RAW'!$A$3="","",'MSR RAW'!$A$3)</f>
        <v/>
      </c>
      <c r="C856">
        <f>IF(LEFT(TRIM('MSR RAW'!A856),11)="Department:",TRIM('MSR RAW'!A856),C855)</f>
        <v/>
      </c>
      <c r="D856">
        <f>IF(LEFT(TRIM('MSR RAW'!B856),9)="Location:",TRIM(MID('MSR RAW'!B856,10,999)),D855)</f>
        <v/>
      </c>
      <c r="E856">
        <f>IF(AND(ISNUMBER(SEARCH(" - ",TRIM('MSR RAW'!C856))),RIGHT(TRIM('MSR RAW'!C856),6)="Total:"),LEFT(TRIM('MSR RAW'!C856),SEARCH(" - ",TRIM('MSR RAW'!C856))-1),"")</f>
        <v/>
      </c>
      <c r="F856">
        <f>IF(E856="","",TRIM(MID(TRIM('MSR RAW'!C856),SEARCH(" - ",TRIM('MSR RAW'!C856))+3,LEN(TRIM('MSR RAW'!C856))-SEARCH(" - ",TRIM('MSR RAW'!C856))-9)))</f>
        <v/>
      </c>
      <c r="G856">
        <f>IF(E856="","",IFERROR(VLOOKUP(E856,'CATEGORY MAP'!$A$2:$B$20,2,FALSE()),"REVIEW"))</f>
        <v/>
      </c>
      <c r="H856">
        <f>IF(E856="","",IFERROR(VALUE(SUBSTITUTE('MSR RAW'!P856,",","")),0))</f>
        <v/>
      </c>
      <c r="I856">
        <f>IF(E856="","",IFERROR(VALUE(SUBSTITUTE('MSR RAW'!S856,",","")),0))</f>
        <v/>
      </c>
    </row>
    <row r="857" ht="68.65000000000001" customHeight="1" s="126">
      <c r="A857" t="n">
        <v>857</v>
      </c>
      <c r="B857" s="30">
        <f>IF('MSR RAW'!$A$3="","",'MSR RAW'!$A$3)</f>
        <v/>
      </c>
      <c r="C857">
        <f>IF(LEFT(TRIM('MSR RAW'!A857),11)="Department:",TRIM('MSR RAW'!A857),C856)</f>
        <v/>
      </c>
      <c r="D857">
        <f>IF(LEFT(TRIM('MSR RAW'!B857),9)="Location:",TRIM(MID('MSR RAW'!B857,10,999)),D856)</f>
        <v/>
      </c>
      <c r="E857">
        <f>IF(AND(ISNUMBER(SEARCH(" - ",TRIM('MSR RAW'!C857))),RIGHT(TRIM('MSR RAW'!C857),6)="Total:"),LEFT(TRIM('MSR RAW'!C857),SEARCH(" - ",TRIM('MSR RAW'!C857))-1),"")</f>
        <v/>
      </c>
      <c r="F857">
        <f>IF(E857="","",TRIM(MID(TRIM('MSR RAW'!C857),SEARCH(" - ",TRIM('MSR RAW'!C857))+3,LEN(TRIM('MSR RAW'!C857))-SEARCH(" - ",TRIM('MSR RAW'!C857))-9)))</f>
        <v/>
      </c>
      <c r="G857">
        <f>IF(E857="","",IFERROR(VLOOKUP(E857,'CATEGORY MAP'!$A$2:$B$20,2,FALSE()),"REVIEW"))</f>
        <v/>
      </c>
      <c r="H857">
        <f>IF(E857="","",IFERROR(VALUE(SUBSTITUTE('MSR RAW'!P857,",","")),0))</f>
        <v/>
      </c>
      <c r="I857">
        <f>IF(E857="","",IFERROR(VALUE(SUBSTITUTE('MSR RAW'!S857,",","")),0))</f>
        <v/>
      </c>
    </row>
    <row r="858" ht="68.65000000000001" customHeight="1" s="126">
      <c r="A858" t="n">
        <v>858</v>
      </c>
      <c r="B858" s="30">
        <f>IF('MSR RAW'!$A$3="","",'MSR RAW'!$A$3)</f>
        <v/>
      </c>
      <c r="C858">
        <f>IF(LEFT(TRIM('MSR RAW'!A858),11)="Department:",TRIM('MSR RAW'!A858),C857)</f>
        <v/>
      </c>
      <c r="D858">
        <f>IF(LEFT(TRIM('MSR RAW'!B858),9)="Location:",TRIM(MID('MSR RAW'!B858,10,999)),D857)</f>
        <v/>
      </c>
      <c r="E858">
        <f>IF(AND(ISNUMBER(SEARCH(" - ",TRIM('MSR RAW'!C858))),RIGHT(TRIM('MSR RAW'!C858),6)="Total:"),LEFT(TRIM('MSR RAW'!C858),SEARCH(" - ",TRIM('MSR RAW'!C858))-1),"")</f>
        <v/>
      </c>
      <c r="F858">
        <f>IF(E858="","",TRIM(MID(TRIM('MSR RAW'!C858),SEARCH(" - ",TRIM('MSR RAW'!C858))+3,LEN(TRIM('MSR RAW'!C858))-SEARCH(" - ",TRIM('MSR RAW'!C858))-9)))</f>
        <v/>
      </c>
      <c r="G858">
        <f>IF(E858="","",IFERROR(VLOOKUP(E858,'CATEGORY MAP'!$A$2:$B$20,2,FALSE()),"REVIEW"))</f>
        <v/>
      </c>
      <c r="H858">
        <f>IF(E858="","",IFERROR(VALUE(SUBSTITUTE('MSR RAW'!P858,",","")),0))</f>
        <v/>
      </c>
      <c r="I858">
        <f>IF(E858="","",IFERROR(VALUE(SUBSTITUTE('MSR RAW'!S858,",","")),0))</f>
        <v/>
      </c>
    </row>
    <row r="859" ht="68.65000000000001" customHeight="1" s="126">
      <c r="A859" t="n">
        <v>859</v>
      </c>
      <c r="B859" s="30">
        <f>IF('MSR RAW'!$A$3="","",'MSR RAW'!$A$3)</f>
        <v/>
      </c>
      <c r="C859">
        <f>IF(LEFT(TRIM('MSR RAW'!A859),11)="Department:",TRIM('MSR RAW'!A859),C858)</f>
        <v/>
      </c>
      <c r="D859">
        <f>IF(LEFT(TRIM('MSR RAW'!B859),9)="Location:",TRIM(MID('MSR RAW'!B859,10,999)),D858)</f>
        <v/>
      </c>
      <c r="E859">
        <f>IF(AND(ISNUMBER(SEARCH(" - ",TRIM('MSR RAW'!C859))),RIGHT(TRIM('MSR RAW'!C859),6)="Total:"),LEFT(TRIM('MSR RAW'!C859),SEARCH(" - ",TRIM('MSR RAW'!C859))-1),"")</f>
        <v/>
      </c>
      <c r="F859">
        <f>IF(E859="","",TRIM(MID(TRIM('MSR RAW'!C859),SEARCH(" - ",TRIM('MSR RAW'!C859))+3,LEN(TRIM('MSR RAW'!C859))-SEARCH(" - ",TRIM('MSR RAW'!C859))-9)))</f>
        <v/>
      </c>
      <c r="G859">
        <f>IF(E859="","",IFERROR(VLOOKUP(E859,'CATEGORY MAP'!$A$2:$B$20,2,FALSE()),"REVIEW"))</f>
        <v/>
      </c>
      <c r="H859">
        <f>IF(E859="","",IFERROR(VALUE(SUBSTITUTE('MSR RAW'!P859,",","")),0))</f>
        <v/>
      </c>
      <c r="I859">
        <f>IF(E859="","",IFERROR(VALUE(SUBSTITUTE('MSR RAW'!S859,",","")),0))</f>
        <v/>
      </c>
    </row>
    <row r="860" ht="68.65000000000001" customHeight="1" s="126">
      <c r="A860" t="n">
        <v>860</v>
      </c>
      <c r="B860" s="30">
        <f>IF('MSR RAW'!$A$3="","",'MSR RAW'!$A$3)</f>
        <v/>
      </c>
      <c r="C860">
        <f>IF(LEFT(TRIM('MSR RAW'!A860),11)="Department:",TRIM('MSR RAW'!A860),C859)</f>
        <v/>
      </c>
      <c r="D860">
        <f>IF(LEFT(TRIM('MSR RAW'!B860),9)="Location:",TRIM(MID('MSR RAW'!B860,10,999)),D859)</f>
        <v/>
      </c>
      <c r="E860">
        <f>IF(AND(ISNUMBER(SEARCH(" - ",TRIM('MSR RAW'!C860))),RIGHT(TRIM('MSR RAW'!C860),6)="Total:"),LEFT(TRIM('MSR RAW'!C860),SEARCH(" - ",TRIM('MSR RAW'!C860))-1),"")</f>
        <v/>
      </c>
      <c r="F860">
        <f>IF(E860="","",TRIM(MID(TRIM('MSR RAW'!C860),SEARCH(" - ",TRIM('MSR RAW'!C860))+3,LEN(TRIM('MSR RAW'!C860))-SEARCH(" - ",TRIM('MSR RAW'!C860))-9)))</f>
        <v/>
      </c>
      <c r="G860">
        <f>IF(E860="","",IFERROR(VLOOKUP(E860,'CATEGORY MAP'!$A$2:$B$20,2,FALSE()),"REVIEW"))</f>
        <v/>
      </c>
      <c r="H860">
        <f>IF(E860="","",IFERROR(VALUE(SUBSTITUTE('MSR RAW'!P860,",","")),0))</f>
        <v/>
      </c>
      <c r="I860">
        <f>IF(E860="","",IFERROR(VALUE(SUBSTITUTE('MSR RAW'!S860,",","")),0))</f>
        <v/>
      </c>
    </row>
    <row r="861" ht="68.65000000000001" customHeight="1" s="126">
      <c r="A861" t="n">
        <v>861</v>
      </c>
      <c r="B861" s="30">
        <f>IF('MSR RAW'!$A$3="","",'MSR RAW'!$A$3)</f>
        <v/>
      </c>
      <c r="C861">
        <f>IF(LEFT(TRIM('MSR RAW'!A861),11)="Department:",TRIM('MSR RAW'!A861),C860)</f>
        <v/>
      </c>
      <c r="D861">
        <f>IF(LEFT(TRIM('MSR RAW'!B861),9)="Location:",TRIM(MID('MSR RAW'!B861,10,999)),D860)</f>
        <v/>
      </c>
      <c r="E861">
        <f>IF(AND(ISNUMBER(SEARCH(" - ",TRIM('MSR RAW'!C861))),RIGHT(TRIM('MSR RAW'!C861),6)="Total:"),LEFT(TRIM('MSR RAW'!C861),SEARCH(" - ",TRIM('MSR RAW'!C861))-1),"")</f>
        <v/>
      </c>
      <c r="F861">
        <f>IF(E861="","",TRIM(MID(TRIM('MSR RAW'!C861),SEARCH(" - ",TRIM('MSR RAW'!C861))+3,LEN(TRIM('MSR RAW'!C861))-SEARCH(" - ",TRIM('MSR RAW'!C861))-9)))</f>
        <v/>
      </c>
      <c r="G861">
        <f>IF(E861="","",IFERROR(VLOOKUP(E861,'CATEGORY MAP'!$A$2:$B$20,2,FALSE()),"REVIEW"))</f>
        <v/>
      </c>
      <c r="H861">
        <f>IF(E861="","",IFERROR(VALUE(SUBSTITUTE('MSR RAW'!P861,",","")),0))</f>
        <v/>
      </c>
      <c r="I861">
        <f>IF(E861="","",IFERROR(VALUE(SUBSTITUTE('MSR RAW'!S861,",","")),0))</f>
        <v/>
      </c>
    </row>
    <row r="862" ht="68.65000000000001" customHeight="1" s="126">
      <c r="A862" t="n">
        <v>862</v>
      </c>
      <c r="B862" s="30">
        <f>IF('MSR RAW'!$A$3="","",'MSR RAW'!$A$3)</f>
        <v/>
      </c>
      <c r="C862">
        <f>IF(LEFT(TRIM('MSR RAW'!A862),11)="Department:",TRIM('MSR RAW'!A862),C861)</f>
        <v/>
      </c>
      <c r="D862">
        <f>IF(LEFT(TRIM('MSR RAW'!B862),9)="Location:",TRIM(MID('MSR RAW'!B862,10,999)),D861)</f>
        <v/>
      </c>
      <c r="E862">
        <f>IF(AND(ISNUMBER(SEARCH(" - ",TRIM('MSR RAW'!C862))),RIGHT(TRIM('MSR RAW'!C862),6)="Total:"),LEFT(TRIM('MSR RAW'!C862),SEARCH(" - ",TRIM('MSR RAW'!C862))-1),"")</f>
        <v/>
      </c>
      <c r="F862">
        <f>IF(E862="","",TRIM(MID(TRIM('MSR RAW'!C862),SEARCH(" - ",TRIM('MSR RAW'!C862))+3,LEN(TRIM('MSR RAW'!C862))-SEARCH(" - ",TRIM('MSR RAW'!C862))-9)))</f>
        <v/>
      </c>
      <c r="G862">
        <f>IF(E862="","",IFERROR(VLOOKUP(E862,'CATEGORY MAP'!$A$2:$B$20,2,FALSE()),"REVIEW"))</f>
        <v/>
      </c>
      <c r="H862">
        <f>IF(E862="","",IFERROR(VALUE(SUBSTITUTE('MSR RAW'!P862,",","")),0))</f>
        <v/>
      </c>
      <c r="I862">
        <f>IF(E862="","",IFERROR(VALUE(SUBSTITUTE('MSR RAW'!S862,",","")),0))</f>
        <v/>
      </c>
    </row>
    <row r="863" ht="68.65000000000001" customHeight="1" s="126">
      <c r="A863" t="n">
        <v>863</v>
      </c>
      <c r="B863" s="30">
        <f>IF('MSR RAW'!$A$3="","",'MSR RAW'!$A$3)</f>
        <v/>
      </c>
      <c r="C863">
        <f>IF(LEFT(TRIM('MSR RAW'!A863),11)="Department:",TRIM('MSR RAW'!A863),C862)</f>
        <v/>
      </c>
      <c r="D863">
        <f>IF(LEFT(TRIM('MSR RAW'!B863),9)="Location:",TRIM(MID('MSR RAW'!B863,10,999)),D862)</f>
        <v/>
      </c>
      <c r="E863">
        <f>IF(AND(ISNUMBER(SEARCH(" - ",TRIM('MSR RAW'!C863))),RIGHT(TRIM('MSR RAW'!C863),6)="Total:"),LEFT(TRIM('MSR RAW'!C863),SEARCH(" - ",TRIM('MSR RAW'!C863))-1),"")</f>
        <v/>
      </c>
      <c r="F863">
        <f>IF(E863="","",TRIM(MID(TRIM('MSR RAW'!C863),SEARCH(" - ",TRIM('MSR RAW'!C863))+3,LEN(TRIM('MSR RAW'!C863))-SEARCH(" - ",TRIM('MSR RAW'!C863))-9)))</f>
        <v/>
      </c>
      <c r="G863">
        <f>IF(E863="","",IFERROR(VLOOKUP(E863,'CATEGORY MAP'!$A$2:$B$20,2,FALSE()),"REVIEW"))</f>
        <v/>
      </c>
      <c r="H863">
        <f>IF(E863="","",IFERROR(VALUE(SUBSTITUTE('MSR RAW'!P863,",","")),0))</f>
        <v/>
      </c>
      <c r="I863">
        <f>IF(E863="","",IFERROR(VALUE(SUBSTITUTE('MSR RAW'!S863,",","")),0))</f>
        <v/>
      </c>
    </row>
    <row r="864" ht="68.65000000000001" customHeight="1" s="126">
      <c r="A864" t="n">
        <v>864</v>
      </c>
      <c r="B864" s="30">
        <f>IF('MSR RAW'!$A$3="","",'MSR RAW'!$A$3)</f>
        <v/>
      </c>
      <c r="C864">
        <f>IF(LEFT(TRIM('MSR RAW'!A864),11)="Department:",TRIM('MSR RAW'!A864),C863)</f>
        <v/>
      </c>
      <c r="D864">
        <f>IF(LEFT(TRIM('MSR RAW'!B864),9)="Location:",TRIM(MID('MSR RAW'!B864,10,999)),D863)</f>
        <v/>
      </c>
      <c r="E864">
        <f>IF(AND(ISNUMBER(SEARCH(" - ",TRIM('MSR RAW'!C864))),RIGHT(TRIM('MSR RAW'!C864),6)="Total:"),LEFT(TRIM('MSR RAW'!C864),SEARCH(" - ",TRIM('MSR RAW'!C864))-1),"")</f>
        <v/>
      </c>
      <c r="F864">
        <f>IF(E864="","",TRIM(MID(TRIM('MSR RAW'!C864),SEARCH(" - ",TRIM('MSR RAW'!C864))+3,LEN(TRIM('MSR RAW'!C864))-SEARCH(" - ",TRIM('MSR RAW'!C864))-9)))</f>
        <v/>
      </c>
      <c r="G864">
        <f>IF(E864="","",IFERROR(VLOOKUP(E864,'CATEGORY MAP'!$A$2:$B$20,2,FALSE()),"REVIEW"))</f>
        <v/>
      </c>
      <c r="H864">
        <f>IF(E864="","",IFERROR(VALUE(SUBSTITUTE('MSR RAW'!P864,",","")),0))</f>
        <v/>
      </c>
      <c r="I864">
        <f>IF(E864="","",IFERROR(VALUE(SUBSTITUTE('MSR RAW'!S864,",","")),0))</f>
        <v/>
      </c>
    </row>
    <row r="865" ht="68.65000000000001" customHeight="1" s="126">
      <c r="A865" t="n">
        <v>865</v>
      </c>
      <c r="B865" s="30">
        <f>IF('MSR RAW'!$A$3="","",'MSR RAW'!$A$3)</f>
        <v/>
      </c>
      <c r="C865">
        <f>IF(LEFT(TRIM('MSR RAW'!A865),11)="Department:",TRIM('MSR RAW'!A865),C864)</f>
        <v/>
      </c>
      <c r="D865">
        <f>IF(LEFT(TRIM('MSR RAW'!B865),9)="Location:",TRIM(MID('MSR RAW'!B865,10,999)),D864)</f>
        <v/>
      </c>
      <c r="E865">
        <f>IF(AND(ISNUMBER(SEARCH(" - ",TRIM('MSR RAW'!C865))),RIGHT(TRIM('MSR RAW'!C865),6)="Total:"),LEFT(TRIM('MSR RAW'!C865),SEARCH(" - ",TRIM('MSR RAW'!C865))-1),"")</f>
        <v/>
      </c>
      <c r="F865">
        <f>IF(E865="","",TRIM(MID(TRIM('MSR RAW'!C865),SEARCH(" - ",TRIM('MSR RAW'!C865))+3,LEN(TRIM('MSR RAW'!C865))-SEARCH(" - ",TRIM('MSR RAW'!C865))-9)))</f>
        <v/>
      </c>
      <c r="G865">
        <f>IF(E865="","",IFERROR(VLOOKUP(E865,'CATEGORY MAP'!$A$2:$B$20,2,FALSE()),"REVIEW"))</f>
        <v/>
      </c>
      <c r="H865">
        <f>IF(E865="","",IFERROR(VALUE(SUBSTITUTE('MSR RAW'!P865,",","")),0))</f>
        <v/>
      </c>
      <c r="I865">
        <f>IF(E865="","",IFERROR(VALUE(SUBSTITUTE('MSR RAW'!S865,",","")),0))</f>
        <v/>
      </c>
    </row>
    <row r="866" ht="68.65000000000001" customHeight="1" s="126">
      <c r="A866" t="n">
        <v>866</v>
      </c>
      <c r="B866" s="30">
        <f>IF('MSR RAW'!$A$3="","",'MSR RAW'!$A$3)</f>
        <v/>
      </c>
      <c r="C866">
        <f>IF(LEFT(TRIM('MSR RAW'!A866),11)="Department:",TRIM('MSR RAW'!A866),C865)</f>
        <v/>
      </c>
      <c r="D866">
        <f>IF(LEFT(TRIM('MSR RAW'!B866),9)="Location:",TRIM(MID('MSR RAW'!B866,10,999)),D865)</f>
        <v/>
      </c>
      <c r="E866">
        <f>IF(AND(ISNUMBER(SEARCH(" - ",TRIM('MSR RAW'!C866))),RIGHT(TRIM('MSR RAW'!C866),6)="Total:"),LEFT(TRIM('MSR RAW'!C866),SEARCH(" - ",TRIM('MSR RAW'!C866))-1),"")</f>
        <v/>
      </c>
      <c r="F866">
        <f>IF(E866="","",TRIM(MID(TRIM('MSR RAW'!C866),SEARCH(" - ",TRIM('MSR RAW'!C866))+3,LEN(TRIM('MSR RAW'!C866))-SEARCH(" - ",TRIM('MSR RAW'!C866))-9)))</f>
        <v/>
      </c>
      <c r="G866">
        <f>IF(E866="","",IFERROR(VLOOKUP(E866,'CATEGORY MAP'!$A$2:$B$20,2,FALSE()),"REVIEW"))</f>
        <v/>
      </c>
      <c r="H866">
        <f>IF(E866="","",IFERROR(VALUE(SUBSTITUTE('MSR RAW'!P866,",","")),0))</f>
        <v/>
      </c>
      <c r="I866">
        <f>IF(E866="","",IFERROR(VALUE(SUBSTITUTE('MSR RAW'!S866,",","")),0))</f>
        <v/>
      </c>
    </row>
    <row r="867" ht="68.65000000000001" customHeight="1" s="126">
      <c r="A867" t="n">
        <v>867</v>
      </c>
      <c r="B867" s="30">
        <f>IF('MSR RAW'!$A$3="","",'MSR RAW'!$A$3)</f>
        <v/>
      </c>
      <c r="C867">
        <f>IF(LEFT(TRIM('MSR RAW'!A867),11)="Department:",TRIM('MSR RAW'!A867),C866)</f>
        <v/>
      </c>
      <c r="D867">
        <f>IF(LEFT(TRIM('MSR RAW'!B867),9)="Location:",TRIM(MID('MSR RAW'!B867,10,999)),D866)</f>
        <v/>
      </c>
      <c r="E867">
        <f>IF(AND(ISNUMBER(SEARCH(" - ",TRIM('MSR RAW'!C867))),RIGHT(TRIM('MSR RAW'!C867),6)="Total:"),LEFT(TRIM('MSR RAW'!C867),SEARCH(" - ",TRIM('MSR RAW'!C867))-1),"")</f>
        <v/>
      </c>
      <c r="F867">
        <f>IF(E867="","",TRIM(MID(TRIM('MSR RAW'!C867),SEARCH(" - ",TRIM('MSR RAW'!C867))+3,LEN(TRIM('MSR RAW'!C867))-SEARCH(" - ",TRIM('MSR RAW'!C867))-9)))</f>
        <v/>
      </c>
      <c r="G867">
        <f>IF(E867="","",IFERROR(VLOOKUP(E867,'CATEGORY MAP'!$A$2:$B$20,2,FALSE()),"REVIEW"))</f>
        <v/>
      </c>
      <c r="H867">
        <f>IF(E867="","",IFERROR(VALUE(SUBSTITUTE('MSR RAW'!P867,",","")),0))</f>
        <v/>
      </c>
      <c r="I867">
        <f>IF(E867="","",IFERROR(VALUE(SUBSTITUTE('MSR RAW'!S867,",","")),0))</f>
        <v/>
      </c>
    </row>
    <row r="868" ht="68.65000000000001" customHeight="1" s="126">
      <c r="A868" t="n">
        <v>868</v>
      </c>
      <c r="B868" s="30">
        <f>IF('MSR RAW'!$A$3="","",'MSR RAW'!$A$3)</f>
        <v/>
      </c>
      <c r="C868">
        <f>IF(LEFT(TRIM('MSR RAW'!A868),11)="Department:",TRIM('MSR RAW'!A868),C867)</f>
        <v/>
      </c>
      <c r="D868">
        <f>IF(LEFT(TRIM('MSR RAW'!B868),9)="Location:",TRIM(MID('MSR RAW'!B868,10,999)),D867)</f>
        <v/>
      </c>
      <c r="E868">
        <f>IF(AND(ISNUMBER(SEARCH(" - ",TRIM('MSR RAW'!C868))),RIGHT(TRIM('MSR RAW'!C868),6)="Total:"),LEFT(TRIM('MSR RAW'!C868),SEARCH(" - ",TRIM('MSR RAW'!C868))-1),"")</f>
        <v/>
      </c>
      <c r="F868">
        <f>IF(E868="","",TRIM(MID(TRIM('MSR RAW'!C868),SEARCH(" - ",TRIM('MSR RAW'!C868))+3,LEN(TRIM('MSR RAW'!C868))-SEARCH(" - ",TRIM('MSR RAW'!C868))-9)))</f>
        <v/>
      </c>
      <c r="G868">
        <f>IF(E868="","",IFERROR(VLOOKUP(E868,'CATEGORY MAP'!$A$2:$B$20,2,FALSE()),"REVIEW"))</f>
        <v/>
      </c>
      <c r="H868">
        <f>IF(E868="","",IFERROR(VALUE(SUBSTITUTE('MSR RAW'!P868,",","")),0))</f>
        <v/>
      </c>
      <c r="I868">
        <f>IF(E868="","",IFERROR(VALUE(SUBSTITUTE('MSR RAW'!S868,",","")),0))</f>
        <v/>
      </c>
    </row>
    <row r="869" ht="68.65000000000001" customHeight="1" s="126">
      <c r="A869" t="n">
        <v>869</v>
      </c>
      <c r="B869" s="30">
        <f>IF('MSR RAW'!$A$3="","",'MSR RAW'!$A$3)</f>
        <v/>
      </c>
      <c r="C869">
        <f>IF(LEFT(TRIM('MSR RAW'!A869),11)="Department:",TRIM('MSR RAW'!A869),C868)</f>
        <v/>
      </c>
      <c r="D869">
        <f>IF(LEFT(TRIM('MSR RAW'!B869),9)="Location:",TRIM(MID('MSR RAW'!B869,10,999)),D868)</f>
        <v/>
      </c>
      <c r="E869">
        <f>IF(AND(ISNUMBER(SEARCH(" - ",TRIM('MSR RAW'!C869))),RIGHT(TRIM('MSR RAW'!C869),6)="Total:"),LEFT(TRIM('MSR RAW'!C869),SEARCH(" - ",TRIM('MSR RAW'!C869))-1),"")</f>
        <v/>
      </c>
      <c r="F869">
        <f>IF(E869="","",TRIM(MID(TRIM('MSR RAW'!C869),SEARCH(" - ",TRIM('MSR RAW'!C869))+3,LEN(TRIM('MSR RAW'!C869))-SEARCH(" - ",TRIM('MSR RAW'!C869))-9)))</f>
        <v/>
      </c>
      <c r="G869">
        <f>IF(E869="","",IFERROR(VLOOKUP(E869,'CATEGORY MAP'!$A$2:$B$20,2,FALSE()),"REVIEW"))</f>
        <v/>
      </c>
      <c r="H869">
        <f>IF(E869="","",IFERROR(VALUE(SUBSTITUTE('MSR RAW'!P869,",","")),0))</f>
        <v/>
      </c>
      <c r="I869">
        <f>IF(E869="","",IFERROR(VALUE(SUBSTITUTE('MSR RAW'!S869,",","")),0))</f>
        <v/>
      </c>
    </row>
    <row r="870" ht="68.65000000000001" customHeight="1" s="126">
      <c r="A870" t="n">
        <v>870</v>
      </c>
      <c r="B870" s="30">
        <f>IF('MSR RAW'!$A$3="","",'MSR RAW'!$A$3)</f>
        <v/>
      </c>
      <c r="C870">
        <f>IF(LEFT(TRIM('MSR RAW'!A870),11)="Department:",TRIM('MSR RAW'!A870),C869)</f>
        <v/>
      </c>
      <c r="D870">
        <f>IF(LEFT(TRIM('MSR RAW'!B870),9)="Location:",TRIM(MID('MSR RAW'!B870,10,999)),D869)</f>
        <v/>
      </c>
      <c r="E870">
        <f>IF(AND(ISNUMBER(SEARCH(" - ",TRIM('MSR RAW'!C870))),RIGHT(TRIM('MSR RAW'!C870),6)="Total:"),LEFT(TRIM('MSR RAW'!C870),SEARCH(" - ",TRIM('MSR RAW'!C870))-1),"")</f>
        <v/>
      </c>
      <c r="F870">
        <f>IF(E870="","",TRIM(MID(TRIM('MSR RAW'!C870),SEARCH(" - ",TRIM('MSR RAW'!C870))+3,LEN(TRIM('MSR RAW'!C870))-SEARCH(" - ",TRIM('MSR RAW'!C870))-9)))</f>
        <v/>
      </c>
      <c r="G870">
        <f>IF(E870="","",IFERROR(VLOOKUP(E870,'CATEGORY MAP'!$A$2:$B$20,2,FALSE()),"REVIEW"))</f>
        <v/>
      </c>
      <c r="H870">
        <f>IF(E870="","",IFERROR(VALUE(SUBSTITUTE('MSR RAW'!P870,",","")),0))</f>
        <v/>
      </c>
      <c r="I870">
        <f>IF(E870="","",IFERROR(VALUE(SUBSTITUTE('MSR RAW'!S870,",","")),0))</f>
        <v/>
      </c>
    </row>
    <row r="871" ht="68.65000000000001" customHeight="1" s="126">
      <c r="A871" t="n">
        <v>871</v>
      </c>
      <c r="B871" s="30">
        <f>IF('MSR RAW'!$A$3="","",'MSR RAW'!$A$3)</f>
        <v/>
      </c>
      <c r="C871">
        <f>IF(LEFT(TRIM('MSR RAW'!A871),11)="Department:",TRIM('MSR RAW'!A871),C870)</f>
        <v/>
      </c>
      <c r="D871">
        <f>IF(LEFT(TRIM('MSR RAW'!B871),9)="Location:",TRIM(MID('MSR RAW'!B871,10,999)),D870)</f>
        <v/>
      </c>
      <c r="E871">
        <f>IF(AND(ISNUMBER(SEARCH(" - ",TRIM('MSR RAW'!C871))),RIGHT(TRIM('MSR RAW'!C871),6)="Total:"),LEFT(TRIM('MSR RAW'!C871),SEARCH(" - ",TRIM('MSR RAW'!C871))-1),"")</f>
        <v/>
      </c>
      <c r="F871">
        <f>IF(E871="","",TRIM(MID(TRIM('MSR RAW'!C871),SEARCH(" - ",TRIM('MSR RAW'!C871))+3,LEN(TRIM('MSR RAW'!C871))-SEARCH(" - ",TRIM('MSR RAW'!C871))-9)))</f>
        <v/>
      </c>
      <c r="G871">
        <f>IF(E871="","",IFERROR(VLOOKUP(E871,'CATEGORY MAP'!$A$2:$B$20,2,FALSE()),"REVIEW"))</f>
        <v/>
      </c>
      <c r="H871">
        <f>IF(E871="","",IFERROR(VALUE(SUBSTITUTE('MSR RAW'!P871,",","")),0))</f>
        <v/>
      </c>
      <c r="I871">
        <f>IF(E871="","",IFERROR(VALUE(SUBSTITUTE('MSR RAW'!S871,",","")),0))</f>
        <v/>
      </c>
    </row>
    <row r="872" ht="68.65000000000001" customHeight="1" s="126">
      <c r="A872" t="n">
        <v>872</v>
      </c>
      <c r="B872" s="30">
        <f>IF('MSR RAW'!$A$3="","",'MSR RAW'!$A$3)</f>
        <v/>
      </c>
      <c r="C872">
        <f>IF(LEFT(TRIM('MSR RAW'!A872),11)="Department:",TRIM('MSR RAW'!A872),C871)</f>
        <v/>
      </c>
      <c r="D872">
        <f>IF(LEFT(TRIM('MSR RAW'!B872),9)="Location:",TRIM(MID('MSR RAW'!B872,10,999)),D871)</f>
        <v/>
      </c>
      <c r="E872">
        <f>IF(AND(ISNUMBER(SEARCH(" - ",TRIM('MSR RAW'!C872))),RIGHT(TRIM('MSR RAW'!C872),6)="Total:"),LEFT(TRIM('MSR RAW'!C872),SEARCH(" - ",TRIM('MSR RAW'!C872))-1),"")</f>
        <v/>
      </c>
      <c r="F872">
        <f>IF(E872="","",TRIM(MID(TRIM('MSR RAW'!C872),SEARCH(" - ",TRIM('MSR RAW'!C872))+3,LEN(TRIM('MSR RAW'!C872))-SEARCH(" - ",TRIM('MSR RAW'!C872))-9)))</f>
        <v/>
      </c>
      <c r="G872">
        <f>IF(E872="","",IFERROR(VLOOKUP(E872,'CATEGORY MAP'!$A$2:$B$20,2,FALSE()),"REVIEW"))</f>
        <v/>
      </c>
      <c r="H872">
        <f>IF(E872="","",IFERROR(VALUE(SUBSTITUTE('MSR RAW'!P872,",","")),0))</f>
        <v/>
      </c>
      <c r="I872">
        <f>IF(E872="","",IFERROR(VALUE(SUBSTITUTE('MSR RAW'!S872,",","")),0))</f>
        <v/>
      </c>
    </row>
    <row r="873" ht="68.65000000000001" customHeight="1" s="126">
      <c r="A873" t="n">
        <v>873</v>
      </c>
      <c r="B873" s="30">
        <f>IF('MSR RAW'!$A$3="","",'MSR RAW'!$A$3)</f>
        <v/>
      </c>
      <c r="C873">
        <f>IF(LEFT(TRIM('MSR RAW'!A873),11)="Department:",TRIM('MSR RAW'!A873),C872)</f>
        <v/>
      </c>
      <c r="D873">
        <f>IF(LEFT(TRIM('MSR RAW'!B873),9)="Location:",TRIM(MID('MSR RAW'!B873,10,999)),D872)</f>
        <v/>
      </c>
      <c r="E873">
        <f>IF(AND(ISNUMBER(SEARCH(" - ",TRIM('MSR RAW'!C873))),RIGHT(TRIM('MSR RAW'!C873),6)="Total:"),LEFT(TRIM('MSR RAW'!C873),SEARCH(" - ",TRIM('MSR RAW'!C873))-1),"")</f>
        <v/>
      </c>
      <c r="F873">
        <f>IF(E873="","",TRIM(MID(TRIM('MSR RAW'!C873),SEARCH(" - ",TRIM('MSR RAW'!C873))+3,LEN(TRIM('MSR RAW'!C873))-SEARCH(" - ",TRIM('MSR RAW'!C873))-9)))</f>
        <v/>
      </c>
      <c r="G873">
        <f>IF(E873="","",IFERROR(VLOOKUP(E873,'CATEGORY MAP'!$A$2:$B$20,2,FALSE()),"REVIEW"))</f>
        <v/>
      </c>
      <c r="H873">
        <f>IF(E873="","",IFERROR(VALUE(SUBSTITUTE('MSR RAW'!P873,",","")),0))</f>
        <v/>
      </c>
      <c r="I873">
        <f>IF(E873="","",IFERROR(VALUE(SUBSTITUTE('MSR RAW'!S873,",","")),0))</f>
        <v/>
      </c>
    </row>
    <row r="874" ht="68.65000000000001" customHeight="1" s="126">
      <c r="A874" t="n">
        <v>874</v>
      </c>
      <c r="B874" s="30">
        <f>IF('MSR RAW'!$A$3="","",'MSR RAW'!$A$3)</f>
        <v/>
      </c>
      <c r="C874">
        <f>IF(LEFT(TRIM('MSR RAW'!A874),11)="Department:",TRIM('MSR RAW'!A874),C873)</f>
        <v/>
      </c>
      <c r="D874">
        <f>IF(LEFT(TRIM('MSR RAW'!B874),9)="Location:",TRIM(MID('MSR RAW'!B874,10,999)),D873)</f>
        <v/>
      </c>
      <c r="E874">
        <f>IF(AND(ISNUMBER(SEARCH(" - ",TRIM('MSR RAW'!C874))),RIGHT(TRIM('MSR RAW'!C874),6)="Total:"),LEFT(TRIM('MSR RAW'!C874),SEARCH(" - ",TRIM('MSR RAW'!C874))-1),"")</f>
        <v/>
      </c>
      <c r="F874">
        <f>IF(E874="","",TRIM(MID(TRIM('MSR RAW'!C874),SEARCH(" - ",TRIM('MSR RAW'!C874))+3,LEN(TRIM('MSR RAW'!C874))-SEARCH(" - ",TRIM('MSR RAW'!C874))-9)))</f>
        <v/>
      </c>
      <c r="G874">
        <f>IF(E874="","",IFERROR(VLOOKUP(E874,'CATEGORY MAP'!$A$2:$B$20,2,FALSE()),"REVIEW"))</f>
        <v/>
      </c>
      <c r="H874">
        <f>IF(E874="","",IFERROR(VALUE(SUBSTITUTE('MSR RAW'!P874,",","")),0))</f>
        <v/>
      </c>
      <c r="I874">
        <f>IF(E874="","",IFERROR(VALUE(SUBSTITUTE('MSR RAW'!S874,",","")),0))</f>
        <v/>
      </c>
    </row>
    <row r="875" ht="68.65000000000001" customHeight="1" s="126">
      <c r="A875" t="n">
        <v>875</v>
      </c>
      <c r="B875" s="30">
        <f>IF('MSR RAW'!$A$3="","",'MSR RAW'!$A$3)</f>
        <v/>
      </c>
      <c r="C875">
        <f>IF(LEFT(TRIM('MSR RAW'!A875),11)="Department:",TRIM('MSR RAW'!A875),C874)</f>
        <v/>
      </c>
      <c r="D875">
        <f>IF(LEFT(TRIM('MSR RAW'!B875),9)="Location:",TRIM(MID('MSR RAW'!B875,10,999)),D874)</f>
        <v/>
      </c>
      <c r="E875">
        <f>IF(AND(ISNUMBER(SEARCH(" - ",TRIM('MSR RAW'!C875))),RIGHT(TRIM('MSR RAW'!C875),6)="Total:"),LEFT(TRIM('MSR RAW'!C875),SEARCH(" - ",TRIM('MSR RAW'!C875))-1),"")</f>
        <v/>
      </c>
      <c r="F875">
        <f>IF(E875="","",TRIM(MID(TRIM('MSR RAW'!C875),SEARCH(" - ",TRIM('MSR RAW'!C875))+3,LEN(TRIM('MSR RAW'!C875))-SEARCH(" - ",TRIM('MSR RAW'!C875))-9)))</f>
        <v/>
      </c>
      <c r="G875">
        <f>IF(E875="","",IFERROR(VLOOKUP(E875,'CATEGORY MAP'!$A$2:$B$20,2,FALSE()),"REVIEW"))</f>
        <v/>
      </c>
      <c r="H875">
        <f>IF(E875="","",IFERROR(VALUE(SUBSTITUTE('MSR RAW'!P875,",","")),0))</f>
        <v/>
      </c>
      <c r="I875">
        <f>IF(E875="","",IFERROR(VALUE(SUBSTITUTE('MSR RAW'!S875,",","")),0))</f>
        <v/>
      </c>
    </row>
    <row r="876" ht="68.65000000000001" customHeight="1" s="126">
      <c r="A876" t="n">
        <v>876</v>
      </c>
      <c r="B876" s="30">
        <f>IF('MSR RAW'!$A$3="","",'MSR RAW'!$A$3)</f>
        <v/>
      </c>
      <c r="C876">
        <f>IF(LEFT(TRIM('MSR RAW'!A876),11)="Department:",TRIM('MSR RAW'!A876),C875)</f>
        <v/>
      </c>
      <c r="D876">
        <f>IF(LEFT(TRIM('MSR RAW'!B876),9)="Location:",TRIM(MID('MSR RAW'!B876,10,999)),D875)</f>
        <v/>
      </c>
      <c r="E876">
        <f>IF(AND(ISNUMBER(SEARCH(" - ",TRIM('MSR RAW'!C876))),RIGHT(TRIM('MSR RAW'!C876),6)="Total:"),LEFT(TRIM('MSR RAW'!C876),SEARCH(" - ",TRIM('MSR RAW'!C876))-1),"")</f>
        <v/>
      </c>
      <c r="F876">
        <f>IF(E876="","",TRIM(MID(TRIM('MSR RAW'!C876),SEARCH(" - ",TRIM('MSR RAW'!C876))+3,LEN(TRIM('MSR RAW'!C876))-SEARCH(" - ",TRIM('MSR RAW'!C876))-9)))</f>
        <v/>
      </c>
      <c r="G876">
        <f>IF(E876="","",IFERROR(VLOOKUP(E876,'CATEGORY MAP'!$A$2:$B$20,2,FALSE()),"REVIEW"))</f>
        <v/>
      </c>
      <c r="H876">
        <f>IF(E876="","",IFERROR(VALUE(SUBSTITUTE('MSR RAW'!P876,",","")),0))</f>
        <v/>
      </c>
      <c r="I876">
        <f>IF(E876="","",IFERROR(VALUE(SUBSTITUTE('MSR RAW'!S876,",","")),0))</f>
        <v/>
      </c>
    </row>
    <row r="877" ht="68.65000000000001" customHeight="1" s="126">
      <c r="A877" t="n">
        <v>877</v>
      </c>
      <c r="B877" s="30">
        <f>IF('MSR RAW'!$A$3="","",'MSR RAW'!$A$3)</f>
        <v/>
      </c>
      <c r="C877">
        <f>IF(LEFT(TRIM('MSR RAW'!A877),11)="Department:",TRIM('MSR RAW'!A877),C876)</f>
        <v/>
      </c>
      <c r="D877">
        <f>IF(LEFT(TRIM('MSR RAW'!B877),9)="Location:",TRIM(MID('MSR RAW'!B877,10,999)),D876)</f>
        <v/>
      </c>
      <c r="E877">
        <f>IF(AND(ISNUMBER(SEARCH(" - ",TRIM('MSR RAW'!C877))),RIGHT(TRIM('MSR RAW'!C877),6)="Total:"),LEFT(TRIM('MSR RAW'!C877),SEARCH(" - ",TRIM('MSR RAW'!C877))-1),"")</f>
        <v/>
      </c>
      <c r="F877">
        <f>IF(E877="","",TRIM(MID(TRIM('MSR RAW'!C877),SEARCH(" - ",TRIM('MSR RAW'!C877))+3,LEN(TRIM('MSR RAW'!C877))-SEARCH(" - ",TRIM('MSR RAW'!C877))-9)))</f>
        <v/>
      </c>
      <c r="G877">
        <f>IF(E877="","",IFERROR(VLOOKUP(E877,'CATEGORY MAP'!$A$2:$B$20,2,FALSE()),"REVIEW"))</f>
        <v/>
      </c>
      <c r="H877">
        <f>IF(E877="","",IFERROR(VALUE(SUBSTITUTE('MSR RAW'!P877,",","")),0))</f>
        <v/>
      </c>
      <c r="I877">
        <f>IF(E877="","",IFERROR(VALUE(SUBSTITUTE('MSR RAW'!S877,",","")),0))</f>
        <v/>
      </c>
    </row>
    <row r="878" ht="68.65000000000001" customHeight="1" s="126">
      <c r="A878" t="n">
        <v>878</v>
      </c>
      <c r="B878" s="30">
        <f>IF('MSR RAW'!$A$3="","",'MSR RAW'!$A$3)</f>
        <v/>
      </c>
      <c r="C878">
        <f>IF(LEFT(TRIM('MSR RAW'!A878),11)="Department:",TRIM('MSR RAW'!A878),C877)</f>
        <v/>
      </c>
      <c r="D878">
        <f>IF(LEFT(TRIM('MSR RAW'!B878),9)="Location:",TRIM(MID('MSR RAW'!B878,10,999)),D877)</f>
        <v/>
      </c>
      <c r="E878">
        <f>IF(AND(ISNUMBER(SEARCH(" - ",TRIM('MSR RAW'!C878))),RIGHT(TRIM('MSR RAW'!C878),6)="Total:"),LEFT(TRIM('MSR RAW'!C878),SEARCH(" - ",TRIM('MSR RAW'!C878))-1),"")</f>
        <v/>
      </c>
      <c r="F878">
        <f>IF(E878="","",TRIM(MID(TRIM('MSR RAW'!C878),SEARCH(" - ",TRIM('MSR RAW'!C878))+3,LEN(TRIM('MSR RAW'!C878))-SEARCH(" - ",TRIM('MSR RAW'!C878))-9)))</f>
        <v/>
      </c>
      <c r="G878">
        <f>IF(E878="","",IFERROR(VLOOKUP(E878,'CATEGORY MAP'!$A$2:$B$20,2,FALSE()),"REVIEW"))</f>
        <v/>
      </c>
      <c r="H878">
        <f>IF(E878="","",IFERROR(VALUE(SUBSTITUTE('MSR RAW'!P878,",","")),0))</f>
        <v/>
      </c>
      <c r="I878">
        <f>IF(E878="","",IFERROR(VALUE(SUBSTITUTE('MSR RAW'!S878,",","")),0))</f>
        <v/>
      </c>
    </row>
    <row r="879" ht="68.65000000000001" customHeight="1" s="126">
      <c r="A879" t="n">
        <v>879</v>
      </c>
      <c r="B879" s="30">
        <f>IF('MSR RAW'!$A$3="","",'MSR RAW'!$A$3)</f>
        <v/>
      </c>
      <c r="C879">
        <f>IF(LEFT(TRIM('MSR RAW'!A879),11)="Department:",TRIM('MSR RAW'!A879),C878)</f>
        <v/>
      </c>
      <c r="D879">
        <f>IF(LEFT(TRIM('MSR RAW'!B879),9)="Location:",TRIM(MID('MSR RAW'!B879,10,999)),D878)</f>
        <v/>
      </c>
      <c r="E879">
        <f>IF(AND(ISNUMBER(SEARCH(" - ",TRIM('MSR RAW'!C879))),RIGHT(TRIM('MSR RAW'!C879),6)="Total:"),LEFT(TRIM('MSR RAW'!C879),SEARCH(" - ",TRIM('MSR RAW'!C879))-1),"")</f>
        <v/>
      </c>
      <c r="F879">
        <f>IF(E879="","",TRIM(MID(TRIM('MSR RAW'!C879),SEARCH(" - ",TRIM('MSR RAW'!C879))+3,LEN(TRIM('MSR RAW'!C879))-SEARCH(" - ",TRIM('MSR RAW'!C879))-9)))</f>
        <v/>
      </c>
      <c r="G879">
        <f>IF(E879="","",IFERROR(VLOOKUP(E879,'CATEGORY MAP'!$A$2:$B$20,2,FALSE()),"REVIEW"))</f>
        <v/>
      </c>
      <c r="H879">
        <f>IF(E879="","",IFERROR(VALUE(SUBSTITUTE('MSR RAW'!P879,",","")),0))</f>
        <v/>
      </c>
      <c r="I879">
        <f>IF(E879="","",IFERROR(VALUE(SUBSTITUTE('MSR RAW'!S879,",","")),0))</f>
        <v/>
      </c>
    </row>
    <row r="880" ht="68.65000000000001" customHeight="1" s="126">
      <c r="A880" t="n">
        <v>880</v>
      </c>
      <c r="B880" s="30">
        <f>IF('MSR RAW'!$A$3="","",'MSR RAW'!$A$3)</f>
        <v/>
      </c>
      <c r="C880">
        <f>IF(LEFT(TRIM('MSR RAW'!A880),11)="Department:",TRIM('MSR RAW'!A880),C879)</f>
        <v/>
      </c>
      <c r="D880">
        <f>IF(LEFT(TRIM('MSR RAW'!B880),9)="Location:",TRIM(MID('MSR RAW'!B880,10,999)),D879)</f>
        <v/>
      </c>
      <c r="E880">
        <f>IF(AND(ISNUMBER(SEARCH(" - ",TRIM('MSR RAW'!C880))),RIGHT(TRIM('MSR RAW'!C880),6)="Total:"),LEFT(TRIM('MSR RAW'!C880),SEARCH(" - ",TRIM('MSR RAW'!C880))-1),"")</f>
        <v/>
      </c>
      <c r="F880">
        <f>IF(E880="","",TRIM(MID(TRIM('MSR RAW'!C880),SEARCH(" - ",TRIM('MSR RAW'!C880))+3,LEN(TRIM('MSR RAW'!C880))-SEARCH(" - ",TRIM('MSR RAW'!C880))-9)))</f>
        <v/>
      </c>
      <c r="G880">
        <f>IF(E880="","",IFERROR(VLOOKUP(E880,'CATEGORY MAP'!$A$2:$B$20,2,FALSE()),"REVIEW"))</f>
        <v/>
      </c>
      <c r="H880">
        <f>IF(E880="","",IFERROR(VALUE(SUBSTITUTE('MSR RAW'!P880,",","")),0))</f>
        <v/>
      </c>
      <c r="I880">
        <f>IF(E880="","",IFERROR(VALUE(SUBSTITUTE('MSR RAW'!S880,",","")),0))</f>
        <v/>
      </c>
    </row>
    <row r="881" ht="68.65000000000001" customHeight="1" s="126">
      <c r="A881" t="n">
        <v>881</v>
      </c>
      <c r="B881" s="30">
        <f>IF('MSR RAW'!$A$3="","",'MSR RAW'!$A$3)</f>
        <v/>
      </c>
      <c r="C881">
        <f>IF(LEFT(TRIM('MSR RAW'!A881),11)="Department:",TRIM('MSR RAW'!A881),C880)</f>
        <v/>
      </c>
      <c r="D881">
        <f>IF(LEFT(TRIM('MSR RAW'!B881),9)="Location:",TRIM(MID('MSR RAW'!B881,10,999)),D880)</f>
        <v/>
      </c>
      <c r="E881">
        <f>IF(AND(ISNUMBER(SEARCH(" - ",TRIM('MSR RAW'!C881))),RIGHT(TRIM('MSR RAW'!C881),6)="Total:"),LEFT(TRIM('MSR RAW'!C881),SEARCH(" - ",TRIM('MSR RAW'!C881))-1),"")</f>
        <v/>
      </c>
      <c r="F881">
        <f>IF(E881="","",TRIM(MID(TRIM('MSR RAW'!C881),SEARCH(" - ",TRIM('MSR RAW'!C881))+3,LEN(TRIM('MSR RAW'!C881))-SEARCH(" - ",TRIM('MSR RAW'!C881))-9)))</f>
        <v/>
      </c>
      <c r="G881">
        <f>IF(E881="","",IFERROR(VLOOKUP(E881,'CATEGORY MAP'!$A$2:$B$20,2,FALSE()),"REVIEW"))</f>
        <v/>
      </c>
      <c r="H881">
        <f>IF(E881="","",IFERROR(VALUE(SUBSTITUTE('MSR RAW'!P881,",","")),0))</f>
        <v/>
      </c>
      <c r="I881">
        <f>IF(E881="","",IFERROR(VALUE(SUBSTITUTE('MSR RAW'!S881,",","")),0))</f>
        <v/>
      </c>
    </row>
    <row r="882" ht="68.65000000000001" customHeight="1" s="126">
      <c r="A882" t="n">
        <v>882</v>
      </c>
      <c r="B882" s="30">
        <f>IF('MSR RAW'!$A$3="","",'MSR RAW'!$A$3)</f>
        <v/>
      </c>
      <c r="C882">
        <f>IF(LEFT(TRIM('MSR RAW'!A882),11)="Department:",TRIM('MSR RAW'!A882),C881)</f>
        <v/>
      </c>
      <c r="D882">
        <f>IF(LEFT(TRIM('MSR RAW'!B882),9)="Location:",TRIM(MID('MSR RAW'!B882,10,999)),D881)</f>
        <v/>
      </c>
      <c r="E882">
        <f>IF(AND(ISNUMBER(SEARCH(" - ",TRIM('MSR RAW'!C882))),RIGHT(TRIM('MSR RAW'!C882),6)="Total:"),LEFT(TRIM('MSR RAW'!C882),SEARCH(" - ",TRIM('MSR RAW'!C882))-1),"")</f>
        <v/>
      </c>
      <c r="F882">
        <f>IF(E882="","",TRIM(MID(TRIM('MSR RAW'!C882),SEARCH(" - ",TRIM('MSR RAW'!C882))+3,LEN(TRIM('MSR RAW'!C882))-SEARCH(" - ",TRIM('MSR RAW'!C882))-9)))</f>
        <v/>
      </c>
      <c r="G882">
        <f>IF(E882="","",IFERROR(VLOOKUP(E882,'CATEGORY MAP'!$A$2:$B$20,2,FALSE()),"REVIEW"))</f>
        <v/>
      </c>
      <c r="H882">
        <f>IF(E882="","",IFERROR(VALUE(SUBSTITUTE('MSR RAW'!P882,",","")),0))</f>
        <v/>
      </c>
      <c r="I882">
        <f>IF(E882="","",IFERROR(VALUE(SUBSTITUTE('MSR RAW'!S882,",","")),0))</f>
        <v/>
      </c>
    </row>
    <row r="883" ht="68.65000000000001" customHeight="1" s="126">
      <c r="A883" t="n">
        <v>883</v>
      </c>
      <c r="B883" s="30">
        <f>IF('MSR RAW'!$A$3="","",'MSR RAW'!$A$3)</f>
        <v/>
      </c>
      <c r="C883">
        <f>IF(LEFT(TRIM('MSR RAW'!A883),11)="Department:",TRIM('MSR RAW'!A883),C882)</f>
        <v/>
      </c>
      <c r="D883">
        <f>IF(LEFT(TRIM('MSR RAW'!B883),9)="Location:",TRIM(MID('MSR RAW'!B883,10,999)),D882)</f>
        <v/>
      </c>
      <c r="E883">
        <f>IF(AND(ISNUMBER(SEARCH(" - ",TRIM('MSR RAW'!C883))),RIGHT(TRIM('MSR RAW'!C883),6)="Total:"),LEFT(TRIM('MSR RAW'!C883),SEARCH(" - ",TRIM('MSR RAW'!C883))-1),"")</f>
        <v/>
      </c>
      <c r="F883">
        <f>IF(E883="","",TRIM(MID(TRIM('MSR RAW'!C883),SEARCH(" - ",TRIM('MSR RAW'!C883))+3,LEN(TRIM('MSR RAW'!C883))-SEARCH(" - ",TRIM('MSR RAW'!C883))-9)))</f>
        <v/>
      </c>
      <c r="G883">
        <f>IF(E883="","",IFERROR(VLOOKUP(E883,'CATEGORY MAP'!$A$2:$B$20,2,FALSE()),"REVIEW"))</f>
        <v/>
      </c>
      <c r="H883">
        <f>IF(E883="","",IFERROR(VALUE(SUBSTITUTE('MSR RAW'!P883,",","")),0))</f>
        <v/>
      </c>
      <c r="I883">
        <f>IF(E883="","",IFERROR(VALUE(SUBSTITUTE('MSR RAW'!S883,",","")),0))</f>
        <v/>
      </c>
    </row>
    <row r="884" ht="68.65000000000001" customHeight="1" s="126">
      <c r="A884" t="n">
        <v>884</v>
      </c>
      <c r="B884" s="30">
        <f>IF('MSR RAW'!$A$3="","",'MSR RAW'!$A$3)</f>
        <v/>
      </c>
      <c r="C884">
        <f>IF(LEFT(TRIM('MSR RAW'!A884),11)="Department:",TRIM('MSR RAW'!A884),C883)</f>
        <v/>
      </c>
      <c r="D884">
        <f>IF(LEFT(TRIM('MSR RAW'!B884),9)="Location:",TRIM(MID('MSR RAW'!B884,10,999)),D883)</f>
        <v/>
      </c>
      <c r="E884">
        <f>IF(AND(ISNUMBER(SEARCH(" - ",TRIM('MSR RAW'!C884))),RIGHT(TRIM('MSR RAW'!C884),6)="Total:"),LEFT(TRIM('MSR RAW'!C884),SEARCH(" - ",TRIM('MSR RAW'!C884))-1),"")</f>
        <v/>
      </c>
      <c r="F884">
        <f>IF(E884="","",TRIM(MID(TRIM('MSR RAW'!C884),SEARCH(" - ",TRIM('MSR RAW'!C884))+3,LEN(TRIM('MSR RAW'!C884))-SEARCH(" - ",TRIM('MSR RAW'!C884))-9)))</f>
        <v/>
      </c>
      <c r="G884">
        <f>IF(E884="","",IFERROR(VLOOKUP(E884,'CATEGORY MAP'!$A$2:$B$20,2,FALSE()),"REVIEW"))</f>
        <v/>
      </c>
      <c r="H884">
        <f>IF(E884="","",IFERROR(VALUE(SUBSTITUTE('MSR RAW'!P884,",","")),0))</f>
        <v/>
      </c>
      <c r="I884">
        <f>IF(E884="","",IFERROR(VALUE(SUBSTITUTE('MSR RAW'!S884,",","")),0))</f>
        <v/>
      </c>
    </row>
    <row r="885" ht="68.65000000000001" customHeight="1" s="126">
      <c r="A885" t="n">
        <v>885</v>
      </c>
      <c r="B885" s="30">
        <f>IF('MSR RAW'!$A$3="","",'MSR RAW'!$A$3)</f>
        <v/>
      </c>
      <c r="C885">
        <f>IF(LEFT(TRIM('MSR RAW'!A885),11)="Department:",TRIM('MSR RAW'!A885),C884)</f>
        <v/>
      </c>
      <c r="D885">
        <f>IF(LEFT(TRIM('MSR RAW'!B885),9)="Location:",TRIM(MID('MSR RAW'!B885,10,999)),D884)</f>
        <v/>
      </c>
      <c r="E885">
        <f>IF(AND(ISNUMBER(SEARCH(" - ",TRIM('MSR RAW'!C885))),RIGHT(TRIM('MSR RAW'!C885),6)="Total:"),LEFT(TRIM('MSR RAW'!C885),SEARCH(" - ",TRIM('MSR RAW'!C885))-1),"")</f>
        <v/>
      </c>
      <c r="F885">
        <f>IF(E885="","",TRIM(MID(TRIM('MSR RAW'!C885),SEARCH(" - ",TRIM('MSR RAW'!C885))+3,LEN(TRIM('MSR RAW'!C885))-SEARCH(" - ",TRIM('MSR RAW'!C885))-9)))</f>
        <v/>
      </c>
      <c r="G885">
        <f>IF(E885="","",IFERROR(VLOOKUP(E885,'CATEGORY MAP'!$A$2:$B$20,2,FALSE()),"REVIEW"))</f>
        <v/>
      </c>
      <c r="H885">
        <f>IF(E885="","",IFERROR(VALUE(SUBSTITUTE('MSR RAW'!P885,",","")),0))</f>
        <v/>
      </c>
      <c r="I885">
        <f>IF(E885="","",IFERROR(VALUE(SUBSTITUTE('MSR RAW'!S885,",","")),0))</f>
        <v/>
      </c>
    </row>
    <row r="886" ht="68.65000000000001" customHeight="1" s="126">
      <c r="A886" t="n">
        <v>886</v>
      </c>
      <c r="B886" s="30">
        <f>IF('MSR RAW'!$A$3="","",'MSR RAW'!$A$3)</f>
        <v/>
      </c>
      <c r="C886">
        <f>IF(LEFT(TRIM('MSR RAW'!A886),11)="Department:",TRIM('MSR RAW'!A886),C885)</f>
        <v/>
      </c>
      <c r="D886">
        <f>IF(LEFT(TRIM('MSR RAW'!B886),9)="Location:",TRIM(MID('MSR RAW'!B886,10,999)),D885)</f>
        <v/>
      </c>
      <c r="E886">
        <f>IF(AND(ISNUMBER(SEARCH(" - ",TRIM('MSR RAW'!C886))),RIGHT(TRIM('MSR RAW'!C886),6)="Total:"),LEFT(TRIM('MSR RAW'!C886),SEARCH(" - ",TRIM('MSR RAW'!C886))-1),"")</f>
        <v/>
      </c>
      <c r="F886">
        <f>IF(E886="","",TRIM(MID(TRIM('MSR RAW'!C886),SEARCH(" - ",TRIM('MSR RAW'!C886))+3,LEN(TRIM('MSR RAW'!C886))-SEARCH(" - ",TRIM('MSR RAW'!C886))-9)))</f>
        <v/>
      </c>
      <c r="G886">
        <f>IF(E886="","",IFERROR(VLOOKUP(E886,'CATEGORY MAP'!$A$2:$B$20,2,FALSE()),"REVIEW"))</f>
        <v/>
      </c>
      <c r="H886">
        <f>IF(E886="","",IFERROR(VALUE(SUBSTITUTE('MSR RAW'!P886,",","")),0))</f>
        <v/>
      </c>
      <c r="I886">
        <f>IF(E886="","",IFERROR(VALUE(SUBSTITUTE('MSR RAW'!S886,",","")),0))</f>
        <v/>
      </c>
    </row>
    <row r="887" ht="68.65000000000001" customHeight="1" s="126">
      <c r="A887" t="n">
        <v>887</v>
      </c>
      <c r="B887" s="30">
        <f>IF('MSR RAW'!$A$3="","",'MSR RAW'!$A$3)</f>
        <v/>
      </c>
      <c r="C887">
        <f>IF(LEFT(TRIM('MSR RAW'!A887),11)="Department:",TRIM('MSR RAW'!A887),C886)</f>
        <v/>
      </c>
      <c r="D887">
        <f>IF(LEFT(TRIM('MSR RAW'!B887),9)="Location:",TRIM(MID('MSR RAW'!B887,10,999)),D886)</f>
        <v/>
      </c>
      <c r="E887">
        <f>IF(AND(ISNUMBER(SEARCH(" - ",TRIM('MSR RAW'!C887))),RIGHT(TRIM('MSR RAW'!C887),6)="Total:"),LEFT(TRIM('MSR RAW'!C887),SEARCH(" - ",TRIM('MSR RAW'!C887))-1),"")</f>
        <v/>
      </c>
      <c r="F887">
        <f>IF(E887="","",TRIM(MID(TRIM('MSR RAW'!C887),SEARCH(" - ",TRIM('MSR RAW'!C887))+3,LEN(TRIM('MSR RAW'!C887))-SEARCH(" - ",TRIM('MSR RAW'!C887))-9)))</f>
        <v/>
      </c>
      <c r="G887">
        <f>IF(E887="","",IFERROR(VLOOKUP(E887,'CATEGORY MAP'!$A$2:$B$20,2,FALSE()),"REVIEW"))</f>
        <v/>
      </c>
      <c r="H887">
        <f>IF(E887="","",IFERROR(VALUE(SUBSTITUTE('MSR RAW'!P887,",","")),0))</f>
        <v/>
      </c>
      <c r="I887">
        <f>IF(E887="","",IFERROR(VALUE(SUBSTITUTE('MSR RAW'!S887,",","")),0))</f>
        <v/>
      </c>
    </row>
    <row r="888" ht="68.65000000000001" customHeight="1" s="126">
      <c r="A888" t="n">
        <v>888</v>
      </c>
      <c r="B888" s="30">
        <f>IF('MSR RAW'!$A$3="","",'MSR RAW'!$A$3)</f>
        <v/>
      </c>
      <c r="C888">
        <f>IF(LEFT(TRIM('MSR RAW'!A888),11)="Department:",TRIM('MSR RAW'!A888),C887)</f>
        <v/>
      </c>
      <c r="D888">
        <f>IF(LEFT(TRIM('MSR RAW'!B888),9)="Location:",TRIM(MID('MSR RAW'!B888,10,999)),D887)</f>
        <v/>
      </c>
      <c r="E888">
        <f>IF(AND(ISNUMBER(SEARCH(" - ",TRIM('MSR RAW'!C888))),RIGHT(TRIM('MSR RAW'!C888),6)="Total:"),LEFT(TRIM('MSR RAW'!C888),SEARCH(" - ",TRIM('MSR RAW'!C888))-1),"")</f>
        <v/>
      </c>
      <c r="F888">
        <f>IF(E888="","",TRIM(MID(TRIM('MSR RAW'!C888),SEARCH(" - ",TRIM('MSR RAW'!C888))+3,LEN(TRIM('MSR RAW'!C888))-SEARCH(" - ",TRIM('MSR RAW'!C888))-9)))</f>
        <v/>
      </c>
      <c r="G888">
        <f>IF(E888="","",IFERROR(VLOOKUP(E888,'CATEGORY MAP'!$A$2:$B$20,2,FALSE()),"REVIEW"))</f>
        <v/>
      </c>
      <c r="H888">
        <f>IF(E888="","",IFERROR(VALUE(SUBSTITUTE('MSR RAW'!P888,",","")),0))</f>
        <v/>
      </c>
      <c r="I888">
        <f>IF(E888="","",IFERROR(VALUE(SUBSTITUTE('MSR RAW'!S888,",","")),0))</f>
        <v/>
      </c>
    </row>
    <row r="889" ht="68.65000000000001" customHeight="1" s="126">
      <c r="A889" t="n">
        <v>889</v>
      </c>
      <c r="B889" s="30">
        <f>IF('MSR RAW'!$A$3="","",'MSR RAW'!$A$3)</f>
        <v/>
      </c>
      <c r="C889">
        <f>IF(LEFT(TRIM('MSR RAW'!A889),11)="Department:",TRIM('MSR RAW'!A889),C888)</f>
        <v/>
      </c>
      <c r="D889">
        <f>IF(LEFT(TRIM('MSR RAW'!B889),9)="Location:",TRIM(MID('MSR RAW'!B889,10,999)),D888)</f>
        <v/>
      </c>
      <c r="E889">
        <f>IF(AND(ISNUMBER(SEARCH(" - ",TRIM('MSR RAW'!C889))),RIGHT(TRIM('MSR RAW'!C889),6)="Total:"),LEFT(TRIM('MSR RAW'!C889),SEARCH(" - ",TRIM('MSR RAW'!C889))-1),"")</f>
        <v/>
      </c>
      <c r="F889">
        <f>IF(E889="","",TRIM(MID(TRIM('MSR RAW'!C889),SEARCH(" - ",TRIM('MSR RAW'!C889))+3,LEN(TRIM('MSR RAW'!C889))-SEARCH(" - ",TRIM('MSR RAW'!C889))-9)))</f>
        <v/>
      </c>
      <c r="G889">
        <f>IF(E889="","",IFERROR(VLOOKUP(E889,'CATEGORY MAP'!$A$2:$B$20,2,FALSE()),"REVIEW"))</f>
        <v/>
      </c>
      <c r="H889">
        <f>IF(E889="","",IFERROR(VALUE(SUBSTITUTE('MSR RAW'!P889,",","")),0))</f>
        <v/>
      </c>
      <c r="I889">
        <f>IF(E889="","",IFERROR(VALUE(SUBSTITUTE('MSR RAW'!S889,",","")),0))</f>
        <v/>
      </c>
    </row>
    <row r="890" ht="68.65000000000001" customHeight="1" s="126">
      <c r="A890" t="n">
        <v>890</v>
      </c>
      <c r="B890" s="30">
        <f>IF('MSR RAW'!$A$3="","",'MSR RAW'!$A$3)</f>
        <v/>
      </c>
      <c r="C890">
        <f>IF(LEFT(TRIM('MSR RAW'!A890),11)="Department:",TRIM('MSR RAW'!A890),C889)</f>
        <v/>
      </c>
      <c r="D890">
        <f>IF(LEFT(TRIM('MSR RAW'!B890),9)="Location:",TRIM(MID('MSR RAW'!B890,10,999)),D889)</f>
        <v/>
      </c>
      <c r="E890">
        <f>IF(AND(ISNUMBER(SEARCH(" - ",TRIM('MSR RAW'!C890))),RIGHT(TRIM('MSR RAW'!C890),6)="Total:"),LEFT(TRIM('MSR RAW'!C890),SEARCH(" - ",TRIM('MSR RAW'!C890))-1),"")</f>
        <v/>
      </c>
      <c r="F890">
        <f>IF(E890="","",TRIM(MID(TRIM('MSR RAW'!C890),SEARCH(" - ",TRIM('MSR RAW'!C890))+3,LEN(TRIM('MSR RAW'!C890))-SEARCH(" - ",TRIM('MSR RAW'!C890))-9)))</f>
        <v/>
      </c>
      <c r="G890">
        <f>IF(E890="","",IFERROR(VLOOKUP(E890,'CATEGORY MAP'!$A$2:$B$20,2,FALSE()),"REVIEW"))</f>
        <v/>
      </c>
      <c r="H890">
        <f>IF(E890="","",IFERROR(VALUE(SUBSTITUTE('MSR RAW'!P890,",","")),0))</f>
        <v/>
      </c>
      <c r="I890">
        <f>IF(E890="","",IFERROR(VALUE(SUBSTITUTE('MSR RAW'!S890,",","")),0))</f>
        <v/>
      </c>
    </row>
    <row r="891" ht="68.65000000000001" customHeight="1" s="126">
      <c r="A891" t="n">
        <v>891</v>
      </c>
      <c r="B891" s="30">
        <f>IF('MSR RAW'!$A$3="","",'MSR RAW'!$A$3)</f>
        <v/>
      </c>
      <c r="C891">
        <f>IF(LEFT(TRIM('MSR RAW'!A891),11)="Department:",TRIM('MSR RAW'!A891),C890)</f>
        <v/>
      </c>
      <c r="D891">
        <f>IF(LEFT(TRIM('MSR RAW'!B891),9)="Location:",TRIM(MID('MSR RAW'!B891,10,999)),D890)</f>
        <v/>
      </c>
      <c r="E891">
        <f>IF(AND(ISNUMBER(SEARCH(" - ",TRIM('MSR RAW'!C891))),RIGHT(TRIM('MSR RAW'!C891),6)="Total:"),LEFT(TRIM('MSR RAW'!C891),SEARCH(" - ",TRIM('MSR RAW'!C891))-1),"")</f>
        <v/>
      </c>
      <c r="F891">
        <f>IF(E891="","",TRIM(MID(TRIM('MSR RAW'!C891),SEARCH(" - ",TRIM('MSR RAW'!C891))+3,LEN(TRIM('MSR RAW'!C891))-SEARCH(" - ",TRIM('MSR RAW'!C891))-9)))</f>
        <v/>
      </c>
      <c r="G891">
        <f>IF(E891="","",IFERROR(VLOOKUP(E891,'CATEGORY MAP'!$A$2:$B$20,2,FALSE()),"REVIEW"))</f>
        <v/>
      </c>
      <c r="H891">
        <f>IF(E891="","",IFERROR(VALUE(SUBSTITUTE('MSR RAW'!P891,",","")),0))</f>
        <v/>
      </c>
      <c r="I891">
        <f>IF(E891="","",IFERROR(VALUE(SUBSTITUTE('MSR RAW'!S891,",","")),0))</f>
        <v/>
      </c>
    </row>
    <row r="892" ht="68.65000000000001" customHeight="1" s="126">
      <c r="A892" t="n">
        <v>892</v>
      </c>
      <c r="B892" s="30">
        <f>IF('MSR RAW'!$A$3="","",'MSR RAW'!$A$3)</f>
        <v/>
      </c>
      <c r="C892">
        <f>IF(LEFT(TRIM('MSR RAW'!A892),11)="Department:",TRIM('MSR RAW'!A892),C891)</f>
        <v/>
      </c>
      <c r="D892">
        <f>IF(LEFT(TRIM('MSR RAW'!B892),9)="Location:",TRIM(MID('MSR RAW'!B892,10,999)),D891)</f>
        <v/>
      </c>
      <c r="E892">
        <f>IF(AND(ISNUMBER(SEARCH(" - ",TRIM('MSR RAW'!C892))),RIGHT(TRIM('MSR RAW'!C892),6)="Total:"),LEFT(TRIM('MSR RAW'!C892),SEARCH(" - ",TRIM('MSR RAW'!C892))-1),"")</f>
        <v/>
      </c>
      <c r="F892">
        <f>IF(E892="","",TRIM(MID(TRIM('MSR RAW'!C892),SEARCH(" - ",TRIM('MSR RAW'!C892))+3,LEN(TRIM('MSR RAW'!C892))-SEARCH(" - ",TRIM('MSR RAW'!C892))-9)))</f>
        <v/>
      </c>
      <c r="G892">
        <f>IF(E892="","",IFERROR(VLOOKUP(E892,'CATEGORY MAP'!$A$2:$B$20,2,FALSE()),"REVIEW"))</f>
        <v/>
      </c>
      <c r="H892">
        <f>IF(E892="","",IFERROR(VALUE(SUBSTITUTE('MSR RAW'!P892,",","")),0))</f>
        <v/>
      </c>
      <c r="I892">
        <f>IF(E892="","",IFERROR(VALUE(SUBSTITUTE('MSR RAW'!S892,",","")),0))</f>
        <v/>
      </c>
    </row>
    <row r="893" ht="68.65000000000001" customHeight="1" s="126">
      <c r="A893" t="n">
        <v>893</v>
      </c>
      <c r="B893" s="30">
        <f>IF('MSR RAW'!$A$3="","",'MSR RAW'!$A$3)</f>
        <v/>
      </c>
      <c r="C893">
        <f>IF(LEFT(TRIM('MSR RAW'!A893),11)="Department:",TRIM('MSR RAW'!A893),C892)</f>
        <v/>
      </c>
      <c r="D893">
        <f>IF(LEFT(TRIM('MSR RAW'!B893),9)="Location:",TRIM(MID('MSR RAW'!B893,10,999)),D892)</f>
        <v/>
      </c>
      <c r="E893">
        <f>IF(AND(ISNUMBER(SEARCH(" - ",TRIM('MSR RAW'!C893))),RIGHT(TRIM('MSR RAW'!C893),6)="Total:"),LEFT(TRIM('MSR RAW'!C893),SEARCH(" - ",TRIM('MSR RAW'!C893))-1),"")</f>
        <v/>
      </c>
      <c r="F893">
        <f>IF(E893="","",TRIM(MID(TRIM('MSR RAW'!C893),SEARCH(" - ",TRIM('MSR RAW'!C893))+3,LEN(TRIM('MSR RAW'!C893))-SEARCH(" - ",TRIM('MSR RAW'!C893))-9)))</f>
        <v/>
      </c>
      <c r="G893">
        <f>IF(E893="","",IFERROR(VLOOKUP(E893,'CATEGORY MAP'!$A$2:$B$20,2,FALSE()),"REVIEW"))</f>
        <v/>
      </c>
      <c r="H893">
        <f>IF(E893="","",IFERROR(VALUE(SUBSTITUTE('MSR RAW'!P893,",","")),0))</f>
        <v/>
      </c>
      <c r="I893">
        <f>IF(E893="","",IFERROR(VALUE(SUBSTITUTE('MSR RAW'!S893,",","")),0))</f>
        <v/>
      </c>
    </row>
    <row r="894" ht="68.65000000000001" customHeight="1" s="126">
      <c r="A894" t="n">
        <v>894</v>
      </c>
      <c r="B894" s="30">
        <f>IF('MSR RAW'!$A$3="","",'MSR RAW'!$A$3)</f>
        <v/>
      </c>
      <c r="C894">
        <f>IF(LEFT(TRIM('MSR RAW'!A894),11)="Department:",TRIM('MSR RAW'!A894),C893)</f>
        <v/>
      </c>
      <c r="D894">
        <f>IF(LEFT(TRIM('MSR RAW'!B894),9)="Location:",TRIM(MID('MSR RAW'!B894,10,999)),D893)</f>
        <v/>
      </c>
      <c r="E894">
        <f>IF(AND(ISNUMBER(SEARCH(" - ",TRIM('MSR RAW'!C894))),RIGHT(TRIM('MSR RAW'!C894),6)="Total:"),LEFT(TRIM('MSR RAW'!C894),SEARCH(" - ",TRIM('MSR RAW'!C894))-1),"")</f>
        <v/>
      </c>
      <c r="F894">
        <f>IF(E894="","",TRIM(MID(TRIM('MSR RAW'!C894),SEARCH(" - ",TRIM('MSR RAW'!C894))+3,LEN(TRIM('MSR RAW'!C894))-SEARCH(" - ",TRIM('MSR RAW'!C894))-9)))</f>
        <v/>
      </c>
      <c r="G894">
        <f>IF(E894="","",IFERROR(VLOOKUP(E894,'CATEGORY MAP'!$A$2:$B$20,2,FALSE()),"REVIEW"))</f>
        <v/>
      </c>
      <c r="H894">
        <f>IF(E894="","",IFERROR(VALUE(SUBSTITUTE('MSR RAW'!P894,",","")),0))</f>
        <v/>
      </c>
      <c r="I894">
        <f>IF(E894="","",IFERROR(VALUE(SUBSTITUTE('MSR RAW'!S894,",","")),0))</f>
        <v/>
      </c>
    </row>
    <row r="895" ht="68.65000000000001" customHeight="1" s="126">
      <c r="A895" t="n">
        <v>895</v>
      </c>
      <c r="B895" s="30">
        <f>IF('MSR RAW'!$A$3="","",'MSR RAW'!$A$3)</f>
        <v/>
      </c>
      <c r="C895">
        <f>IF(LEFT(TRIM('MSR RAW'!A895),11)="Department:",TRIM('MSR RAW'!A895),C894)</f>
        <v/>
      </c>
      <c r="D895">
        <f>IF(LEFT(TRIM('MSR RAW'!B895),9)="Location:",TRIM(MID('MSR RAW'!B895,10,999)),D894)</f>
        <v/>
      </c>
      <c r="E895">
        <f>IF(AND(ISNUMBER(SEARCH(" - ",TRIM('MSR RAW'!C895))),RIGHT(TRIM('MSR RAW'!C895),6)="Total:"),LEFT(TRIM('MSR RAW'!C895),SEARCH(" - ",TRIM('MSR RAW'!C895))-1),"")</f>
        <v/>
      </c>
      <c r="F895">
        <f>IF(E895="","",TRIM(MID(TRIM('MSR RAW'!C895),SEARCH(" - ",TRIM('MSR RAW'!C895))+3,LEN(TRIM('MSR RAW'!C895))-SEARCH(" - ",TRIM('MSR RAW'!C895))-9)))</f>
        <v/>
      </c>
      <c r="G895">
        <f>IF(E895="","",IFERROR(VLOOKUP(E895,'CATEGORY MAP'!$A$2:$B$20,2,FALSE()),"REVIEW"))</f>
        <v/>
      </c>
      <c r="H895">
        <f>IF(E895="","",IFERROR(VALUE(SUBSTITUTE('MSR RAW'!P895,",","")),0))</f>
        <v/>
      </c>
      <c r="I895">
        <f>IF(E895="","",IFERROR(VALUE(SUBSTITUTE('MSR RAW'!S895,",","")),0))</f>
        <v/>
      </c>
    </row>
    <row r="896" ht="68.65000000000001" customHeight="1" s="126">
      <c r="A896" t="n">
        <v>896</v>
      </c>
      <c r="B896" s="30">
        <f>IF('MSR RAW'!$A$3="","",'MSR RAW'!$A$3)</f>
        <v/>
      </c>
      <c r="C896">
        <f>IF(LEFT(TRIM('MSR RAW'!A896),11)="Department:",TRIM('MSR RAW'!A896),C895)</f>
        <v/>
      </c>
      <c r="D896">
        <f>IF(LEFT(TRIM('MSR RAW'!B896),9)="Location:",TRIM(MID('MSR RAW'!B896,10,999)),D895)</f>
        <v/>
      </c>
      <c r="E896">
        <f>IF(AND(ISNUMBER(SEARCH(" - ",TRIM('MSR RAW'!C896))),RIGHT(TRIM('MSR RAW'!C896),6)="Total:"),LEFT(TRIM('MSR RAW'!C896),SEARCH(" - ",TRIM('MSR RAW'!C896))-1),"")</f>
        <v/>
      </c>
      <c r="F896">
        <f>IF(E896="","",TRIM(MID(TRIM('MSR RAW'!C896),SEARCH(" - ",TRIM('MSR RAW'!C896))+3,LEN(TRIM('MSR RAW'!C896))-SEARCH(" - ",TRIM('MSR RAW'!C896))-9)))</f>
        <v/>
      </c>
      <c r="G896">
        <f>IF(E896="","",IFERROR(VLOOKUP(E896,'CATEGORY MAP'!$A$2:$B$20,2,FALSE()),"REVIEW"))</f>
        <v/>
      </c>
      <c r="H896">
        <f>IF(E896="","",IFERROR(VALUE(SUBSTITUTE('MSR RAW'!P896,",","")),0))</f>
        <v/>
      </c>
      <c r="I896">
        <f>IF(E896="","",IFERROR(VALUE(SUBSTITUTE('MSR RAW'!S896,",","")),0))</f>
        <v/>
      </c>
    </row>
    <row r="897" ht="68.65000000000001" customHeight="1" s="126">
      <c r="A897" t="n">
        <v>897</v>
      </c>
      <c r="B897" s="30">
        <f>IF('MSR RAW'!$A$3="","",'MSR RAW'!$A$3)</f>
        <v/>
      </c>
      <c r="C897">
        <f>IF(LEFT(TRIM('MSR RAW'!A897),11)="Department:",TRIM('MSR RAW'!A897),C896)</f>
        <v/>
      </c>
      <c r="D897">
        <f>IF(LEFT(TRIM('MSR RAW'!B897),9)="Location:",TRIM(MID('MSR RAW'!B897,10,999)),D896)</f>
        <v/>
      </c>
      <c r="E897">
        <f>IF(AND(ISNUMBER(SEARCH(" - ",TRIM('MSR RAW'!C897))),RIGHT(TRIM('MSR RAW'!C897),6)="Total:"),LEFT(TRIM('MSR RAW'!C897),SEARCH(" - ",TRIM('MSR RAW'!C897))-1),"")</f>
        <v/>
      </c>
      <c r="F897">
        <f>IF(E897="","",TRIM(MID(TRIM('MSR RAW'!C897),SEARCH(" - ",TRIM('MSR RAW'!C897))+3,LEN(TRIM('MSR RAW'!C897))-SEARCH(" - ",TRIM('MSR RAW'!C897))-9)))</f>
        <v/>
      </c>
      <c r="G897">
        <f>IF(E897="","",IFERROR(VLOOKUP(E897,'CATEGORY MAP'!$A$2:$B$20,2,FALSE()),"REVIEW"))</f>
        <v/>
      </c>
      <c r="H897">
        <f>IF(E897="","",IFERROR(VALUE(SUBSTITUTE('MSR RAW'!P897,",","")),0))</f>
        <v/>
      </c>
      <c r="I897">
        <f>IF(E897="","",IFERROR(VALUE(SUBSTITUTE('MSR RAW'!S897,",","")),0))</f>
        <v/>
      </c>
    </row>
    <row r="898" ht="68.65000000000001" customHeight="1" s="126">
      <c r="A898" t="n">
        <v>898</v>
      </c>
      <c r="B898" s="30">
        <f>IF('MSR RAW'!$A$3="","",'MSR RAW'!$A$3)</f>
        <v/>
      </c>
      <c r="C898">
        <f>IF(LEFT(TRIM('MSR RAW'!A898),11)="Department:",TRIM('MSR RAW'!A898),C897)</f>
        <v/>
      </c>
      <c r="D898">
        <f>IF(LEFT(TRIM('MSR RAW'!B898),9)="Location:",TRIM(MID('MSR RAW'!B898,10,999)),D897)</f>
        <v/>
      </c>
      <c r="E898">
        <f>IF(AND(ISNUMBER(SEARCH(" - ",TRIM('MSR RAW'!C898))),RIGHT(TRIM('MSR RAW'!C898),6)="Total:"),LEFT(TRIM('MSR RAW'!C898),SEARCH(" - ",TRIM('MSR RAW'!C898))-1),"")</f>
        <v/>
      </c>
      <c r="F898">
        <f>IF(E898="","",TRIM(MID(TRIM('MSR RAW'!C898),SEARCH(" - ",TRIM('MSR RAW'!C898))+3,LEN(TRIM('MSR RAW'!C898))-SEARCH(" - ",TRIM('MSR RAW'!C898))-9)))</f>
        <v/>
      </c>
      <c r="G898">
        <f>IF(E898="","",IFERROR(VLOOKUP(E898,'CATEGORY MAP'!$A$2:$B$20,2,FALSE()),"REVIEW"))</f>
        <v/>
      </c>
      <c r="H898">
        <f>IF(E898="","",IFERROR(VALUE(SUBSTITUTE('MSR RAW'!P898,",","")),0))</f>
        <v/>
      </c>
      <c r="I898">
        <f>IF(E898="","",IFERROR(VALUE(SUBSTITUTE('MSR RAW'!S898,",","")),0))</f>
        <v/>
      </c>
    </row>
    <row r="899" ht="68.65000000000001" customHeight="1" s="126">
      <c r="A899" t="n">
        <v>899</v>
      </c>
      <c r="B899" s="30">
        <f>IF('MSR RAW'!$A$3="","",'MSR RAW'!$A$3)</f>
        <v/>
      </c>
      <c r="C899">
        <f>IF(LEFT(TRIM('MSR RAW'!A899),11)="Department:",TRIM('MSR RAW'!A899),C898)</f>
        <v/>
      </c>
      <c r="D899">
        <f>IF(LEFT(TRIM('MSR RAW'!B899),9)="Location:",TRIM(MID('MSR RAW'!B899,10,999)),D898)</f>
        <v/>
      </c>
      <c r="E899">
        <f>IF(AND(ISNUMBER(SEARCH(" - ",TRIM('MSR RAW'!C899))),RIGHT(TRIM('MSR RAW'!C899),6)="Total:"),LEFT(TRIM('MSR RAW'!C899),SEARCH(" - ",TRIM('MSR RAW'!C899))-1),"")</f>
        <v/>
      </c>
      <c r="F899">
        <f>IF(E899="","",TRIM(MID(TRIM('MSR RAW'!C899),SEARCH(" - ",TRIM('MSR RAW'!C899))+3,LEN(TRIM('MSR RAW'!C899))-SEARCH(" - ",TRIM('MSR RAW'!C899))-9)))</f>
        <v/>
      </c>
      <c r="G899">
        <f>IF(E899="","",IFERROR(VLOOKUP(E899,'CATEGORY MAP'!$A$2:$B$20,2,FALSE()),"REVIEW"))</f>
        <v/>
      </c>
      <c r="H899">
        <f>IF(E899="","",IFERROR(VALUE(SUBSTITUTE('MSR RAW'!P899,",","")),0))</f>
        <v/>
      </c>
      <c r="I899">
        <f>IF(E899="","",IFERROR(VALUE(SUBSTITUTE('MSR RAW'!S899,",","")),0))</f>
        <v/>
      </c>
    </row>
    <row r="900" ht="68.65000000000001" customHeight="1" s="126">
      <c r="A900" t="n">
        <v>900</v>
      </c>
      <c r="B900" s="30">
        <f>IF('MSR RAW'!$A$3="","",'MSR RAW'!$A$3)</f>
        <v/>
      </c>
      <c r="C900">
        <f>IF(LEFT(TRIM('MSR RAW'!A900),11)="Department:",TRIM('MSR RAW'!A900),C899)</f>
        <v/>
      </c>
      <c r="D900">
        <f>IF(LEFT(TRIM('MSR RAW'!B900),9)="Location:",TRIM(MID('MSR RAW'!B900,10,999)),D899)</f>
        <v/>
      </c>
      <c r="E900">
        <f>IF(AND(ISNUMBER(SEARCH(" - ",TRIM('MSR RAW'!C900))),RIGHT(TRIM('MSR RAW'!C900),6)="Total:"),LEFT(TRIM('MSR RAW'!C900),SEARCH(" - ",TRIM('MSR RAW'!C900))-1),"")</f>
        <v/>
      </c>
      <c r="F900">
        <f>IF(E900="","",TRIM(MID(TRIM('MSR RAW'!C900),SEARCH(" - ",TRIM('MSR RAW'!C900))+3,LEN(TRIM('MSR RAW'!C900))-SEARCH(" - ",TRIM('MSR RAW'!C900))-9)))</f>
        <v/>
      </c>
      <c r="G900">
        <f>IF(E900="","",IFERROR(VLOOKUP(E900,'CATEGORY MAP'!$A$2:$B$20,2,FALSE()),"REVIEW"))</f>
        <v/>
      </c>
      <c r="H900">
        <f>IF(E900="","",IFERROR(VALUE(SUBSTITUTE('MSR RAW'!P900,",","")),0))</f>
        <v/>
      </c>
      <c r="I900">
        <f>IF(E900="","",IFERROR(VALUE(SUBSTITUTE('MSR RAW'!S900,",","")),0))</f>
        <v/>
      </c>
    </row>
    <row r="901" ht="68.65000000000001" customHeight="1" s="126">
      <c r="A901" t="n">
        <v>901</v>
      </c>
      <c r="B901" s="30">
        <f>IF('MSR RAW'!$A$3="","",'MSR RAW'!$A$3)</f>
        <v/>
      </c>
      <c r="C901">
        <f>IF(LEFT(TRIM('MSR RAW'!A901),11)="Department:",TRIM('MSR RAW'!A901),C900)</f>
        <v/>
      </c>
      <c r="D901">
        <f>IF(LEFT(TRIM('MSR RAW'!B901),9)="Location:",TRIM(MID('MSR RAW'!B901,10,999)),D900)</f>
        <v/>
      </c>
      <c r="E901">
        <f>IF(AND(ISNUMBER(SEARCH(" - ",TRIM('MSR RAW'!C901))),RIGHT(TRIM('MSR RAW'!C901),6)="Total:"),LEFT(TRIM('MSR RAW'!C901),SEARCH(" - ",TRIM('MSR RAW'!C901))-1),"")</f>
        <v/>
      </c>
      <c r="F901">
        <f>IF(E901="","",TRIM(MID(TRIM('MSR RAW'!C901),SEARCH(" - ",TRIM('MSR RAW'!C901))+3,LEN(TRIM('MSR RAW'!C901))-SEARCH(" - ",TRIM('MSR RAW'!C901))-9)))</f>
        <v/>
      </c>
      <c r="G901">
        <f>IF(E901="","",IFERROR(VLOOKUP(E901,'CATEGORY MAP'!$A$2:$B$20,2,FALSE()),"REVIEW"))</f>
        <v/>
      </c>
      <c r="H901">
        <f>IF(E901="","",IFERROR(VALUE(SUBSTITUTE('MSR RAW'!P901,",","")),0))</f>
        <v/>
      </c>
      <c r="I901">
        <f>IF(E901="","",IFERROR(VALUE(SUBSTITUTE('MSR RAW'!S901,",","")),0))</f>
        <v/>
      </c>
    </row>
    <row r="902" ht="68.65000000000001" customHeight="1" s="126">
      <c r="A902" t="n">
        <v>902</v>
      </c>
      <c r="B902" s="30">
        <f>IF('MSR RAW'!$A$3="","",'MSR RAW'!$A$3)</f>
        <v/>
      </c>
      <c r="C902">
        <f>IF(LEFT(TRIM('MSR RAW'!A902),11)="Department:",TRIM('MSR RAW'!A902),C901)</f>
        <v/>
      </c>
      <c r="D902">
        <f>IF(LEFT(TRIM('MSR RAW'!B902),9)="Location:",TRIM(MID('MSR RAW'!B902,10,999)),D901)</f>
        <v/>
      </c>
      <c r="E902">
        <f>IF(AND(ISNUMBER(SEARCH(" - ",TRIM('MSR RAW'!C902))),RIGHT(TRIM('MSR RAW'!C902),6)="Total:"),LEFT(TRIM('MSR RAW'!C902),SEARCH(" - ",TRIM('MSR RAW'!C902))-1),"")</f>
        <v/>
      </c>
      <c r="F902">
        <f>IF(E902="","",TRIM(MID(TRIM('MSR RAW'!C902),SEARCH(" - ",TRIM('MSR RAW'!C902))+3,LEN(TRIM('MSR RAW'!C902))-SEARCH(" - ",TRIM('MSR RAW'!C902))-9)))</f>
        <v/>
      </c>
      <c r="G902">
        <f>IF(E902="","",IFERROR(VLOOKUP(E902,'CATEGORY MAP'!$A$2:$B$20,2,FALSE()),"REVIEW"))</f>
        <v/>
      </c>
      <c r="H902">
        <f>IF(E902="","",IFERROR(VALUE(SUBSTITUTE('MSR RAW'!P902,",","")),0))</f>
        <v/>
      </c>
      <c r="I902">
        <f>IF(E902="","",IFERROR(VALUE(SUBSTITUTE('MSR RAW'!S902,",","")),0))</f>
        <v/>
      </c>
    </row>
    <row r="903" ht="68.65000000000001" customHeight="1" s="126">
      <c r="A903" t="n">
        <v>903</v>
      </c>
      <c r="B903" s="30">
        <f>IF('MSR RAW'!$A$3="","",'MSR RAW'!$A$3)</f>
        <v/>
      </c>
      <c r="C903">
        <f>IF(LEFT(TRIM('MSR RAW'!A903),11)="Department:",TRIM('MSR RAW'!A903),C902)</f>
        <v/>
      </c>
      <c r="D903">
        <f>IF(LEFT(TRIM('MSR RAW'!B903),9)="Location:",TRIM(MID('MSR RAW'!B903,10,999)),D902)</f>
        <v/>
      </c>
      <c r="E903">
        <f>IF(AND(ISNUMBER(SEARCH(" - ",TRIM('MSR RAW'!C903))),RIGHT(TRIM('MSR RAW'!C903),6)="Total:"),LEFT(TRIM('MSR RAW'!C903),SEARCH(" - ",TRIM('MSR RAW'!C903))-1),"")</f>
        <v/>
      </c>
      <c r="F903">
        <f>IF(E903="","",TRIM(MID(TRIM('MSR RAW'!C903),SEARCH(" - ",TRIM('MSR RAW'!C903))+3,LEN(TRIM('MSR RAW'!C903))-SEARCH(" - ",TRIM('MSR RAW'!C903))-9)))</f>
        <v/>
      </c>
      <c r="G903">
        <f>IF(E903="","",IFERROR(VLOOKUP(E903,'CATEGORY MAP'!$A$2:$B$20,2,FALSE()),"REVIEW"))</f>
        <v/>
      </c>
      <c r="H903">
        <f>IF(E903="","",IFERROR(VALUE(SUBSTITUTE('MSR RAW'!P903,",","")),0))</f>
        <v/>
      </c>
      <c r="I903">
        <f>IF(E903="","",IFERROR(VALUE(SUBSTITUTE('MSR RAW'!S903,",","")),0))</f>
        <v/>
      </c>
    </row>
    <row r="904" ht="68.65000000000001" customHeight="1" s="126">
      <c r="A904" t="n">
        <v>904</v>
      </c>
      <c r="B904" s="30">
        <f>IF('MSR RAW'!$A$3="","",'MSR RAW'!$A$3)</f>
        <v/>
      </c>
      <c r="C904">
        <f>IF(LEFT(TRIM('MSR RAW'!A904),11)="Department:",TRIM('MSR RAW'!A904),C903)</f>
        <v/>
      </c>
      <c r="D904">
        <f>IF(LEFT(TRIM('MSR RAW'!B904),9)="Location:",TRIM(MID('MSR RAW'!B904,10,999)),D903)</f>
        <v/>
      </c>
      <c r="E904">
        <f>IF(AND(ISNUMBER(SEARCH(" - ",TRIM('MSR RAW'!C904))),RIGHT(TRIM('MSR RAW'!C904),6)="Total:"),LEFT(TRIM('MSR RAW'!C904),SEARCH(" - ",TRIM('MSR RAW'!C904))-1),"")</f>
        <v/>
      </c>
      <c r="F904">
        <f>IF(E904="","",TRIM(MID(TRIM('MSR RAW'!C904),SEARCH(" - ",TRIM('MSR RAW'!C904))+3,LEN(TRIM('MSR RAW'!C904))-SEARCH(" - ",TRIM('MSR RAW'!C904))-9)))</f>
        <v/>
      </c>
      <c r="G904">
        <f>IF(E904="","",IFERROR(VLOOKUP(E904,'CATEGORY MAP'!$A$2:$B$20,2,FALSE()),"REVIEW"))</f>
        <v/>
      </c>
      <c r="H904">
        <f>IF(E904="","",IFERROR(VALUE(SUBSTITUTE('MSR RAW'!P904,",","")),0))</f>
        <v/>
      </c>
      <c r="I904">
        <f>IF(E904="","",IFERROR(VALUE(SUBSTITUTE('MSR RAW'!S904,",","")),0))</f>
        <v/>
      </c>
    </row>
    <row r="905" ht="68.65000000000001" customHeight="1" s="126">
      <c r="A905" t="n">
        <v>905</v>
      </c>
      <c r="B905" s="30">
        <f>IF('MSR RAW'!$A$3="","",'MSR RAW'!$A$3)</f>
        <v/>
      </c>
      <c r="C905">
        <f>IF(LEFT(TRIM('MSR RAW'!A905),11)="Department:",TRIM('MSR RAW'!A905),C904)</f>
        <v/>
      </c>
      <c r="D905">
        <f>IF(LEFT(TRIM('MSR RAW'!B905),9)="Location:",TRIM(MID('MSR RAW'!B905,10,999)),D904)</f>
        <v/>
      </c>
      <c r="E905">
        <f>IF(AND(ISNUMBER(SEARCH(" - ",TRIM('MSR RAW'!C905))),RIGHT(TRIM('MSR RAW'!C905),6)="Total:"),LEFT(TRIM('MSR RAW'!C905),SEARCH(" - ",TRIM('MSR RAW'!C905))-1),"")</f>
        <v/>
      </c>
      <c r="F905">
        <f>IF(E905="","",TRIM(MID(TRIM('MSR RAW'!C905),SEARCH(" - ",TRIM('MSR RAW'!C905))+3,LEN(TRIM('MSR RAW'!C905))-SEARCH(" - ",TRIM('MSR RAW'!C905))-9)))</f>
        <v/>
      </c>
      <c r="G905">
        <f>IF(E905="","",IFERROR(VLOOKUP(E905,'CATEGORY MAP'!$A$2:$B$20,2,FALSE()),"REVIEW"))</f>
        <v/>
      </c>
      <c r="H905">
        <f>IF(E905="","",IFERROR(VALUE(SUBSTITUTE('MSR RAW'!P905,",","")),0))</f>
        <v/>
      </c>
      <c r="I905">
        <f>IF(E905="","",IFERROR(VALUE(SUBSTITUTE('MSR RAW'!S905,",","")),0))</f>
        <v/>
      </c>
    </row>
    <row r="906" ht="68.65000000000001" customHeight="1" s="126">
      <c r="A906" t="n">
        <v>906</v>
      </c>
      <c r="B906" s="30">
        <f>IF('MSR RAW'!$A$3="","",'MSR RAW'!$A$3)</f>
        <v/>
      </c>
      <c r="C906">
        <f>IF(LEFT(TRIM('MSR RAW'!A906),11)="Department:",TRIM('MSR RAW'!A906),C905)</f>
        <v/>
      </c>
      <c r="D906">
        <f>IF(LEFT(TRIM('MSR RAW'!B906),9)="Location:",TRIM(MID('MSR RAW'!B906,10,999)),D905)</f>
        <v/>
      </c>
      <c r="E906">
        <f>IF(AND(ISNUMBER(SEARCH(" - ",TRIM('MSR RAW'!C906))),RIGHT(TRIM('MSR RAW'!C906),6)="Total:"),LEFT(TRIM('MSR RAW'!C906),SEARCH(" - ",TRIM('MSR RAW'!C906))-1),"")</f>
        <v/>
      </c>
      <c r="F906">
        <f>IF(E906="","",TRIM(MID(TRIM('MSR RAW'!C906),SEARCH(" - ",TRIM('MSR RAW'!C906))+3,LEN(TRIM('MSR RAW'!C906))-SEARCH(" - ",TRIM('MSR RAW'!C906))-9)))</f>
        <v/>
      </c>
      <c r="G906">
        <f>IF(E906="","",IFERROR(VLOOKUP(E906,'CATEGORY MAP'!$A$2:$B$20,2,FALSE()),"REVIEW"))</f>
        <v/>
      </c>
      <c r="H906">
        <f>IF(E906="","",IFERROR(VALUE(SUBSTITUTE('MSR RAW'!P906,",","")),0))</f>
        <v/>
      </c>
      <c r="I906">
        <f>IF(E906="","",IFERROR(VALUE(SUBSTITUTE('MSR RAW'!S906,",","")),0))</f>
        <v/>
      </c>
    </row>
    <row r="907" ht="68.65000000000001" customHeight="1" s="126">
      <c r="A907" t="n">
        <v>907</v>
      </c>
      <c r="B907" s="30">
        <f>IF('MSR RAW'!$A$3="","",'MSR RAW'!$A$3)</f>
        <v/>
      </c>
      <c r="C907">
        <f>IF(LEFT(TRIM('MSR RAW'!A907),11)="Department:",TRIM('MSR RAW'!A907),C906)</f>
        <v/>
      </c>
      <c r="D907">
        <f>IF(LEFT(TRIM('MSR RAW'!B907),9)="Location:",TRIM(MID('MSR RAW'!B907,10,999)),D906)</f>
        <v/>
      </c>
      <c r="E907">
        <f>IF(AND(ISNUMBER(SEARCH(" - ",TRIM('MSR RAW'!C907))),RIGHT(TRIM('MSR RAW'!C907),6)="Total:"),LEFT(TRIM('MSR RAW'!C907),SEARCH(" - ",TRIM('MSR RAW'!C907))-1),"")</f>
        <v/>
      </c>
      <c r="F907">
        <f>IF(E907="","",TRIM(MID(TRIM('MSR RAW'!C907),SEARCH(" - ",TRIM('MSR RAW'!C907))+3,LEN(TRIM('MSR RAW'!C907))-SEARCH(" - ",TRIM('MSR RAW'!C907))-9)))</f>
        <v/>
      </c>
      <c r="G907">
        <f>IF(E907="","",IFERROR(VLOOKUP(E907,'CATEGORY MAP'!$A$2:$B$20,2,FALSE()),"REVIEW"))</f>
        <v/>
      </c>
      <c r="H907">
        <f>IF(E907="","",IFERROR(VALUE(SUBSTITUTE('MSR RAW'!P907,",","")),0))</f>
        <v/>
      </c>
      <c r="I907">
        <f>IF(E907="","",IFERROR(VALUE(SUBSTITUTE('MSR RAW'!S907,",","")),0))</f>
        <v/>
      </c>
    </row>
    <row r="908" ht="68.65000000000001" customHeight="1" s="126">
      <c r="A908" t="n">
        <v>908</v>
      </c>
      <c r="B908" s="30">
        <f>IF('MSR RAW'!$A$3="","",'MSR RAW'!$A$3)</f>
        <v/>
      </c>
      <c r="C908">
        <f>IF(LEFT(TRIM('MSR RAW'!A908),11)="Department:",TRIM('MSR RAW'!A908),C907)</f>
        <v/>
      </c>
      <c r="D908">
        <f>IF(LEFT(TRIM('MSR RAW'!B908),9)="Location:",TRIM(MID('MSR RAW'!B908,10,999)),D907)</f>
        <v/>
      </c>
      <c r="E908">
        <f>IF(AND(ISNUMBER(SEARCH(" - ",TRIM('MSR RAW'!C908))),RIGHT(TRIM('MSR RAW'!C908),6)="Total:"),LEFT(TRIM('MSR RAW'!C908),SEARCH(" - ",TRIM('MSR RAW'!C908))-1),"")</f>
        <v/>
      </c>
      <c r="F908">
        <f>IF(E908="","",TRIM(MID(TRIM('MSR RAW'!C908),SEARCH(" - ",TRIM('MSR RAW'!C908))+3,LEN(TRIM('MSR RAW'!C908))-SEARCH(" - ",TRIM('MSR RAW'!C908))-9)))</f>
        <v/>
      </c>
      <c r="G908">
        <f>IF(E908="","",IFERROR(VLOOKUP(E908,'CATEGORY MAP'!$A$2:$B$20,2,FALSE()),"REVIEW"))</f>
        <v/>
      </c>
      <c r="H908">
        <f>IF(E908="","",IFERROR(VALUE(SUBSTITUTE('MSR RAW'!P908,",","")),0))</f>
        <v/>
      </c>
      <c r="I908">
        <f>IF(E908="","",IFERROR(VALUE(SUBSTITUTE('MSR RAW'!S908,",","")),0))</f>
        <v/>
      </c>
    </row>
    <row r="909" ht="68.65000000000001" customHeight="1" s="126">
      <c r="A909" t="n">
        <v>909</v>
      </c>
      <c r="B909" s="30">
        <f>IF('MSR RAW'!$A$3="","",'MSR RAW'!$A$3)</f>
        <v/>
      </c>
      <c r="C909">
        <f>IF(LEFT(TRIM('MSR RAW'!A909),11)="Department:",TRIM('MSR RAW'!A909),C908)</f>
        <v/>
      </c>
      <c r="D909">
        <f>IF(LEFT(TRIM('MSR RAW'!B909),9)="Location:",TRIM(MID('MSR RAW'!B909,10,999)),D908)</f>
        <v/>
      </c>
      <c r="E909">
        <f>IF(AND(ISNUMBER(SEARCH(" - ",TRIM('MSR RAW'!C909))),RIGHT(TRIM('MSR RAW'!C909),6)="Total:"),LEFT(TRIM('MSR RAW'!C909),SEARCH(" - ",TRIM('MSR RAW'!C909))-1),"")</f>
        <v/>
      </c>
      <c r="F909">
        <f>IF(E909="","",TRIM(MID(TRIM('MSR RAW'!C909),SEARCH(" - ",TRIM('MSR RAW'!C909))+3,LEN(TRIM('MSR RAW'!C909))-SEARCH(" - ",TRIM('MSR RAW'!C909))-9)))</f>
        <v/>
      </c>
      <c r="G909">
        <f>IF(E909="","",IFERROR(VLOOKUP(E909,'CATEGORY MAP'!$A$2:$B$20,2,FALSE()),"REVIEW"))</f>
        <v/>
      </c>
      <c r="H909">
        <f>IF(E909="","",IFERROR(VALUE(SUBSTITUTE('MSR RAW'!P909,",","")),0))</f>
        <v/>
      </c>
      <c r="I909">
        <f>IF(E909="","",IFERROR(VALUE(SUBSTITUTE('MSR RAW'!S909,",","")),0))</f>
        <v/>
      </c>
    </row>
    <row r="910" ht="68.65000000000001" customHeight="1" s="126">
      <c r="A910" t="n">
        <v>910</v>
      </c>
      <c r="B910" s="30">
        <f>IF('MSR RAW'!$A$3="","",'MSR RAW'!$A$3)</f>
        <v/>
      </c>
      <c r="C910">
        <f>IF(LEFT(TRIM('MSR RAW'!A910),11)="Department:",TRIM('MSR RAW'!A910),C909)</f>
        <v/>
      </c>
      <c r="D910">
        <f>IF(LEFT(TRIM('MSR RAW'!B910),9)="Location:",TRIM(MID('MSR RAW'!B910,10,999)),D909)</f>
        <v/>
      </c>
      <c r="E910">
        <f>IF(AND(ISNUMBER(SEARCH(" - ",TRIM('MSR RAW'!C910))),RIGHT(TRIM('MSR RAW'!C910),6)="Total:"),LEFT(TRIM('MSR RAW'!C910),SEARCH(" - ",TRIM('MSR RAW'!C910))-1),"")</f>
        <v/>
      </c>
      <c r="F910">
        <f>IF(E910="","",TRIM(MID(TRIM('MSR RAW'!C910),SEARCH(" - ",TRIM('MSR RAW'!C910))+3,LEN(TRIM('MSR RAW'!C910))-SEARCH(" - ",TRIM('MSR RAW'!C910))-9)))</f>
        <v/>
      </c>
      <c r="G910">
        <f>IF(E910="","",IFERROR(VLOOKUP(E910,'CATEGORY MAP'!$A$2:$B$20,2,FALSE()),"REVIEW"))</f>
        <v/>
      </c>
      <c r="H910">
        <f>IF(E910="","",IFERROR(VALUE(SUBSTITUTE('MSR RAW'!P910,",","")),0))</f>
        <v/>
      </c>
      <c r="I910">
        <f>IF(E910="","",IFERROR(VALUE(SUBSTITUTE('MSR RAW'!S910,",","")),0))</f>
        <v/>
      </c>
    </row>
    <row r="911" ht="68.65000000000001" customHeight="1" s="126">
      <c r="A911" t="n">
        <v>911</v>
      </c>
      <c r="B911" s="30">
        <f>IF('MSR RAW'!$A$3="","",'MSR RAW'!$A$3)</f>
        <v/>
      </c>
      <c r="C911">
        <f>IF(LEFT(TRIM('MSR RAW'!A911),11)="Department:",TRIM('MSR RAW'!A911),C910)</f>
        <v/>
      </c>
      <c r="D911">
        <f>IF(LEFT(TRIM('MSR RAW'!B911),9)="Location:",TRIM(MID('MSR RAW'!B911,10,999)),D910)</f>
        <v/>
      </c>
      <c r="E911">
        <f>IF(AND(ISNUMBER(SEARCH(" - ",TRIM('MSR RAW'!C911))),RIGHT(TRIM('MSR RAW'!C911),6)="Total:"),LEFT(TRIM('MSR RAW'!C911),SEARCH(" - ",TRIM('MSR RAW'!C911))-1),"")</f>
        <v/>
      </c>
      <c r="F911">
        <f>IF(E911="","",TRIM(MID(TRIM('MSR RAW'!C911),SEARCH(" - ",TRIM('MSR RAW'!C911))+3,LEN(TRIM('MSR RAW'!C911))-SEARCH(" - ",TRIM('MSR RAW'!C911))-9)))</f>
        <v/>
      </c>
      <c r="G911">
        <f>IF(E911="","",IFERROR(VLOOKUP(E911,'CATEGORY MAP'!$A$2:$B$20,2,FALSE()),"REVIEW"))</f>
        <v/>
      </c>
      <c r="H911">
        <f>IF(E911="","",IFERROR(VALUE(SUBSTITUTE('MSR RAW'!P911,",","")),0))</f>
        <v/>
      </c>
      <c r="I911">
        <f>IF(E911="","",IFERROR(VALUE(SUBSTITUTE('MSR RAW'!S911,",","")),0))</f>
        <v/>
      </c>
    </row>
    <row r="912" ht="68.65000000000001" customHeight="1" s="126">
      <c r="A912" t="n">
        <v>912</v>
      </c>
      <c r="B912" s="30">
        <f>IF('MSR RAW'!$A$3="","",'MSR RAW'!$A$3)</f>
        <v/>
      </c>
      <c r="C912">
        <f>IF(LEFT(TRIM('MSR RAW'!A912),11)="Department:",TRIM('MSR RAW'!A912),C911)</f>
        <v/>
      </c>
      <c r="D912">
        <f>IF(LEFT(TRIM('MSR RAW'!B912),9)="Location:",TRIM(MID('MSR RAW'!B912,10,999)),D911)</f>
        <v/>
      </c>
      <c r="E912">
        <f>IF(AND(ISNUMBER(SEARCH(" - ",TRIM('MSR RAW'!C912))),RIGHT(TRIM('MSR RAW'!C912),6)="Total:"),LEFT(TRIM('MSR RAW'!C912),SEARCH(" - ",TRIM('MSR RAW'!C912))-1),"")</f>
        <v/>
      </c>
      <c r="F912">
        <f>IF(E912="","",TRIM(MID(TRIM('MSR RAW'!C912),SEARCH(" - ",TRIM('MSR RAW'!C912))+3,LEN(TRIM('MSR RAW'!C912))-SEARCH(" - ",TRIM('MSR RAW'!C912))-9)))</f>
        <v/>
      </c>
      <c r="G912">
        <f>IF(E912="","",IFERROR(VLOOKUP(E912,'CATEGORY MAP'!$A$2:$B$20,2,FALSE()),"REVIEW"))</f>
        <v/>
      </c>
      <c r="H912">
        <f>IF(E912="","",IFERROR(VALUE(SUBSTITUTE('MSR RAW'!P912,",","")),0))</f>
        <v/>
      </c>
      <c r="I912">
        <f>IF(E912="","",IFERROR(VALUE(SUBSTITUTE('MSR RAW'!S912,",","")),0))</f>
        <v/>
      </c>
    </row>
    <row r="913" ht="68.65000000000001" customHeight="1" s="126">
      <c r="A913" t="n">
        <v>913</v>
      </c>
      <c r="B913" s="30">
        <f>IF('MSR RAW'!$A$3="","",'MSR RAW'!$A$3)</f>
        <v/>
      </c>
      <c r="C913">
        <f>IF(LEFT(TRIM('MSR RAW'!A913),11)="Department:",TRIM('MSR RAW'!A913),C912)</f>
        <v/>
      </c>
      <c r="D913">
        <f>IF(LEFT(TRIM('MSR RAW'!B913),9)="Location:",TRIM(MID('MSR RAW'!B913,10,999)),D912)</f>
        <v/>
      </c>
      <c r="E913">
        <f>IF(AND(ISNUMBER(SEARCH(" - ",TRIM('MSR RAW'!C913))),RIGHT(TRIM('MSR RAW'!C913),6)="Total:"),LEFT(TRIM('MSR RAW'!C913),SEARCH(" - ",TRIM('MSR RAW'!C913))-1),"")</f>
        <v/>
      </c>
      <c r="F913">
        <f>IF(E913="","",TRIM(MID(TRIM('MSR RAW'!C913),SEARCH(" - ",TRIM('MSR RAW'!C913))+3,LEN(TRIM('MSR RAW'!C913))-SEARCH(" - ",TRIM('MSR RAW'!C913))-9)))</f>
        <v/>
      </c>
      <c r="G913">
        <f>IF(E913="","",IFERROR(VLOOKUP(E913,'CATEGORY MAP'!$A$2:$B$20,2,FALSE()),"REVIEW"))</f>
        <v/>
      </c>
      <c r="H913">
        <f>IF(E913="","",IFERROR(VALUE(SUBSTITUTE('MSR RAW'!P913,",","")),0))</f>
        <v/>
      </c>
      <c r="I913">
        <f>IF(E913="","",IFERROR(VALUE(SUBSTITUTE('MSR RAW'!S913,",","")),0))</f>
        <v/>
      </c>
    </row>
    <row r="914" ht="68.65000000000001" customHeight="1" s="126">
      <c r="A914" t="n">
        <v>914</v>
      </c>
      <c r="B914" s="30">
        <f>IF('MSR RAW'!$A$3="","",'MSR RAW'!$A$3)</f>
        <v/>
      </c>
      <c r="C914">
        <f>IF(LEFT(TRIM('MSR RAW'!A914),11)="Department:",TRIM('MSR RAW'!A914),C913)</f>
        <v/>
      </c>
      <c r="D914">
        <f>IF(LEFT(TRIM('MSR RAW'!B914),9)="Location:",TRIM(MID('MSR RAW'!B914,10,999)),D913)</f>
        <v/>
      </c>
      <c r="E914">
        <f>IF(AND(ISNUMBER(SEARCH(" - ",TRIM('MSR RAW'!C914))),RIGHT(TRIM('MSR RAW'!C914),6)="Total:"),LEFT(TRIM('MSR RAW'!C914),SEARCH(" - ",TRIM('MSR RAW'!C914))-1),"")</f>
        <v/>
      </c>
      <c r="F914">
        <f>IF(E914="","",TRIM(MID(TRIM('MSR RAW'!C914),SEARCH(" - ",TRIM('MSR RAW'!C914))+3,LEN(TRIM('MSR RAW'!C914))-SEARCH(" - ",TRIM('MSR RAW'!C914))-9)))</f>
        <v/>
      </c>
      <c r="G914">
        <f>IF(E914="","",IFERROR(VLOOKUP(E914,'CATEGORY MAP'!$A$2:$B$20,2,FALSE()),"REVIEW"))</f>
        <v/>
      </c>
      <c r="H914">
        <f>IF(E914="","",IFERROR(VALUE(SUBSTITUTE('MSR RAW'!P914,",","")),0))</f>
        <v/>
      </c>
      <c r="I914">
        <f>IF(E914="","",IFERROR(VALUE(SUBSTITUTE('MSR RAW'!S914,",","")),0))</f>
        <v/>
      </c>
    </row>
    <row r="915" ht="68.65000000000001" customHeight="1" s="126">
      <c r="A915" t="n">
        <v>915</v>
      </c>
      <c r="B915" s="30">
        <f>IF('MSR RAW'!$A$3="","",'MSR RAW'!$A$3)</f>
        <v/>
      </c>
      <c r="C915">
        <f>IF(LEFT(TRIM('MSR RAW'!A915),11)="Department:",TRIM('MSR RAW'!A915),C914)</f>
        <v/>
      </c>
      <c r="D915">
        <f>IF(LEFT(TRIM('MSR RAW'!B915),9)="Location:",TRIM(MID('MSR RAW'!B915,10,999)),D914)</f>
        <v/>
      </c>
      <c r="E915">
        <f>IF(AND(ISNUMBER(SEARCH(" - ",TRIM('MSR RAW'!C915))),RIGHT(TRIM('MSR RAW'!C915),6)="Total:"),LEFT(TRIM('MSR RAW'!C915),SEARCH(" - ",TRIM('MSR RAW'!C915))-1),"")</f>
        <v/>
      </c>
      <c r="F915">
        <f>IF(E915="","",TRIM(MID(TRIM('MSR RAW'!C915),SEARCH(" - ",TRIM('MSR RAW'!C915))+3,LEN(TRIM('MSR RAW'!C915))-SEARCH(" - ",TRIM('MSR RAW'!C915))-9)))</f>
        <v/>
      </c>
      <c r="G915">
        <f>IF(E915="","",IFERROR(VLOOKUP(E915,'CATEGORY MAP'!$A$2:$B$20,2,FALSE()),"REVIEW"))</f>
        <v/>
      </c>
      <c r="H915">
        <f>IF(E915="","",IFERROR(VALUE(SUBSTITUTE('MSR RAW'!P915,",","")),0))</f>
        <v/>
      </c>
      <c r="I915">
        <f>IF(E915="","",IFERROR(VALUE(SUBSTITUTE('MSR RAW'!S915,",","")),0))</f>
        <v/>
      </c>
    </row>
    <row r="916" ht="68.65000000000001" customHeight="1" s="126">
      <c r="A916" t="n">
        <v>916</v>
      </c>
      <c r="B916" s="30">
        <f>IF('MSR RAW'!$A$3="","",'MSR RAW'!$A$3)</f>
        <v/>
      </c>
      <c r="C916">
        <f>IF(LEFT(TRIM('MSR RAW'!A916),11)="Department:",TRIM('MSR RAW'!A916),C915)</f>
        <v/>
      </c>
      <c r="D916">
        <f>IF(LEFT(TRIM('MSR RAW'!B916),9)="Location:",TRIM(MID('MSR RAW'!B916,10,999)),D915)</f>
        <v/>
      </c>
      <c r="E916">
        <f>IF(AND(ISNUMBER(SEARCH(" - ",TRIM('MSR RAW'!C916))),RIGHT(TRIM('MSR RAW'!C916),6)="Total:"),LEFT(TRIM('MSR RAW'!C916),SEARCH(" - ",TRIM('MSR RAW'!C916))-1),"")</f>
        <v/>
      </c>
      <c r="F916">
        <f>IF(E916="","",TRIM(MID(TRIM('MSR RAW'!C916),SEARCH(" - ",TRIM('MSR RAW'!C916))+3,LEN(TRIM('MSR RAW'!C916))-SEARCH(" - ",TRIM('MSR RAW'!C916))-9)))</f>
        <v/>
      </c>
      <c r="G916">
        <f>IF(E916="","",IFERROR(VLOOKUP(E916,'CATEGORY MAP'!$A$2:$B$20,2,FALSE()),"REVIEW"))</f>
        <v/>
      </c>
      <c r="H916">
        <f>IF(E916="","",IFERROR(VALUE(SUBSTITUTE('MSR RAW'!P916,",","")),0))</f>
        <v/>
      </c>
      <c r="I916">
        <f>IF(E916="","",IFERROR(VALUE(SUBSTITUTE('MSR RAW'!S916,",","")),0))</f>
        <v/>
      </c>
    </row>
    <row r="917" ht="68.65000000000001" customHeight="1" s="126">
      <c r="A917" t="n">
        <v>917</v>
      </c>
      <c r="B917" s="30">
        <f>IF('MSR RAW'!$A$3="","",'MSR RAW'!$A$3)</f>
        <v/>
      </c>
      <c r="C917">
        <f>IF(LEFT(TRIM('MSR RAW'!A917),11)="Department:",TRIM('MSR RAW'!A917),C916)</f>
        <v/>
      </c>
      <c r="D917">
        <f>IF(LEFT(TRIM('MSR RAW'!B917),9)="Location:",TRIM(MID('MSR RAW'!B917,10,999)),D916)</f>
        <v/>
      </c>
      <c r="E917">
        <f>IF(AND(ISNUMBER(SEARCH(" - ",TRIM('MSR RAW'!C917))),RIGHT(TRIM('MSR RAW'!C917),6)="Total:"),LEFT(TRIM('MSR RAW'!C917),SEARCH(" - ",TRIM('MSR RAW'!C917))-1),"")</f>
        <v/>
      </c>
      <c r="F917">
        <f>IF(E917="","",TRIM(MID(TRIM('MSR RAW'!C917),SEARCH(" - ",TRIM('MSR RAW'!C917))+3,LEN(TRIM('MSR RAW'!C917))-SEARCH(" - ",TRIM('MSR RAW'!C917))-9)))</f>
        <v/>
      </c>
      <c r="G917">
        <f>IF(E917="","",IFERROR(VLOOKUP(E917,'CATEGORY MAP'!$A$2:$B$20,2,FALSE()),"REVIEW"))</f>
        <v/>
      </c>
      <c r="H917">
        <f>IF(E917="","",IFERROR(VALUE(SUBSTITUTE('MSR RAW'!P917,",","")),0))</f>
        <v/>
      </c>
      <c r="I917">
        <f>IF(E917="","",IFERROR(VALUE(SUBSTITUTE('MSR RAW'!S917,",","")),0))</f>
        <v/>
      </c>
    </row>
    <row r="918" ht="68.65000000000001" customHeight="1" s="126">
      <c r="A918" t="n">
        <v>918</v>
      </c>
      <c r="B918" s="30">
        <f>IF('MSR RAW'!$A$3="","",'MSR RAW'!$A$3)</f>
        <v/>
      </c>
      <c r="C918">
        <f>IF(LEFT(TRIM('MSR RAW'!A918),11)="Department:",TRIM('MSR RAW'!A918),C917)</f>
        <v/>
      </c>
      <c r="D918">
        <f>IF(LEFT(TRIM('MSR RAW'!B918),9)="Location:",TRIM(MID('MSR RAW'!B918,10,999)),D917)</f>
        <v/>
      </c>
      <c r="E918">
        <f>IF(AND(ISNUMBER(SEARCH(" - ",TRIM('MSR RAW'!C918))),RIGHT(TRIM('MSR RAW'!C918),6)="Total:"),LEFT(TRIM('MSR RAW'!C918),SEARCH(" - ",TRIM('MSR RAW'!C918))-1),"")</f>
        <v/>
      </c>
      <c r="F918">
        <f>IF(E918="","",TRIM(MID(TRIM('MSR RAW'!C918),SEARCH(" - ",TRIM('MSR RAW'!C918))+3,LEN(TRIM('MSR RAW'!C918))-SEARCH(" - ",TRIM('MSR RAW'!C918))-9)))</f>
        <v/>
      </c>
      <c r="G918">
        <f>IF(E918="","",IFERROR(VLOOKUP(E918,'CATEGORY MAP'!$A$2:$B$20,2,FALSE()),"REVIEW"))</f>
        <v/>
      </c>
      <c r="H918">
        <f>IF(E918="","",IFERROR(VALUE(SUBSTITUTE('MSR RAW'!P918,",","")),0))</f>
        <v/>
      </c>
      <c r="I918">
        <f>IF(E918="","",IFERROR(VALUE(SUBSTITUTE('MSR RAW'!S918,",","")),0))</f>
        <v/>
      </c>
    </row>
    <row r="919" ht="68.65000000000001" customHeight="1" s="126">
      <c r="A919" t="n">
        <v>919</v>
      </c>
      <c r="B919" s="30">
        <f>IF('MSR RAW'!$A$3="","",'MSR RAW'!$A$3)</f>
        <v/>
      </c>
      <c r="C919">
        <f>IF(LEFT(TRIM('MSR RAW'!A919),11)="Department:",TRIM('MSR RAW'!A919),C918)</f>
        <v/>
      </c>
      <c r="D919">
        <f>IF(LEFT(TRIM('MSR RAW'!B919),9)="Location:",TRIM(MID('MSR RAW'!B919,10,999)),D918)</f>
        <v/>
      </c>
      <c r="E919">
        <f>IF(AND(ISNUMBER(SEARCH(" - ",TRIM('MSR RAW'!C919))),RIGHT(TRIM('MSR RAW'!C919),6)="Total:"),LEFT(TRIM('MSR RAW'!C919),SEARCH(" - ",TRIM('MSR RAW'!C919))-1),"")</f>
        <v/>
      </c>
      <c r="F919">
        <f>IF(E919="","",TRIM(MID(TRIM('MSR RAW'!C919),SEARCH(" - ",TRIM('MSR RAW'!C919))+3,LEN(TRIM('MSR RAW'!C919))-SEARCH(" - ",TRIM('MSR RAW'!C919))-9)))</f>
        <v/>
      </c>
      <c r="G919">
        <f>IF(E919="","",IFERROR(VLOOKUP(E919,'CATEGORY MAP'!$A$2:$B$20,2,FALSE()),"REVIEW"))</f>
        <v/>
      </c>
      <c r="H919">
        <f>IF(E919="","",IFERROR(VALUE(SUBSTITUTE('MSR RAW'!P919,",","")),0))</f>
        <v/>
      </c>
      <c r="I919">
        <f>IF(E919="","",IFERROR(VALUE(SUBSTITUTE('MSR RAW'!S919,",","")),0))</f>
        <v/>
      </c>
    </row>
    <row r="920" ht="68.65000000000001" customHeight="1" s="126">
      <c r="A920" t="n">
        <v>920</v>
      </c>
      <c r="B920" s="30">
        <f>IF('MSR RAW'!$A$3="","",'MSR RAW'!$A$3)</f>
        <v/>
      </c>
      <c r="C920">
        <f>IF(LEFT(TRIM('MSR RAW'!A920),11)="Department:",TRIM('MSR RAW'!A920),C919)</f>
        <v/>
      </c>
      <c r="D920">
        <f>IF(LEFT(TRIM('MSR RAW'!B920),9)="Location:",TRIM(MID('MSR RAW'!B920,10,999)),D919)</f>
        <v/>
      </c>
      <c r="E920">
        <f>IF(AND(ISNUMBER(SEARCH(" - ",TRIM('MSR RAW'!C920))),RIGHT(TRIM('MSR RAW'!C920),6)="Total:"),LEFT(TRIM('MSR RAW'!C920),SEARCH(" - ",TRIM('MSR RAW'!C920))-1),"")</f>
        <v/>
      </c>
      <c r="F920">
        <f>IF(E920="","",TRIM(MID(TRIM('MSR RAW'!C920),SEARCH(" - ",TRIM('MSR RAW'!C920))+3,LEN(TRIM('MSR RAW'!C920))-SEARCH(" - ",TRIM('MSR RAW'!C920))-9)))</f>
        <v/>
      </c>
      <c r="G920">
        <f>IF(E920="","",IFERROR(VLOOKUP(E920,'CATEGORY MAP'!$A$2:$B$20,2,FALSE()),"REVIEW"))</f>
        <v/>
      </c>
      <c r="H920">
        <f>IF(E920="","",IFERROR(VALUE(SUBSTITUTE('MSR RAW'!P920,",","")),0))</f>
        <v/>
      </c>
      <c r="I920">
        <f>IF(E920="","",IFERROR(VALUE(SUBSTITUTE('MSR RAW'!S920,",","")),0))</f>
        <v/>
      </c>
    </row>
    <row r="921" ht="68.65000000000001" customHeight="1" s="126">
      <c r="A921" t="n">
        <v>921</v>
      </c>
      <c r="B921" s="30">
        <f>IF('MSR RAW'!$A$3="","",'MSR RAW'!$A$3)</f>
        <v/>
      </c>
      <c r="C921">
        <f>IF(LEFT(TRIM('MSR RAW'!A921),11)="Department:",TRIM('MSR RAW'!A921),C920)</f>
        <v/>
      </c>
      <c r="D921">
        <f>IF(LEFT(TRIM('MSR RAW'!B921),9)="Location:",TRIM(MID('MSR RAW'!B921,10,999)),D920)</f>
        <v/>
      </c>
      <c r="E921">
        <f>IF(AND(ISNUMBER(SEARCH(" - ",TRIM('MSR RAW'!C921))),RIGHT(TRIM('MSR RAW'!C921),6)="Total:"),LEFT(TRIM('MSR RAW'!C921),SEARCH(" - ",TRIM('MSR RAW'!C921))-1),"")</f>
        <v/>
      </c>
      <c r="F921">
        <f>IF(E921="","",TRIM(MID(TRIM('MSR RAW'!C921),SEARCH(" - ",TRIM('MSR RAW'!C921))+3,LEN(TRIM('MSR RAW'!C921))-SEARCH(" - ",TRIM('MSR RAW'!C921))-9)))</f>
        <v/>
      </c>
      <c r="G921">
        <f>IF(E921="","",IFERROR(VLOOKUP(E921,'CATEGORY MAP'!$A$2:$B$20,2,FALSE()),"REVIEW"))</f>
        <v/>
      </c>
      <c r="H921">
        <f>IF(E921="","",IFERROR(VALUE(SUBSTITUTE('MSR RAW'!P921,",","")),0))</f>
        <v/>
      </c>
      <c r="I921">
        <f>IF(E921="","",IFERROR(VALUE(SUBSTITUTE('MSR RAW'!S921,",","")),0))</f>
        <v/>
      </c>
    </row>
    <row r="922" ht="68.65000000000001" customHeight="1" s="126">
      <c r="A922" t="n">
        <v>922</v>
      </c>
      <c r="B922" s="30">
        <f>IF('MSR RAW'!$A$3="","",'MSR RAW'!$A$3)</f>
        <v/>
      </c>
      <c r="C922">
        <f>IF(LEFT(TRIM('MSR RAW'!A922),11)="Department:",TRIM('MSR RAW'!A922),C921)</f>
        <v/>
      </c>
      <c r="D922">
        <f>IF(LEFT(TRIM('MSR RAW'!B922),9)="Location:",TRIM(MID('MSR RAW'!B922,10,999)),D921)</f>
        <v/>
      </c>
      <c r="E922">
        <f>IF(AND(ISNUMBER(SEARCH(" - ",TRIM('MSR RAW'!C922))),RIGHT(TRIM('MSR RAW'!C922),6)="Total:"),LEFT(TRIM('MSR RAW'!C922),SEARCH(" - ",TRIM('MSR RAW'!C922))-1),"")</f>
        <v/>
      </c>
      <c r="F922">
        <f>IF(E922="","",TRIM(MID(TRIM('MSR RAW'!C922),SEARCH(" - ",TRIM('MSR RAW'!C922))+3,LEN(TRIM('MSR RAW'!C922))-SEARCH(" - ",TRIM('MSR RAW'!C922))-9)))</f>
        <v/>
      </c>
      <c r="G922">
        <f>IF(E922="","",IFERROR(VLOOKUP(E922,'CATEGORY MAP'!$A$2:$B$20,2,FALSE()),"REVIEW"))</f>
        <v/>
      </c>
      <c r="H922">
        <f>IF(E922="","",IFERROR(VALUE(SUBSTITUTE('MSR RAW'!P922,",","")),0))</f>
        <v/>
      </c>
      <c r="I922">
        <f>IF(E922="","",IFERROR(VALUE(SUBSTITUTE('MSR RAW'!S922,",","")),0))</f>
        <v/>
      </c>
    </row>
    <row r="923" ht="68.65000000000001" customHeight="1" s="126">
      <c r="A923" t="n">
        <v>923</v>
      </c>
      <c r="B923" s="30">
        <f>IF('MSR RAW'!$A$3="","",'MSR RAW'!$A$3)</f>
        <v/>
      </c>
      <c r="C923">
        <f>IF(LEFT(TRIM('MSR RAW'!A923),11)="Department:",TRIM('MSR RAW'!A923),C922)</f>
        <v/>
      </c>
      <c r="D923">
        <f>IF(LEFT(TRIM('MSR RAW'!B923),9)="Location:",TRIM(MID('MSR RAW'!B923,10,999)),D922)</f>
        <v/>
      </c>
      <c r="E923">
        <f>IF(AND(ISNUMBER(SEARCH(" - ",TRIM('MSR RAW'!C923))),RIGHT(TRIM('MSR RAW'!C923),6)="Total:"),LEFT(TRIM('MSR RAW'!C923),SEARCH(" - ",TRIM('MSR RAW'!C923))-1),"")</f>
        <v/>
      </c>
      <c r="F923">
        <f>IF(E923="","",TRIM(MID(TRIM('MSR RAW'!C923),SEARCH(" - ",TRIM('MSR RAW'!C923))+3,LEN(TRIM('MSR RAW'!C923))-SEARCH(" - ",TRIM('MSR RAW'!C923))-9)))</f>
        <v/>
      </c>
      <c r="G923">
        <f>IF(E923="","",IFERROR(VLOOKUP(E923,'CATEGORY MAP'!$A$2:$B$20,2,FALSE()),"REVIEW"))</f>
        <v/>
      </c>
      <c r="H923">
        <f>IF(E923="","",IFERROR(VALUE(SUBSTITUTE('MSR RAW'!P923,",","")),0))</f>
        <v/>
      </c>
      <c r="I923">
        <f>IF(E923="","",IFERROR(VALUE(SUBSTITUTE('MSR RAW'!S923,",","")),0))</f>
        <v/>
      </c>
    </row>
    <row r="924" ht="68.65000000000001" customHeight="1" s="126">
      <c r="A924" t="n">
        <v>924</v>
      </c>
      <c r="B924" s="30">
        <f>IF('MSR RAW'!$A$3="","",'MSR RAW'!$A$3)</f>
        <v/>
      </c>
      <c r="C924">
        <f>IF(LEFT(TRIM('MSR RAW'!A924),11)="Department:",TRIM('MSR RAW'!A924),C923)</f>
        <v/>
      </c>
      <c r="D924">
        <f>IF(LEFT(TRIM('MSR RAW'!B924),9)="Location:",TRIM(MID('MSR RAW'!B924,10,999)),D923)</f>
        <v/>
      </c>
      <c r="E924">
        <f>IF(AND(ISNUMBER(SEARCH(" - ",TRIM('MSR RAW'!C924))),RIGHT(TRIM('MSR RAW'!C924),6)="Total:"),LEFT(TRIM('MSR RAW'!C924),SEARCH(" - ",TRIM('MSR RAW'!C924))-1),"")</f>
        <v/>
      </c>
      <c r="F924">
        <f>IF(E924="","",TRIM(MID(TRIM('MSR RAW'!C924),SEARCH(" - ",TRIM('MSR RAW'!C924))+3,LEN(TRIM('MSR RAW'!C924))-SEARCH(" - ",TRIM('MSR RAW'!C924))-9)))</f>
        <v/>
      </c>
      <c r="G924">
        <f>IF(E924="","",IFERROR(VLOOKUP(E924,'CATEGORY MAP'!$A$2:$B$20,2,FALSE()),"REVIEW"))</f>
        <v/>
      </c>
      <c r="H924">
        <f>IF(E924="","",IFERROR(VALUE(SUBSTITUTE('MSR RAW'!P924,",","")),0))</f>
        <v/>
      </c>
      <c r="I924">
        <f>IF(E924="","",IFERROR(VALUE(SUBSTITUTE('MSR RAW'!S924,",","")),0))</f>
        <v/>
      </c>
    </row>
    <row r="925" ht="68.65000000000001" customHeight="1" s="126">
      <c r="A925" t="n">
        <v>925</v>
      </c>
      <c r="B925" s="30">
        <f>IF('MSR RAW'!$A$3="","",'MSR RAW'!$A$3)</f>
        <v/>
      </c>
      <c r="C925">
        <f>IF(LEFT(TRIM('MSR RAW'!A925),11)="Department:",TRIM('MSR RAW'!A925),C924)</f>
        <v/>
      </c>
      <c r="D925">
        <f>IF(LEFT(TRIM('MSR RAW'!B925),9)="Location:",TRIM(MID('MSR RAW'!B925,10,999)),D924)</f>
        <v/>
      </c>
      <c r="E925">
        <f>IF(AND(ISNUMBER(SEARCH(" - ",TRIM('MSR RAW'!C925))),RIGHT(TRIM('MSR RAW'!C925),6)="Total:"),LEFT(TRIM('MSR RAW'!C925),SEARCH(" - ",TRIM('MSR RAW'!C925))-1),"")</f>
        <v/>
      </c>
      <c r="F925">
        <f>IF(E925="","",TRIM(MID(TRIM('MSR RAW'!C925),SEARCH(" - ",TRIM('MSR RAW'!C925))+3,LEN(TRIM('MSR RAW'!C925))-SEARCH(" - ",TRIM('MSR RAW'!C925))-9)))</f>
        <v/>
      </c>
      <c r="G925">
        <f>IF(E925="","",IFERROR(VLOOKUP(E925,'CATEGORY MAP'!$A$2:$B$20,2,FALSE()),"REVIEW"))</f>
        <v/>
      </c>
      <c r="H925">
        <f>IF(E925="","",IFERROR(VALUE(SUBSTITUTE('MSR RAW'!P925,",","")),0))</f>
        <v/>
      </c>
      <c r="I925">
        <f>IF(E925="","",IFERROR(VALUE(SUBSTITUTE('MSR RAW'!S925,",","")),0))</f>
        <v/>
      </c>
    </row>
    <row r="926" ht="68.65000000000001" customHeight="1" s="126">
      <c r="A926" t="n">
        <v>926</v>
      </c>
      <c r="B926" s="30">
        <f>IF('MSR RAW'!$A$3="","",'MSR RAW'!$A$3)</f>
        <v/>
      </c>
      <c r="C926">
        <f>IF(LEFT(TRIM('MSR RAW'!A926),11)="Department:",TRIM('MSR RAW'!A926),C925)</f>
        <v/>
      </c>
      <c r="D926">
        <f>IF(LEFT(TRIM('MSR RAW'!B926),9)="Location:",TRIM(MID('MSR RAW'!B926,10,999)),D925)</f>
        <v/>
      </c>
      <c r="E926">
        <f>IF(AND(ISNUMBER(SEARCH(" - ",TRIM('MSR RAW'!C926))),RIGHT(TRIM('MSR RAW'!C926),6)="Total:"),LEFT(TRIM('MSR RAW'!C926),SEARCH(" - ",TRIM('MSR RAW'!C926))-1),"")</f>
        <v/>
      </c>
      <c r="F926">
        <f>IF(E926="","",TRIM(MID(TRIM('MSR RAW'!C926),SEARCH(" - ",TRIM('MSR RAW'!C926))+3,LEN(TRIM('MSR RAW'!C926))-SEARCH(" - ",TRIM('MSR RAW'!C926))-9)))</f>
        <v/>
      </c>
      <c r="G926">
        <f>IF(E926="","",IFERROR(VLOOKUP(E926,'CATEGORY MAP'!$A$2:$B$20,2,FALSE()),"REVIEW"))</f>
        <v/>
      </c>
      <c r="H926">
        <f>IF(E926="","",IFERROR(VALUE(SUBSTITUTE('MSR RAW'!P926,",","")),0))</f>
        <v/>
      </c>
      <c r="I926">
        <f>IF(E926="","",IFERROR(VALUE(SUBSTITUTE('MSR RAW'!S926,",","")),0))</f>
        <v/>
      </c>
    </row>
    <row r="927" ht="68.65000000000001" customHeight="1" s="126">
      <c r="A927" t="n">
        <v>927</v>
      </c>
      <c r="B927" s="30">
        <f>IF('MSR RAW'!$A$3="","",'MSR RAW'!$A$3)</f>
        <v/>
      </c>
      <c r="C927">
        <f>IF(LEFT(TRIM('MSR RAW'!A927),11)="Department:",TRIM('MSR RAW'!A927),C926)</f>
        <v/>
      </c>
      <c r="D927">
        <f>IF(LEFT(TRIM('MSR RAW'!B927),9)="Location:",TRIM(MID('MSR RAW'!B927,10,999)),D926)</f>
        <v/>
      </c>
      <c r="E927">
        <f>IF(AND(ISNUMBER(SEARCH(" - ",TRIM('MSR RAW'!C927))),RIGHT(TRIM('MSR RAW'!C927),6)="Total:"),LEFT(TRIM('MSR RAW'!C927),SEARCH(" - ",TRIM('MSR RAW'!C927))-1),"")</f>
        <v/>
      </c>
      <c r="F927">
        <f>IF(E927="","",TRIM(MID(TRIM('MSR RAW'!C927),SEARCH(" - ",TRIM('MSR RAW'!C927))+3,LEN(TRIM('MSR RAW'!C927))-SEARCH(" - ",TRIM('MSR RAW'!C927))-9)))</f>
        <v/>
      </c>
      <c r="G927">
        <f>IF(E927="","",IFERROR(VLOOKUP(E927,'CATEGORY MAP'!$A$2:$B$20,2,FALSE()),"REVIEW"))</f>
        <v/>
      </c>
      <c r="H927">
        <f>IF(E927="","",IFERROR(VALUE(SUBSTITUTE('MSR RAW'!P927,",","")),0))</f>
        <v/>
      </c>
      <c r="I927">
        <f>IF(E927="","",IFERROR(VALUE(SUBSTITUTE('MSR RAW'!S927,",","")),0))</f>
        <v/>
      </c>
    </row>
    <row r="928" ht="68.65000000000001" customHeight="1" s="126">
      <c r="A928" t="n">
        <v>928</v>
      </c>
      <c r="B928" s="30">
        <f>IF('MSR RAW'!$A$3="","",'MSR RAW'!$A$3)</f>
        <v/>
      </c>
      <c r="C928">
        <f>IF(LEFT(TRIM('MSR RAW'!A928),11)="Department:",TRIM('MSR RAW'!A928),C927)</f>
        <v/>
      </c>
      <c r="D928">
        <f>IF(LEFT(TRIM('MSR RAW'!B928),9)="Location:",TRIM(MID('MSR RAW'!B928,10,999)),D927)</f>
        <v/>
      </c>
      <c r="E928">
        <f>IF(AND(ISNUMBER(SEARCH(" - ",TRIM('MSR RAW'!C928))),RIGHT(TRIM('MSR RAW'!C928),6)="Total:"),LEFT(TRIM('MSR RAW'!C928),SEARCH(" - ",TRIM('MSR RAW'!C928))-1),"")</f>
        <v/>
      </c>
      <c r="F928">
        <f>IF(E928="","",TRIM(MID(TRIM('MSR RAW'!C928),SEARCH(" - ",TRIM('MSR RAW'!C928))+3,LEN(TRIM('MSR RAW'!C928))-SEARCH(" - ",TRIM('MSR RAW'!C928))-9)))</f>
        <v/>
      </c>
      <c r="G928">
        <f>IF(E928="","",IFERROR(VLOOKUP(E928,'CATEGORY MAP'!$A$2:$B$20,2,FALSE()),"REVIEW"))</f>
        <v/>
      </c>
      <c r="H928">
        <f>IF(E928="","",IFERROR(VALUE(SUBSTITUTE('MSR RAW'!P928,",","")),0))</f>
        <v/>
      </c>
      <c r="I928">
        <f>IF(E928="","",IFERROR(VALUE(SUBSTITUTE('MSR RAW'!S928,",","")),0))</f>
        <v/>
      </c>
    </row>
    <row r="929" ht="68.65000000000001" customHeight="1" s="126">
      <c r="A929" t="n">
        <v>929</v>
      </c>
      <c r="B929" s="30">
        <f>IF('MSR RAW'!$A$3="","",'MSR RAW'!$A$3)</f>
        <v/>
      </c>
      <c r="C929">
        <f>IF(LEFT(TRIM('MSR RAW'!A929),11)="Department:",TRIM('MSR RAW'!A929),C928)</f>
        <v/>
      </c>
      <c r="D929">
        <f>IF(LEFT(TRIM('MSR RAW'!B929),9)="Location:",TRIM(MID('MSR RAW'!B929,10,999)),D928)</f>
        <v/>
      </c>
      <c r="E929">
        <f>IF(AND(ISNUMBER(SEARCH(" - ",TRIM('MSR RAW'!C929))),RIGHT(TRIM('MSR RAW'!C929),6)="Total:"),LEFT(TRIM('MSR RAW'!C929),SEARCH(" - ",TRIM('MSR RAW'!C929))-1),"")</f>
        <v/>
      </c>
      <c r="F929">
        <f>IF(E929="","",TRIM(MID(TRIM('MSR RAW'!C929),SEARCH(" - ",TRIM('MSR RAW'!C929))+3,LEN(TRIM('MSR RAW'!C929))-SEARCH(" - ",TRIM('MSR RAW'!C929))-9)))</f>
        <v/>
      </c>
      <c r="G929">
        <f>IF(E929="","",IFERROR(VLOOKUP(E929,'CATEGORY MAP'!$A$2:$B$20,2,FALSE()),"REVIEW"))</f>
        <v/>
      </c>
      <c r="H929">
        <f>IF(E929="","",IFERROR(VALUE(SUBSTITUTE('MSR RAW'!P929,",","")),0))</f>
        <v/>
      </c>
      <c r="I929">
        <f>IF(E929="","",IFERROR(VALUE(SUBSTITUTE('MSR RAW'!S929,",","")),0))</f>
        <v/>
      </c>
    </row>
    <row r="930" ht="68.65000000000001" customHeight="1" s="126">
      <c r="A930" t="n">
        <v>930</v>
      </c>
      <c r="B930" s="30">
        <f>IF('MSR RAW'!$A$3="","",'MSR RAW'!$A$3)</f>
        <v/>
      </c>
      <c r="C930">
        <f>IF(LEFT(TRIM('MSR RAW'!A930),11)="Department:",TRIM('MSR RAW'!A930),C929)</f>
        <v/>
      </c>
      <c r="D930">
        <f>IF(LEFT(TRIM('MSR RAW'!B930),9)="Location:",TRIM(MID('MSR RAW'!B930,10,999)),D929)</f>
        <v/>
      </c>
      <c r="E930">
        <f>IF(AND(ISNUMBER(SEARCH(" - ",TRIM('MSR RAW'!C930))),RIGHT(TRIM('MSR RAW'!C930),6)="Total:"),LEFT(TRIM('MSR RAW'!C930),SEARCH(" - ",TRIM('MSR RAW'!C930))-1),"")</f>
        <v/>
      </c>
      <c r="F930">
        <f>IF(E930="","",TRIM(MID(TRIM('MSR RAW'!C930),SEARCH(" - ",TRIM('MSR RAW'!C930))+3,LEN(TRIM('MSR RAW'!C930))-SEARCH(" - ",TRIM('MSR RAW'!C930))-9)))</f>
        <v/>
      </c>
      <c r="G930">
        <f>IF(E930="","",IFERROR(VLOOKUP(E930,'CATEGORY MAP'!$A$2:$B$20,2,FALSE()),"REVIEW"))</f>
        <v/>
      </c>
      <c r="H930">
        <f>IF(E930="","",IFERROR(VALUE(SUBSTITUTE('MSR RAW'!P930,",","")),0))</f>
        <v/>
      </c>
      <c r="I930">
        <f>IF(E930="","",IFERROR(VALUE(SUBSTITUTE('MSR RAW'!S930,",","")),0))</f>
        <v/>
      </c>
    </row>
    <row r="931" ht="68.65000000000001" customHeight="1" s="126">
      <c r="A931" t="n">
        <v>931</v>
      </c>
      <c r="B931" s="30">
        <f>IF('MSR RAW'!$A$3="","",'MSR RAW'!$A$3)</f>
        <v/>
      </c>
      <c r="C931">
        <f>IF(LEFT(TRIM('MSR RAW'!A931),11)="Department:",TRIM('MSR RAW'!A931),C930)</f>
        <v/>
      </c>
      <c r="D931">
        <f>IF(LEFT(TRIM('MSR RAW'!B931),9)="Location:",TRIM(MID('MSR RAW'!B931,10,999)),D930)</f>
        <v/>
      </c>
      <c r="E931">
        <f>IF(AND(ISNUMBER(SEARCH(" - ",TRIM('MSR RAW'!C931))),RIGHT(TRIM('MSR RAW'!C931),6)="Total:"),LEFT(TRIM('MSR RAW'!C931),SEARCH(" - ",TRIM('MSR RAW'!C931))-1),"")</f>
        <v/>
      </c>
      <c r="F931">
        <f>IF(E931="","",TRIM(MID(TRIM('MSR RAW'!C931),SEARCH(" - ",TRIM('MSR RAW'!C931))+3,LEN(TRIM('MSR RAW'!C931))-SEARCH(" - ",TRIM('MSR RAW'!C931))-9)))</f>
        <v/>
      </c>
      <c r="G931">
        <f>IF(E931="","",IFERROR(VLOOKUP(E931,'CATEGORY MAP'!$A$2:$B$20,2,FALSE()),"REVIEW"))</f>
        <v/>
      </c>
      <c r="H931">
        <f>IF(E931="","",IFERROR(VALUE(SUBSTITUTE('MSR RAW'!P931,",","")),0))</f>
        <v/>
      </c>
      <c r="I931">
        <f>IF(E931="","",IFERROR(VALUE(SUBSTITUTE('MSR RAW'!S931,",","")),0))</f>
        <v/>
      </c>
    </row>
    <row r="932" ht="68.65000000000001" customHeight="1" s="126">
      <c r="A932" t="n">
        <v>932</v>
      </c>
      <c r="B932" s="30">
        <f>IF('MSR RAW'!$A$3="","",'MSR RAW'!$A$3)</f>
        <v/>
      </c>
      <c r="C932">
        <f>IF(LEFT(TRIM('MSR RAW'!A932),11)="Department:",TRIM('MSR RAW'!A932),C931)</f>
        <v/>
      </c>
      <c r="D932">
        <f>IF(LEFT(TRIM('MSR RAW'!B932),9)="Location:",TRIM(MID('MSR RAW'!B932,10,999)),D931)</f>
        <v/>
      </c>
      <c r="E932">
        <f>IF(AND(ISNUMBER(SEARCH(" - ",TRIM('MSR RAW'!C932))),RIGHT(TRIM('MSR RAW'!C932),6)="Total:"),LEFT(TRIM('MSR RAW'!C932),SEARCH(" - ",TRIM('MSR RAW'!C932))-1),"")</f>
        <v/>
      </c>
      <c r="F932">
        <f>IF(E932="","",TRIM(MID(TRIM('MSR RAW'!C932),SEARCH(" - ",TRIM('MSR RAW'!C932))+3,LEN(TRIM('MSR RAW'!C932))-SEARCH(" - ",TRIM('MSR RAW'!C932))-9)))</f>
        <v/>
      </c>
      <c r="G932">
        <f>IF(E932="","",IFERROR(VLOOKUP(E932,'CATEGORY MAP'!$A$2:$B$20,2,FALSE()),"REVIEW"))</f>
        <v/>
      </c>
      <c r="H932">
        <f>IF(E932="","",IFERROR(VALUE(SUBSTITUTE('MSR RAW'!P932,",","")),0))</f>
        <v/>
      </c>
      <c r="I932">
        <f>IF(E932="","",IFERROR(VALUE(SUBSTITUTE('MSR RAW'!S932,",","")),0))</f>
        <v/>
      </c>
    </row>
    <row r="933" ht="68.65000000000001" customHeight="1" s="126">
      <c r="A933" t="n">
        <v>933</v>
      </c>
      <c r="B933" s="30">
        <f>IF('MSR RAW'!$A$3="","",'MSR RAW'!$A$3)</f>
        <v/>
      </c>
      <c r="C933">
        <f>IF(LEFT(TRIM('MSR RAW'!A933),11)="Department:",TRIM('MSR RAW'!A933),C932)</f>
        <v/>
      </c>
      <c r="D933">
        <f>IF(LEFT(TRIM('MSR RAW'!B933),9)="Location:",TRIM(MID('MSR RAW'!B933,10,999)),D932)</f>
        <v/>
      </c>
      <c r="E933">
        <f>IF(AND(ISNUMBER(SEARCH(" - ",TRIM('MSR RAW'!C933))),RIGHT(TRIM('MSR RAW'!C933),6)="Total:"),LEFT(TRIM('MSR RAW'!C933),SEARCH(" - ",TRIM('MSR RAW'!C933))-1),"")</f>
        <v/>
      </c>
      <c r="F933">
        <f>IF(E933="","",TRIM(MID(TRIM('MSR RAW'!C933),SEARCH(" - ",TRIM('MSR RAW'!C933))+3,LEN(TRIM('MSR RAW'!C933))-SEARCH(" - ",TRIM('MSR RAW'!C933))-9)))</f>
        <v/>
      </c>
      <c r="G933">
        <f>IF(E933="","",IFERROR(VLOOKUP(E933,'CATEGORY MAP'!$A$2:$B$20,2,FALSE()),"REVIEW"))</f>
        <v/>
      </c>
      <c r="H933">
        <f>IF(E933="","",IFERROR(VALUE(SUBSTITUTE('MSR RAW'!P933,",","")),0))</f>
        <v/>
      </c>
      <c r="I933">
        <f>IF(E933="","",IFERROR(VALUE(SUBSTITUTE('MSR RAW'!S933,",","")),0))</f>
        <v/>
      </c>
    </row>
    <row r="934" ht="68.65000000000001" customHeight="1" s="126">
      <c r="A934" t="n">
        <v>934</v>
      </c>
      <c r="B934" s="30">
        <f>IF('MSR RAW'!$A$3="","",'MSR RAW'!$A$3)</f>
        <v/>
      </c>
      <c r="C934">
        <f>IF(LEFT(TRIM('MSR RAW'!A934),11)="Department:",TRIM('MSR RAW'!A934),C933)</f>
        <v/>
      </c>
      <c r="D934">
        <f>IF(LEFT(TRIM('MSR RAW'!B934),9)="Location:",TRIM(MID('MSR RAW'!B934,10,999)),D933)</f>
        <v/>
      </c>
      <c r="E934">
        <f>IF(AND(ISNUMBER(SEARCH(" - ",TRIM('MSR RAW'!C934))),RIGHT(TRIM('MSR RAW'!C934),6)="Total:"),LEFT(TRIM('MSR RAW'!C934),SEARCH(" - ",TRIM('MSR RAW'!C934))-1),"")</f>
        <v/>
      </c>
      <c r="F934">
        <f>IF(E934="","",TRIM(MID(TRIM('MSR RAW'!C934),SEARCH(" - ",TRIM('MSR RAW'!C934))+3,LEN(TRIM('MSR RAW'!C934))-SEARCH(" - ",TRIM('MSR RAW'!C934))-9)))</f>
        <v/>
      </c>
      <c r="G934">
        <f>IF(E934="","",IFERROR(VLOOKUP(E934,'CATEGORY MAP'!$A$2:$B$20,2,FALSE()),"REVIEW"))</f>
        <v/>
      </c>
      <c r="H934">
        <f>IF(E934="","",IFERROR(VALUE(SUBSTITUTE('MSR RAW'!P934,",","")),0))</f>
        <v/>
      </c>
      <c r="I934">
        <f>IF(E934="","",IFERROR(VALUE(SUBSTITUTE('MSR RAW'!S934,",","")),0))</f>
        <v/>
      </c>
    </row>
    <row r="935" ht="68.65000000000001" customHeight="1" s="126">
      <c r="A935" t="n">
        <v>935</v>
      </c>
      <c r="B935" s="30">
        <f>IF('MSR RAW'!$A$3="","",'MSR RAW'!$A$3)</f>
        <v/>
      </c>
      <c r="C935">
        <f>IF(LEFT(TRIM('MSR RAW'!A935),11)="Department:",TRIM('MSR RAW'!A935),C934)</f>
        <v/>
      </c>
      <c r="D935">
        <f>IF(LEFT(TRIM('MSR RAW'!B935),9)="Location:",TRIM(MID('MSR RAW'!B935,10,999)),D934)</f>
        <v/>
      </c>
      <c r="E935">
        <f>IF(AND(ISNUMBER(SEARCH(" - ",TRIM('MSR RAW'!C935))),RIGHT(TRIM('MSR RAW'!C935),6)="Total:"),LEFT(TRIM('MSR RAW'!C935),SEARCH(" - ",TRIM('MSR RAW'!C935))-1),"")</f>
        <v/>
      </c>
      <c r="F935">
        <f>IF(E935="","",TRIM(MID(TRIM('MSR RAW'!C935),SEARCH(" - ",TRIM('MSR RAW'!C935))+3,LEN(TRIM('MSR RAW'!C935))-SEARCH(" - ",TRIM('MSR RAW'!C935))-9)))</f>
        <v/>
      </c>
      <c r="G935">
        <f>IF(E935="","",IFERROR(VLOOKUP(E935,'CATEGORY MAP'!$A$2:$B$20,2,FALSE()),"REVIEW"))</f>
        <v/>
      </c>
      <c r="H935">
        <f>IF(E935="","",IFERROR(VALUE(SUBSTITUTE('MSR RAW'!P935,",","")),0))</f>
        <v/>
      </c>
      <c r="I935">
        <f>IF(E935="","",IFERROR(VALUE(SUBSTITUTE('MSR RAW'!S935,",","")),0))</f>
        <v/>
      </c>
    </row>
    <row r="936" ht="68.65000000000001" customHeight="1" s="126">
      <c r="A936" t="n">
        <v>936</v>
      </c>
      <c r="B936" s="30">
        <f>IF('MSR RAW'!$A$3="","",'MSR RAW'!$A$3)</f>
        <v/>
      </c>
      <c r="C936">
        <f>IF(LEFT(TRIM('MSR RAW'!A936),11)="Department:",TRIM('MSR RAW'!A936),C935)</f>
        <v/>
      </c>
      <c r="D936">
        <f>IF(LEFT(TRIM('MSR RAW'!B936),9)="Location:",TRIM(MID('MSR RAW'!B936,10,999)),D935)</f>
        <v/>
      </c>
      <c r="E936">
        <f>IF(AND(ISNUMBER(SEARCH(" - ",TRIM('MSR RAW'!C936))),RIGHT(TRIM('MSR RAW'!C936),6)="Total:"),LEFT(TRIM('MSR RAW'!C936),SEARCH(" - ",TRIM('MSR RAW'!C936))-1),"")</f>
        <v/>
      </c>
      <c r="F936">
        <f>IF(E936="","",TRIM(MID(TRIM('MSR RAW'!C936),SEARCH(" - ",TRIM('MSR RAW'!C936))+3,LEN(TRIM('MSR RAW'!C936))-SEARCH(" - ",TRIM('MSR RAW'!C936))-9)))</f>
        <v/>
      </c>
      <c r="G936">
        <f>IF(E936="","",IFERROR(VLOOKUP(E936,'CATEGORY MAP'!$A$2:$B$20,2,FALSE()),"REVIEW"))</f>
        <v/>
      </c>
      <c r="H936">
        <f>IF(E936="","",IFERROR(VALUE(SUBSTITUTE('MSR RAW'!P936,",","")),0))</f>
        <v/>
      </c>
      <c r="I936">
        <f>IF(E936="","",IFERROR(VALUE(SUBSTITUTE('MSR RAW'!S936,",","")),0))</f>
        <v/>
      </c>
    </row>
    <row r="937" ht="68.65000000000001" customHeight="1" s="126">
      <c r="A937" t="n">
        <v>937</v>
      </c>
      <c r="B937" s="30">
        <f>IF('MSR RAW'!$A$3="","",'MSR RAW'!$A$3)</f>
        <v/>
      </c>
      <c r="C937">
        <f>IF(LEFT(TRIM('MSR RAW'!A937),11)="Department:",TRIM('MSR RAW'!A937),C936)</f>
        <v/>
      </c>
      <c r="D937">
        <f>IF(LEFT(TRIM('MSR RAW'!B937),9)="Location:",TRIM(MID('MSR RAW'!B937,10,999)),D936)</f>
        <v/>
      </c>
      <c r="E937">
        <f>IF(AND(ISNUMBER(SEARCH(" - ",TRIM('MSR RAW'!C937))),RIGHT(TRIM('MSR RAW'!C937),6)="Total:"),LEFT(TRIM('MSR RAW'!C937),SEARCH(" - ",TRIM('MSR RAW'!C937))-1),"")</f>
        <v/>
      </c>
      <c r="F937">
        <f>IF(E937="","",TRIM(MID(TRIM('MSR RAW'!C937),SEARCH(" - ",TRIM('MSR RAW'!C937))+3,LEN(TRIM('MSR RAW'!C937))-SEARCH(" - ",TRIM('MSR RAW'!C937))-9)))</f>
        <v/>
      </c>
      <c r="G937">
        <f>IF(E937="","",IFERROR(VLOOKUP(E937,'CATEGORY MAP'!$A$2:$B$20,2,FALSE()),"REVIEW"))</f>
        <v/>
      </c>
      <c r="H937">
        <f>IF(E937="","",IFERROR(VALUE(SUBSTITUTE('MSR RAW'!P937,",","")),0))</f>
        <v/>
      </c>
      <c r="I937">
        <f>IF(E937="","",IFERROR(VALUE(SUBSTITUTE('MSR RAW'!S937,",","")),0))</f>
        <v/>
      </c>
    </row>
    <row r="938" ht="68.65000000000001" customHeight="1" s="126">
      <c r="A938" t="n">
        <v>938</v>
      </c>
      <c r="B938" s="30">
        <f>IF('MSR RAW'!$A$3="","",'MSR RAW'!$A$3)</f>
        <v/>
      </c>
      <c r="C938">
        <f>IF(LEFT(TRIM('MSR RAW'!A938),11)="Department:",TRIM('MSR RAW'!A938),C937)</f>
        <v/>
      </c>
      <c r="D938">
        <f>IF(LEFT(TRIM('MSR RAW'!B938),9)="Location:",TRIM(MID('MSR RAW'!B938,10,999)),D937)</f>
        <v/>
      </c>
      <c r="E938">
        <f>IF(AND(ISNUMBER(SEARCH(" - ",TRIM('MSR RAW'!C938))),RIGHT(TRIM('MSR RAW'!C938),6)="Total:"),LEFT(TRIM('MSR RAW'!C938),SEARCH(" - ",TRIM('MSR RAW'!C938))-1),"")</f>
        <v/>
      </c>
      <c r="F938">
        <f>IF(E938="","",TRIM(MID(TRIM('MSR RAW'!C938),SEARCH(" - ",TRIM('MSR RAW'!C938))+3,LEN(TRIM('MSR RAW'!C938))-SEARCH(" - ",TRIM('MSR RAW'!C938))-9)))</f>
        <v/>
      </c>
      <c r="G938">
        <f>IF(E938="","",IFERROR(VLOOKUP(E938,'CATEGORY MAP'!$A$2:$B$20,2,FALSE()),"REVIEW"))</f>
        <v/>
      </c>
      <c r="H938">
        <f>IF(E938="","",IFERROR(VALUE(SUBSTITUTE('MSR RAW'!P938,",","")),0))</f>
        <v/>
      </c>
      <c r="I938">
        <f>IF(E938="","",IFERROR(VALUE(SUBSTITUTE('MSR RAW'!S938,",","")),0))</f>
        <v/>
      </c>
    </row>
    <row r="939" ht="68.65000000000001" customHeight="1" s="126">
      <c r="A939" t="n">
        <v>939</v>
      </c>
      <c r="B939" s="30">
        <f>IF('MSR RAW'!$A$3="","",'MSR RAW'!$A$3)</f>
        <v/>
      </c>
      <c r="C939">
        <f>IF(LEFT(TRIM('MSR RAW'!A939),11)="Department:",TRIM('MSR RAW'!A939),C938)</f>
        <v/>
      </c>
      <c r="D939">
        <f>IF(LEFT(TRIM('MSR RAW'!B939),9)="Location:",TRIM(MID('MSR RAW'!B939,10,999)),D938)</f>
        <v/>
      </c>
      <c r="E939">
        <f>IF(AND(ISNUMBER(SEARCH(" - ",TRIM('MSR RAW'!C939))),RIGHT(TRIM('MSR RAW'!C939),6)="Total:"),LEFT(TRIM('MSR RAW'!C939),SEARCH(" - ",TRIM('MSR RAW'!C939))-1),"")</f>
        <v/>
      </c>
      <c r="F939">
        <f>IF(E939="","",TRIM(MID(TRIM('MSR RAW'!C939),SEARCH(" - ",TRIM('MSR RAW'!C939))+3,LEN(TRIM('MSR RAW'!C939))-SEARCH(" - ",TRIM('MSR RAW'!C939))-9)))</f>
        <v/>
      </c>
      <c r="G939">
        <f>IF(E939="","",IFERROR(VLOOKUP(E939,'CATEGORY MAP'!$A$2:$B$20,2,FALSE()),"REVIEW"))</f>
        <v/>
      </c>
      <c r="H939">
        <f>IF(E939="","",IFERROR(VALUE(SUBSTITUTE('MSR RAW'!P939,",","")),0))</f>
        <v/>
      </c>
      <c r="I939">
        <f>IF(E939="","",IFERROR(VALUE(SUBSTITUTE('MSR RAW'!S939,",","")),0))</f>
        <v/>
      </c>
    </row>
    <row r="940" ht="68.65000000000001" customHeight="1" s="126">
      <c r="A940" t="n">
        <v>940</v>
      </c>
      <c r="B940" s="30">
        <f>IF('MSR RAW'!$A$3="","",'MSR RAW'!$A$3)</f>
        <v/>
      </c>
      <c r="C940">
        <f>IF(LEFT(TRIM('MSR RAW'!A940),11)="Department:",TRIM('MSR RAW'!A940),C939)</f>
        <v/>
      </c>
      <c r="D940">
        <f>IF(LEFT(TRIM('MSR RAW'!B940),9)="Location:",TRIM(MID('MSR RAW'!B940,10,999)),D939)</f>
        <v/>
      </c>
      <c r="E940">
        <f>IF(AND(ISNUMBER(SEARCH(" - ",TRIM('MSR RAW'!C940))),RIGHT(TRIM('MSR RAW'!C940),6)="Total:"),LEFT(TRIM('MSR RAW'!C940),SEARCH(" - ",TRIM('MSR RAW'!C940))-1),"")</f>
        <v/>
      </c>
      <c r="F940">
        <f>IF(E940="","",TRIM(MID(TRIM('MSR RAW'!C940),SEARCH(" - ",TRIM('MSR RAW'!C940))+3,LEN(TRIM('MSR RAW'!C940))-SEARCH(" - ",TRIM('MSR RAW'!C940))-9)))</f>
        <v/>
      </c>
      <c r="G940">
        <f>IF(E940="","",IFERROR(VLOOKUP(E940,'CATEGORY MAP'!$A$2:$B$20,2,FALSE()),"REVIEW"))</f>
        <v/>
      </c>
      <c r="H940">
        <f>IF(E940="","",IFERROR(VALUE(SUBSTITUTE('MSR RAW'!P940,",","")),0))</f>
        <v/>
      </c>
      <c r="I940">
        <f>IF(E940="","",IFERROR(VALUE(SUBSTITUTE('MSR RAW'!S940,",","")),0))</f>
        <v/>
      </c>
    </row>
    <row r="941" ht="68.65000000000001" customHeight="1" s="126">
      <c r="A941" t="n">
        <v>941</v>
      </c>
      <c r="B941" s="30">
        <f>IF('MSR RAW'!$A$3="","",'MSR RAW'!$A$3)</f>
        <v/>
      </c>
      <c r="C941">
        <f>IF(LEFT(TRIM('MSR RAW'!A941),11)="Department:",TRIM('MSR RAW'!A941),C940)</f>
        <v/>
      </c>
      <c r="D941">
        <f>IF(LEFT(TRIM('MSR RAW'!B941),9)="Location:",TRIM(MID('MSR RAW'!B941,10,999)),D940)</f>
        <v/>
      </c>
      <c r="E941">
        <f>IF(AND(ISNUMBER(SEARCH(" - ",TRIM('MSR RAW'!C941))),RIGHT(TRIM('MSR RAW'!C941),6)="Total:"),LEFT(TRIM('MSR RAW'!C941),SEARCH(" - ",TRIM('MSR RAW'!C941))-1),"")</f>
        <v/>
      </c>
      <c r="F941">
        <f>IF(E941="","",TRIM(MID(TRIM('MSR RAW'!C941),SEARCH(" - ",TRIM('MSR RAW'!C941))+3,LEN(TRIM('MSR RAW'!C941))-SEARCH(" - ",TRIM('MSR RAW'!C941))-9)))</f>
        <v/>
      </c>
      <c r="G941">
        <f>IF(E941="","",IFERROR(VLOOKUP(E941,'CATEGORY MAP'!$A$2:$B$20,2,FALSE()),"REVIEW"))</f>
        <v/>
      </c>
      <c r="H941">
        <f>IF(E941="","",IFERROR(VALUE(SUBSTITUTE('MSR RAW'!P941,",","")),0))</f>
        <v/>
      </c>
      <c r="I941">
        <f>IF(E941="","",IFERROR(VALUE(SUBSTITUTE('MSR RAW'!S941,",","")),0))</f>
        <v/>
      </c>
    </row>
    <row r="942" ht="68.65000000000001" customHeight="1" s="126">
      <c r="A942" t="n">
        <v>942</v>
      </c>
      <c r="B942" s="30">
        <f>IF('MSR RAW'!$A$3="","",'MSR RAW'!$A$3)</f>
        <v/>
      </c>
      <c r="C942">
        <f>IF(LEFT(TRIM('MSR RAW'!A942),11)="Department:",TRIM('MSR RAW'!A942),C941)</f>
        <v/>
      </c>
      <c r="D942">
        <f>IF(LEFT(TRIM('MSR RAW'!B942),9)="Location:",TRIM(MID('MSR RAW'!B942,10,999)),D941)</f>
        <v/>
      </c>
      <c r="E942">
        <f>IF(AND(ISNUMBER(SEARCH(" - ",TRIM('MSR RAW'!C942))),RIGHT(TRIM('MSR RAW'!C942),6)="Total:"),LEFT(TRIM('MSR RAW'!C942),SEARCH(" - ",TRIM('MSR RAW'!C942))-1),"")</f>
        <v/>
      </c>
      <c r="F942">
        <f>IF(E942="","",TRIM(MID(TRIM('MSR RAW'!C942),SEARCH(" - ",TRIM('MSR RAW'!C942))+3,LEN(TRIM('MSR RAW'!C942))-SEARCH(" - ",TRIM('MSR RAW'!C942))-9)))</f>
        <v/>
      </c>
      <c r="G942">
        <f>IF(E942="","",IFERROR(VLOOKUP(E942,'CATEGORY MAP'!$A$2:$B$20,2,FALSE()),"REVIEW"))</f>
        <v/>
      </c>
      <c r="H942">
        <f>IF(E942="","",IFERROR(VALUE(SUBSTITUTE('MSR RAW'!P942,",","")),0))</f>
        <v/>
      </c>
      <c r="I942">
        <f>IF(E942="","",IFERROR(VALUE(SUBSTITUTE('MSR RAW'!S942,",","")),0))</f>
        <v/>
      </c>
    </row>
    <row r="943" ht="68.65000000000001" customHeight="1" s="126">
      <c r="A943" t="n">
        <v>943</v>
      </c>
      <c r="B943" s="30">
        <f>IF('MSR RAW'!$A$3="","",'MSR RAW'!$A$3)</f>
        <v/>
      </c>
      <c r="C943">
        <f>IF(LEFT(TRIM('MSR RAW'!A943),11)="Department:",TRIM('MSR RAW'!A943),C942)</f>
        <v/>
      </c>
      <c r="D943">
        <f>IF(LEFT(TRIM('MSR RAW'!B943),9)="Location:",TRIM(MID('MSR RAW'!B943,10,999)),D942)</f>
        <v/>
      </c>
      <c r="E943">
        <f>IF(AND(ISNUMBER(SEARCH(" - ",TRIM('MSR RAW'!C943))),RIGHT(TRIM('MSR RAW'!C943),6)="Total:"),LEFT(TRIM('MSR RAW'!C943),SEARCH(" - ",TRIM('MSR RAW'!C943))-1),"")</f>
        <v/>
      </c>
      <c r="F943">
        <f>IF(E943="","",TRIM(MID(TRIM('MSR RAW'!C943),SEARCH(" - ",TRIM('MSR RAW'!C943))+3,LEN(TRIM('MSR RAW'!C943))-SEARCH(" - ",TRIM('MSR RAW'!C943))-9)))</f>
        <v/>
      </c>
      <c r="G943">
        <f>IF(E943="","",IFERROR(VLOOKUP(E943,'CATEGORY MAP'!$A$2:$B$20,2,FALSE()),"REVIEW"))</f>
        <v/>
      </c>
      <c r="H943">
        <f>IF(E943="","",IFERROR(VALUE(SUBSTITUTE('MSR RAW'!P943,",","")),0))</f>
        <v/>
      </c>
      <c r="I943">
        <f>IF(E943="","",IFERROR(VALUE(SUBSTITUTE('MSR RAW'!S943,",","")),0))</f>
        <v/>
      </c>
    </row>
    <row r="944" ht="68.65000000000001" customHeight="1" s="126">
      <c r="A944" t="n">
        <v>944</v>
      </c>
      <c r="B944" s="30">
        <f>IF('MSR RAW'!$A$3="","",'MSR RAW'!$A$3)</f>
        <v/>
      </c>
      <c r="C944">
        <f>IF(LEFT(TRIM('MSR RAW'!A944),11)="Department:",TRIM('MSR RAW'!A944),C943)</f>
        <v/>
      </c>
      <c r="D944">
        <f>IF(LEFT(TRIM('MSR RAW'!B944),9)="Location:",TRIM(MID('MSR RAW'!B944,10,999)),D943)</f>
        <v/>
      </c>
      <c r="E944">
        <f>IF(AND(ISNUMBER(SEARCH(" - ",TRIM('MSR RAW'!C944))),RIGHT(TRIM('MSR RAW'!C944),6)="Total:"),LEFT(TRIM('MSR RAW'!C944),SEARCH(" - ",TRIM('MSR RAW'!C944))-1),"")</f>
        <v/>
      </c>
      <c r="F944">
        <f>IF(E944="","",TRIM(MID(TRIM('MSR RAW'!C944),SEARCH(" - ",TRIM('MSR RAW'!C944))+3,LEN(TRIM('MSR RAW'!C944))-SEARCH(" - ",TRIM('MSR RAW'!C944))-9)))</f>
        <v/>
      </c>
      <c r="G944">
        <f>IF(E944="","",IFERROR(VLOOKUP(E944,'CATEGORY MAP'!$A$2:$B$20,2,FALSE()),"REVIEW"))</f>
        <v/>
      </c>
      <c r="H944">
        <f>IF(E944="","",IFERROR(VALUE(SUBSTITUTE('MSR RAW'!P944,",","")),0))</f>
        <v/>
      </c>
      <c r="I944">
        <f>IF(E944="","",IFERROR(VALUE(SUBSTITUTE('MSR RAW'!S944,",","")),0))</f>
        <v/>
      </c>
    </row>
    <row r="945" ht="68.65000000000001" customHeight="1" s="126">
      <c r="A945" t="n">
        <v>945</v>
      </c>
      <c r="B945" s="30">
        <f>IF('MSR RAW'!$A$3="","",'MSR RAW'!$A$3)</f>
        <v/>
      </c>
      <c r="C945">
        <f>IF(LEFT(TRIM('MSR RAW'!A945),11)="Department:",TRIM('MSR RAW'!A945),C944)</f>
        <v/>
      </c>
      <c r="D945">
        <f>IF(LEFT(TRIM('MSR RAW'!B945),9)="Location:",TRIM(MID('MSR RAW'!B945,10,999)),D944)</f>
        <v/>
      </c>
      <c r="E945">
        <f>IF(AND(ISNUMBER(SEARCH(" - ",TRIM('MSR RAW'!C945))),RIGHT(TRIM('MSR RAW'!C945),6)="Total:"),LEFT(TRIM('MSR RAW'!C945),SEARCH(" - ",TRIM('MSR RAW'!C945))-1),"")</f>
        <v/>
      </c>
      <c r="F945">
        <f>IF(E945="","",TRIM(MID(TRIM('MSR RAW'!C945),SEARCH(" - ",TRIM('MSR RAW'!C945))+3,LEN(TRIM('MSR RAW'!C945))-SEARCH(" - ",TRIM('MSR RAW'!C945))-9)))</f>
        <v/>
      </c>
      <c r="G945">
        <f>IF(E945="","",IFERROR(VLOOKUP(E945,'CATEGORY MAP'!$A$2:$B$20,2,FALSE()),"REVIEW"))</f>
        <v/>
      </c>
      <c r="H945">
        <f>IF(E945="","",IFERROR(VALUE(SUBSTITUTE('MSR RAW'!P945,",","")),0))</f>
        <v/>
      </c>
      <c r="I945">
        <f>IF(E945="","",IFERROR(VALUE(SUBSTITUTE('MSR RAW'!S945,",","")),0))</f>
        <v/>
      </c>
    </row>
    <row r="946" ht="68.65000000000001" customHeight="1" s="126">
      <c r="A946" t="n">
        <v>946</v>
      </c>
      <c r="B946" s="30">
        <f>IF('MSR RAW'!$A$3="","",'MSR RAW'!$A$3)</f>
        <v/>
      </c>
      <c r="C946">
        <f>IF(LEFT(TRIM('MSR RAW'!A946),11)="Department:",TRIM('MSR RAW'!A946),C945)</f>
        <v/>
      </c>
      <c r="D946">
        <f>IF(LEFT(TRIM('MSR RAW'!B946),9)="Location:",TRIM(MID('MSR RAW'!B946,10,999)),D945)</f>
        <v/>
      </c>
      <c r="E946">
        <f>IF(AND(ISNUMBER(SEARCH(" - ",TRIM('MSR RAW'!C946))),RIGHT(TRIM('MSR RAW'!C946),6)="Total:"),LEFT(TRIM('MSR RAW'!C946),SEARCH(" - ",TRIM('MSR RAW'!C946))-1),"")</f>
        <v/>
      </c>
      <c r="F946">
        <f>IF(E946="","",TRIM(MID(TRIM('MSR RAW'!C946),SEARCH(" - ",TRIM('MSR RAW'!C946))+3,LEN(TRIM('MSR RAW'!C946))-SEARCH(" - ",TRIM('MSR RAW'!C946))-9)))</f>
        <v/>
      </c>
      <c r="G946">
        <f>IF(E946="","",IFERROR(VLOOKUP(E946,'CATEGORY MAP'!$A$2:$B$20,2,FALSE()),"REVIEW"))</f>
        <v/>
      </c>
      <c r="H946">
        <f>IF(E946="","",IFERROR(VALUE(SUBSTITUTE('MSR RAW'!P946,",","")),0))</f>
        <v/>
      </c>
      <c r="I946">
        <f>IF(E946="","",IFERROR(VALUE(SUBSTITUTE('MSR RAW'!S946,",","")),0))</f>
        <v/>
      </c>
    </row>
    <row r="947" ht="68.65000000000001" customHeight="1" s="126">
      <c r="A947" t="n">
        <v>947</v>
      </c>
      <c r="B947" s="30">
        <f>IF('MSR RAW'!$A$3="","",'MSR RAW'!$A$3)</f>
        <v/>
      </c>
      <c r="C947">
        <f>IF(LEFT(TRIM('MSR RAW'!A947),11)="Department:",TRIM('MSR RAW'!A947),C946)</f>
        <v/>
      </c>
      <c r="D947">
        <f>IF(LEFT(TRIM('MSR RAW'!B947),9)="Location:",TRIM(MID('MSR RAW'!B947,10,999)),D946)</f>
        <v/>
      </c>
      <c r="E947">
        <f>IF(AND(ISNUMBER(SEARCH(" - ",TRIM('MSR RAW'!C947))),RIGHT(TRIM('MSR RAW'!C947),6)="Total:"),LEFT(TRIM('MSR RAW'!C947),SEARCH(" - ",TRIM('MSR RAW'!C947))-1),"")</f>
        <v/>
      </c>
      <c r="F947">
        <f>IF(E947="","",TRIM(MID(TRIM('MSR RAW'!C947),SEARCH(" - ",TRIM('MSR RAW'!C947))+3,LEN(TRIM('MSR RAW'!C947))-SEARCH(" - ",TRIM('MSR RAW'!C947))-9)))</f>
        <v/>
      </c>
      <c r="G947">
        <f>IF(E947="","",IFERROR(VLOOKUP(E947,'CATEGORY MAP'!$A$2:$B$20,2,FALSE()),"REVIEW"))</f>
        <v/>
      </c>
      <c r="H947">
        <f>IF(E947="","",IFERROR(VALUE(SUBSTITUTE('MSR RAW'!P947,",","")),0))</f>
        <v/>
      </c>
      <c r="I947">
        <f>IF(E947="","",IFERROR(VALUE(SUBSTITUTE('MSR RAW'!S947,",","")),0))</f>
        <v/>
      </c>
    </row>
    <row r="948" ht="68.65000000000001" customHeight="1" s="126">
      <c r="A948" t="n">
        <v>948</v>
      </c>
      <c r="B948" s="30">
        <f>IF('MSR RAW'!$A$3="","",'MSR RAW'!$A$3)</f>
        <v/>
      </c>
      <c r="C948">
        <f>IF(LEFT(TRIM('MSR RAW'!A948),11)="Department:",TRIM('MSR RAW'!A948),C947)</f>
        <v/>
      </c>
      <c r="D948">
        <f>IF(LEFT(TRIM('MSR RAW'!B948),9)="Location:",TRIM(MID('MSR RAW'!B948,10,999)),D947)</f>
        <v/>
      </c>
      <c r="E948">
        <f>IF(AND(ISNUMBER(SEARCH(" - ",TRIM('MSR RAW'!C948))),RIGHT(TRIM('MSR RAW'!C948),6)="Total:"),LEFT(TRIM('MSR RAW'!C948),SEARCH(" - ",TRIM('MSR RAW'!C948))-1),"")</f>
        <v/>
      </c>
      <c r="F948">
        <f>IF(E948="","",TRIM(MID(TRIM('MSR RAW'!C948),SEARCH(" - ",TRIM('MSR RAW'!C948))+3,LEN(TRIM('MSR RAW'!C948))-SEARCH(" - ",TRIM('MSR RAW'!C948))-9)))</f>
        <v/>
      </c>
      <c r="G948">
        <f>IF(E948="","",IFERROR(VLOOKUP(E948,'CATEGORY MAP'!$A$2:$B$20,2,FALSE()),"REVIEW"))</f>
        <v/>
      </c>
      <c r="H948">
        <f>IF(E948="","",IFERROR(VALUE(SUBSTITUTE('MSR RAW'!P948,",","")),0))</f>
        <v/>
      </c>
      <c r="I948">
        <f>IF(E948="","",IFERROR(VALUE(SUBSTITUTE('MSR RAW'!S948,",","")),0))</f>
        <v/>
      </c>
    </row>
    <row r="949" ht="68.65000000000001" customHeight="1" s="126">
      <c r="A949" t="n">
        <v>949</v>
      </c>
      <c r="B949" s="30">
        <f>IF('MSR RAW'!$A$3="","",'MSR RAW'!$A$3)</f>
        <v/>
      </c>
      <c r="C949">
        <f>IF(LEFT(TRIM('MSR RAW'!A949),11)="Department:",TRIM('MSR RAW'!A949),C948)</f>
        <v/>
      </c>
      <c r="D949">
        <f>IF(LEFT(TRIM('MSR RAW'!B949),9)="Location:",TRIM(MID('MSR RAW'!B949,10,999)),D948)</f>
        <v/>
      </c>
      <c r="E949">
        <f>IF(AND(ISNUMBER(SEARCH(" - ",TRIM('MSR RAW'!C949))),RIGHT(TRIM('MSR RAW'!C949),6)="Total:"),LEFT(TRIM('MSR RAW'!C949),SEARCH(" - ",TRIM('MSR RAW'!C949))-1),"")</f>
        <v/>
      </c>
      <c r="F949">
        <f>IF(E949="","",TRIM(MID(TRIM('MSR RAW'!C949),SEARCH(" - ",TRIM('MSR RAW'!C949))+3,LEN(TRIM('MSR RAW'!C949))-SEARCH(" - ",TRIM('MSR RAW'!C949))-9)))</f>
        <v/>
      </c>
      <c r="G949">
        <f>IF(E949="","",IFERROR(VLOOKUP(E949,'CATEGORY MAP'!$A$2:$B$20,2,FALSE()),"REVIEW"))</f>
        <v/>
      </c>
      <c r="H949">
        <f>IF(E949="","",IFERROR(VALUE(SUBSTITUTE('MSR RAW'!P949,",","")),0))</f>
        <v/>
      </c>
      <c r="I949">
        <f>IF(E949="","",IFERROR(VALUE(SUBSTITUTE('MSR RAW'!S949,",","")),0))</f>
        <v/>
      </c>
    </row>
    <row r="950" ht="68.65000000000001" customHeight="1" s="126">
      <c r="A950" t="n">
        <v>950</v>
      </c>
      <c r="B950" s="30">
        <f>IF('MSR RAW'!$A$3="","",'MSR RAW'!$A$3)</f>
        <v/>
      </c>
      <c r="C950">
        <f>IF(LEFT(TRIM('MSR RAW'!A950),11)="Department:",TRIM('MSR RAW'!A950),C949)</f>
        <v/>
      </c>
      <c r="D950">
        <f>IF(LEFT(TRIM('MSR RAW'!B950),9)="Location:",TRIM(MID('MSR RAW'!B950,10,999)),D949)</f>
        <v/>
      </c>
      <c r="E950">
        <f>IF(AND(ISNUMBER(SEARCH(" - ",TRIM('MSR RAW'!C950))),RIGHT(TRIM('MSR RAW'!C950),6)="Total:"),LEFT(TRIM('MSR RAW'!C950),SEARCH(" - ",TRIM('MSR RAW'!C950))-1),"")</f>
        <v/>
      </c>
      <c r="F950">
        <f>IF(E950="","",TRIM(MID(TRIM('MSR RAW'!C950),SEARCH(" - ",TRIM('MSR RAW'!C950))+3,LEN(TRIM('MSR RAW'!C950))-SEARCH(" - ",TRIM('MSR RAW'!C950))-9)))</f>
        <v/>
      </c>
      <c r="G950">
        <f>IF(E950="","",IFERROR(VLOOKUP(E950,'CATEGORY MAP'!$A$2:$B$20,2,FALSE()),"REVIEW"))</f>
        <v/>
      </c>
      <c r="H950">
        <f>IF(E950="","",IFERROR(VALUE(SUBSTITUTE('MSR RAW'!P950,",","")),0))</f>
        <v/>
      </c>
      <c r="I950">
        <f>IF(E950="","",IFERROR(VALUE(SUBSTITUTE('MSR RAW'!S950,",","")),0))</f>
        <v/>
      </c>
    </row>
    <row r="951" ht="68.65000000000001" customHeight="1" s="126">
      <c r="A951" t="n">
        <v>951</v>
      </c>
      <c r="B951" s="30">
        <f>IF('MSR RAW'!$A$3="","",'MSR RAW'!$A$3)</f>
        <v/>
      </c>
      <c r="C951">
        <f>IF(LEFT(TRIM('MSR RAW'!A951),11)="Department:",TRIM('MSR RAW'!A951),C950)</f>
        <v/>
      </c>
      <c r="D951">
        <f>IF(LEFT(TRIM('MSR RAW'!B951),9)="Location:",TRIM(MID('MSR RAW'!B951,10,999)),D950)</f>
        <v/>
      </c>
      <c r="E951">
        <f>IF(AND(ISNUMBER(SEARCH(" - ",TRIM('MSR RAW'!C951))),RIGHT(TRIM('MSR RAW'!C951),6)="Total:"),LEFT(TRIM('MSR RAW'!C951),SEARCH(" - ",TRIM('MSR RAW'!C951))-1),"")</f>
        <v/>
      </c>
      <c r="F951">
        <f>IF(E951="","",TRIM(MID(TRIM('MSR RAW'!C951),SEARCH(" - ",TRIM('MSR RAW'!C951))+3,LEN(TRIM('MSR RAW'!C951))-SEARCH(" - ",TRIM('MSR RAW'!C951))-9)))</f>
        <v/>
      </c>
      <c r="G951">
        <f>IF(E951="","",IFERROR(VLOOKUP(E951,'CATEGORY MAP'!$A$2:$B$20,2,FALSE()),"REVIEW"))</f>
        <v/>
      </c>
      <c r="H951">
        <f>IF(E951="","",IFERROR(VALUE(SUBSTITUTE('MSR RAW'!P951,",","")),0))</f>
        <v/>
      </c>
      <c r="I951">
        <f>IF(E951="","",IFERROR(VALUE(SUBSTITUTE('MSR RAW'!S951,",","")),0))</f>
        <v/>
      </c>
    </row>
    <row r="952" ht="68.65000000000001" customHeight="1" s="126">
      <c r="A952" t="n">
        <v>952</v>
      </c>
      <c r="B952" s="30">
        <f>IF('MSR RAW'!$A$3="","",'MSR RAW'!$A$3)</f>
        <v/>
      </c>
      <c r="C952">
        <f>IF(LEFT(TRIM('MSR RAW'!A952),11)="Department:",TRIM('MSR RAW'!A952),C951)</f>
        <v/>
      </c>
      <c r="D952">
        <f>IF(LEFT(TRIM('MSR RAW'!B952),9)="Location:",TRIM(MID('MSR RAW'!B952,10,999)),D951)</f>
        <v/>
      </c>
      <c r="E952">
        <f>IF(AND(ISNUMBER(SEARCH(" - ",TRIM('MSR RAW'!C952))),RIGHT(TRIM('MSR RAW'!C952),6)="Total:"),LEFT(TRIM('MSR RAW'!C952),SEARCH(" - ",TRIM('MSR RAW'!C952))-1),"")</f>
        <v/>
      </c>
      <c r="F952">
        <f>IF(E952="","",TRIM(MID(TRIM('MSR RAW'!C952),SEARCH(" - ",TRIM('MSR RAW'!C952))+3,LEN(TRIM('MSR RAW'!C952))-SEARCH(" - ",TRIM('MSR RAW'!C952))-9)))</f>
        <v/>
      </c>
      <c r="G952">
        <f>IF(E952="","",IFERROR(VLOOKUP(E952,'CATEGORY MAP'!$A$2:$B$20,2,FALSE()),"REVIEW"))</f>
        <v/>
      </c>
      <c r="H952">
        <f>IF(E952="","",IFERROR(VALUE(SUBSTITUTE('MSR RAW'!P952,",","")),0))</f>
        <v/>
      </c>
      <c r="I952">
        <f>IF(E952="","",IFERROR(VALUE(SUBSTITUTE('MSR RAW'!S952,",","")),0))</f>
        <v/>
      </c>
    </row>
    <row r="953" ht="68.65000000000001" customHeight="1" s="126">
      <c r="A953" t="n">
        <v>953</v>
      </c>
      <c r="B953" s="30">
        <f>IF('MSR RAW'!$A$3="","",'MSR RAW'!$A$3)</f>
        <v/>
      </c>
      <c r="C953">
        <f>IF(LEFT(TRIM('MSR RAW'!A953),11)="Department:",TRIM('MSR RAW'!A953),C952)</f>
        <v/>
      </c>
      <c r="D953">
        <f>IF(LEFT(TRIM('MSR RAW'!B953),9)="Location:",TRIM(MID('MSR RAW'!B953,10,999)),D952)</f>
        <v/>
      </c>
      <c r="E953">
        <f>IF(AND(ISNUMBER(SEARCH(" - ",TRIM('MSR RAW'!C953))),RIGHT(TRIM('MSR RAW'!C953),6)="Total:"),LEFT(TRIM('MSR RAW'!C953),SEARCH(" - ",TRIM('MSR RAW'!C953))-1),"")</f>
        <v/>
      </c>
      <c r="F953">
        <f>IF(E953="","",TRIM(MID(TRIM('MSR RAW'!C953),SEARCH(" - ",TRIM('MSR RAW'!C953))+3,LEN(TRIM('MSR RAW'!C953))-SEARCH(" - ",TRIM('MSR RAW'!C953))-9)))</f>
        <v/>
      </c>
      <c r="G953">
        <f>IF(E953="","",IFERROR(VLOOKUP(E953,'CATEGORY MAP'!$A$2:$B$20,2,FALSE()),"REVIEW"))</f>
        <v/>
      </c>
      <c r="H953">
        <f>IF(E953="","",IFERROR(VALUE(SUBSTITUTE('MSR RAW'!P953,",","")),0))</f>
        <v/>
      </c>
      <c r="I953">
        <f>IF(E953="","",IFERROR(VALUE(SUBSTITUTE('MSR RAW'!S953,",","")),0))</f>
        <v/>
      </c>
    </row>
    <row r="954" ht="68.65000000000001" customHeight="1" s="126">
      <c r="A954" t="n">
        <v>954</v>
      </c>
      <c r="B954" s="30">
        <f>IF('MSR RAW'!$A$3="","",'MSR RAW'!$A$3)</f>
        <v/>
      </c>
      <c r="C954">
        <f>IF(LEFT(TRIM('MSR RAW'!A954),11)="Department:",TRIM('MSR RAW'!A954),C953)</f>
        <v/>
      </c>
      <c r="D954">
        <f>IF(LEFT(TRIM('MSR RAW'!B954),9)="Location:",TRIM(MID('MSR RAW'!B954,10,999)),D953)</f>
        <v/>
      </c>
      <c r="E954">
        <f>IF(AND(ISNUMBER(SEARCH(" - ",TRIM('MSR RAW'!C954))),RIGHT(TRIM('MSR RAW'!C954),6)="Total:"),LEFT(TRIM('MSR RAW'!C954),SEARCH(" - ",TRIM('MSR RAW'!C954))-1),"")</f>
        <v/>
      </c>
      <c r="F954">
        <f>IF(E954="","",TRIM(MID(TRIM('MSR RAW'!C954),SEARCH(" - ",TRIM('MSR RAW'!C954))+3,LEN(TRIM('MSR RAW'!C954))-SEARCH(" - ",TRIM('MSR RAW'!C954))-9)))</f>
        <v/>
      </c>
      <c r="G954">
        <f>IF(E954="","",IFERROR(VLOOKUP(E954,'CATEGORY MAP'!$A$2:$B$20,2,FALSE()),"REVIEW"))</f>
        <v/>
      </c>
      <c r="H954">
        <f>IF(E954="","",IFERROR(VALUE(SUBSTITUTE('MSR RAW'!P954,",","")),0))</f>
        <v/>
      </c>
      <c r="I954">
        <f>IF(E954="","",IFERROR(VALUE(SUBSTITUTE('MSR RAW'!S954,",","")),0))</f>
        <v/>
      </c>
    </row>
    <row r="955" ht="68.65000000000001" customHeight="1" s="126">
      <c r="A955" t="n">
        <v>955</v>
      </c>
      <c r="B955" s="30">
        <f>IF('MSR RAW'!$A$3="","",'MSR RAW'!$A$3)</f>
        <v/>
      </c>
      <c r="C955">
        <f>IF(LEFT(TRIM('MSR RAW'!A955),11)="Department:",TRIM('MSR RAW'!A955),C954)</f>
        <v/>
      </c>
      <c r="D955">
        <f>IF(LEFT(TRIM('MSR RAW'!B955),9)="Location:",TRIM(MID('MSR RAW'!B955,10,999)),D954)</f>
        <v/>
      </c>
      <c r="E955">
        <f>IF(AND(ISNUMBER(SEARCH(" - ",TRIM('MSR RAW'!C955))),RIGHT(TRIM('MSR RAW'!C955),6)="Total:"),LEFT(TRIM('MSR RAW'!C955),SEARCH(" - ",TRIM('MSR RAW'!C955))-1),"")</f>
        <v/>
      </c>
      <c r="F955">
        <f>IF(E955="","",TRIM(MID(TRIM('MSR RAW'!C955),SEARCH(" - ",TRIM('MSR RAW'!C955))+3,LEN(TRIM('MSR RAW'!C955))-SEARCH(" - ",TRIM('MSR RAW'!C955))-9)))</f>
        <v/>
      </c>
      <c r="G955">
        <f>IF(E955="","",IFERROR(VLOOKUP(E955,'CATEGORY MAP'!$A$2:$B$20,2,FALSE()),"REVIEW"))</f>
        <v/>
      </c>
      <c r="H955">
        <f>IF(E955="","",IFERROR(VALUE(SUBSTITUTE('MSR RAW'!P955,",","")),0))</f>
        <v/>
      </c>
      <c r="I955">
        <f>IF(E955="","",IFERROR(VALUE(SUBSTITUTE('MSR RAW'!S955,",","")),0))</f>
        <v/>
      </c>
    </row>
    <row r="956" ht="68.65000000000001" customHeight="1" s="126">
      <c r="A956" t="n">
        <v>956</v>
      </c>
      <c r="B956" s="30">
        <f>IF('MSR RAW'!$A$3="","",'MSR RAW'!$A$3)</f>
        <v/>
      </c>
      <c r="C956">
        <f>IF(LEFT(TRIM('MSR RAW'!A956),11)="Department:",TRIM('MSR RAW'!A956),C955)</f>
        <v/>
      </c>
      <c r="D956">
        <f>IF(LEFT(TRIM('MSR RAW'!B956),9)="Location:",TRIM(MID('MSR RAW'!B956,10,999)),D955)</f>
        <v/>
      </c>
      <c r="E956">
        <f>IF(AND(ISNUMBER(SEARCH(" - ",TRIM('MSR RAW'!C956))),RIGHT(TRIM('MSR RAW'!C956),6)="Total:"),LEFT(TRIM('MSR RAW'!C956),SEARCH(" - ",TRIM('MSR RAW'!C956))-1),"")</f>
        <v/>
      </c>
      <c r="F956">
        <f>IF(E956="","",TRIM(MID(TRIM('MSR RAW'!C956),SEARCH(" - ",TRIM('MSR RAW'!C956))+3,LEN(TRIM('MSR RAW'!C956))-SEARCH(" - ",TRIM('MSR RAW'!C956))-9)))</f>
        <v/>
      </c>
      <c r="G956">
        <f>IF(E956="","",IFERROR(VLOOKUP(E956,'CATEGORY MAP'!$A$2:$B$20,2,FALSE()),"REVIEW"))</f>
        <v/>
      </c>
      <c r="H956">
        <f>IF(E956="","",IFERROR(VALUE(SUBSTITUTE('MSR RAW'!P956,",","")),0))</f>
        <v/>
      </c>
      <c r="I956">
        <f>IF(E956="","",IFERROR(VALUE(SUBSTITUTE('MSR RAW'!S956,",","")),0))</f>
        <v/>
      </c>
    </row>
    <row r="957" ht="68.65000000000001" customHeight="1" s="126">
      <c r="A957" t="n">
        <v>957</v>
      </c>
      <c r="B957" s="30">
        <f>IF('MSR RAW'!$A$3="","",'MSR RAW'!$A$3)</f>
        <v/>
      </c>
      <c r="C957">
        <f>IF(LEFT(TRIM('MSR RAW'!A957),11)="Department:",TRIM('MSR RAW'!A957),C956)</f>
        <v/>
      </c>
      <c r="D957">
        <f>IF(LEFT(TRIM('MSR RAW'!B957),9)="Location:",TRIM(MID('MSR RAW'!B957,10,999)),D956)</f>
        <v/>
      </c>
      <c r="E957">
        <f>IF(AND(ISNUMBER(SEARCH(" - ",TRIM('MSR RAW'!C957))),RIGHT(TRIM('MSR RAW'!C957),6)="Total:"),LEFT(TRIM('MSR RAW'!C957),SEARCH(" - ",TRIM('MSR RAW'!C957))-1),"")</f>
        <v/>
      </c>
      <c r="F957">
        <f>IF(E957="","",TRIM(MID(TRIM('MSR RAW'!C957),SEARCH(" - ",TRIM('MSR RAW'!C957))+3,LEN(TRIM('MSR RAW'!C957))-SEARCH(" - ",TRIM('MSR RAW'!C957))-9)))</f>
        <v/>
      </c>
      <c r="G957">
        <f>IF(E957="","",IFERROR(VLOOKUP(E957,'CATEGORY MAP'!$A$2:$B$20,2,FALSE()),"REVIEW"))</f>
        <v/>
      </c>
      <c r="H957">
        <f>IF(E957="","",IFERROR(VALUE(SUBSTITUTE('MSR RAW'!P957,",","")),0))</f>
        <v/>
      </c>
      <c r="I957">
        <f>IF(E957="","",IFERROR(VALUE(SUBSTITUTE('MSR RAW'!S957,",","")),0))</f>
        <v/>
      </c>
    </row>
    <row r="958" ht="68.65000000000001" customHeight="1" s="126">
      <c r="A958" t="n">
        <v>958</v>
      </c>
      <c r="B958" s="30">
        <f>IF('MSR RAW'!$A$3="","",'MSR RAW'!$A$3)</f>
        <v/>
      </c>
      <c r="C958">
        <f>IF(LEFT(TRIM('MSR RAW'!A958),11)="Department:",TRIM('MSR RAW'!A958),C957)</f>
        <v/>
      </c>
      <c r="D958">
        <f>IF(LEFT(TRIM('MSR RAW'!B958),9)="Location:",TRIM(MID('MSR RAW'!B958,10,999)),D957)</f>
        <v/>
      </c>
      <c r="E958">
        <f>IF(AND(ISNUMBER(SEARCH(" - ",TRIM('MSR RAW'!C958))),RIGHT(TRIM('MSR RAW'!C958),6)="Total:"),LEFT(TRIM('MSR RAW'!C958),SEARCH(" - ",TRIM('MSR RAW'!C958))-1),"")</f>
        <v/>
      </c>
      <c r="F958">
        <f>IF(E958="","",TRIM(MID(TRIM('MSR RAW'!C958),SEARCH(" - ",TRIM('MSR RAW'!C958))+3,LEN(TRIM('MSR RAW'!C958))-SEARCH(" - ",TRIM('MSR RAW'!C958))-9)))</f>
        <v/>
      </c>
      <c r="G958">
        <f>IF(E958="","",IFERROR(VLOOKUP(E958,'CATEGORY MAP'!$A$2:$B$20,2,FALSE()),"REVIEW"))</f>
        <v/>
      </c>
      <c r="H958">
        <f>IF(E958="","",IFERROR(VALUE(SUBSTITUTE('MSR RAW'!P958,",","")),0))</f>
        <v/>
      </c>
      <c r="I958">
        <f>IF(E958="","",IFERROR(VALUE(SUBSTITUTE('MSR RAW'!S958,",","")),0))</f>
        <v/>
      </c>
    </row>
    <row r="959" ht="68.65000000000001" customHeight="1" s="126">
      <c r="A959" t="n">
        <v>959</v>
      </c>
      <c r="B959" s="30">
        <f>IF('MSR RAW'!$A$3="","",'MSR RAW'!$A$3)</f>
        <v/>
      </c>
      <c r="C959">
        <f>IF(LEFT(TRIM('MSR RAW'!A959),11)="Department:",TRIM('MSR RAW'!A959),C958)</f>
        <v/>
      </c>
      <c r="D959">
        <f>IF(LEFT(TRIM('MSR RAW'!B959),9)="Location:",TRIM(MID('MSR RAW'!B959,10,999)),D958)</f>
        <v/>
      </c>
      <c r="E959">
        <f>IF(AND(ISNUMBER(SEARCH(" - ",TRIM('MSR RAW'!C959))),RIGHT(TRIM('MSR RAW'!C959),6)="Total:"),LEFT(TRIM('MSR RAW'!C959),SEARCH(" - ",TRIM('MSR RAW'!C959))-1),"")</f>
        <v/>
      </c>
      <c r="F959">
        <f>IF(E959="","",TRIM(MID(TRIM('MSR RAW'!C959),SEARCH(" - ",TRIM('MSR RAW'!C959))+3,LEN(TRIM('MSR RAW'!C959))-SEARCH(" - ",TRIM('MSR RAW'!C959))-9)))</f>
        <v/>
      </c>
      <c r="G959">
        <f>IF(E959="","",IFERROR(VLOOKUP(E959,'CATEGORY MAP'!$A$2:$B$20,2,FALSE()),"REVIEW"))</f>
        <v/>
      </c>
      <c r="H959">
        <f>IF(E959="","",IFERROR(VALUE(SUBSTITUTE('MSR RAW'!P959,",","")),0))</f>
        <v/>
      </c>
      <c r="I959">
        <f>IF(E959="","",IFERROR(VALUE(SUBSTITUTE('MSR RAW'!S959,",","")),0))</f>
        <v/>
      </c>
    </row>
    <row r="960" ht="68.65000000000001" customHeight="1" s="126">
      <c r="A960" t="n">
        <v>960</v>
      </c>
      <c r="B960" s="30">
        <f>IF('MSR RAW'!$A$3="","",'MSR RAW'!$A$3)</f>
        <v/>
      </c>
      <c r="C960">
        <f>IF(LEFT(TRIM('MSR RAW'!A960),11)="Department:",TRIM('MSR RAW'!A960),C959)</f>
        <v/>
      </c>
      <c r="D960">
        <f>IF(LEFT(TRIM('MSR RAW'!B960),9)="Location:",TRIM(MID('MSR RAW'!B960,10,999)),D959)</f>
        <v/>
      </c>
      <c r="E960">
        <f>IF(AND(ISNUMBER(SEARCH(" - ",TRIM('MSR RAW'!C960))),RIGHT(TRIM('MSR RAW'!C960),6)="Total:"),LEFT(TRIM('MSR RAW'!C960),SEARCH(" - ",TRIM('MSR RAW'!C960))-1),"")</f>
        <v/>
      </c>
      <c r="F960">
        <f>IF(E960="","",TRIM(MID(TRIM('MSR RAW'!C960),SEARCH(" - ",TRIM('MSR RAW'!C960))+3,LEN(TRIM('MSR RAW'!C960))-SEARCH(" - ",TRIM('MSR RAW'!C960))-9)))</f>
        <v/>
      </c>
      <c r="G960">
        <f>IF(E960="","",IFERROR(VLOOKUP(E960,'CATEGORY MAP'!$A$2:$B$20,2,FALSE()),"REVIEW"))</f>
        <v/>
      </c>
      <c r="H960">
        <f>IF(E960="","",IFERROR(VALUE(SUBSTITUTE('MSR RAW'!P960,",","")),0))</f>
        <v/>
      </c>
      <c r="I960">
        <f>IF(E960="","",IFERROR(VALUE(SUBSTITUTE('MSR RAW'!S960,",","")),0))</f>
        <v/>
      </c>
    </row>
    <row r="961" ht="68.65000000000001" customHeight="1" s="126">
      <c r="A961" t="n">
        <v>961</v>
      </c>
      <c r="B961" s="30">
        <f>IF('MSR RAW'!$A$3="","",'MSR RAW'!$A$3)</f>
        <v/>
      </c>
      <c r="C961">
        <f>IF(LEFT(TRIM('MSR RAW'!A961),11)="Department:",TRIM('MSR RAW'!A961),C960)</f>
        <v/>
      </c>
      <c r="D961">
        <f>IF(LEFT(TRIM('MSR RAW'!B961),9)="Location:",TRIM(MID('MSR RAW'!B961,10,999)),D960)</f>
        <v/>
      </c>
      <c r="E961">
        <f>IF(AND(ISNUMBER(SEARCH(" - ",TRIM('MSR RAW'!C961))),RIGHT(TRIM('MSR RAW'!C961),6)="Total:"),LEFT(TRIM('MSR RAW'!C961),SEARCH(" - ",TRIM('MSR RAW'!C961))-1),"")</f>
        <v/>
      </c>
      <c r="F961">
        <f>IF(E961="","",TRIM(MID(TRIM('MSR RAW'!C961),SEARCH(" - ",TRIM('MSR RAW'!C961))+3,LEN(TRIM('MSR RAW'!C961))-SEARCH(" - ",TRIM('MSR RAW'!C961))-9)))</f>
        <v/>
      </c>
      <c r="G961">
        <f>IF(E961="","",IFERROR(VLOOKUP(E961,'CATEGORY MAP'!$A$2:$B$20,2,FALSE()),"REVIEW"))</f>
        <v/>
      </c>
      <c r="H961">
        <f>IF(E961="","",IFERROR(VALUE(SUBSTITUTE('MSR RAW'!P961,",","")),0))</f>
        <v/>
      </c>
      <c r="I961">
        <f>IF(E961="","",IFERROR(VALUE(SUBSTITUTE('MSR RAW'!S961,",","")),0))</f>
        <v/>
      </c>
    </row>
    <row r="962" ht="68.65000000000001" customHeight="1" s="126">
      <c r="A962" t="n">
        <v>962</v>
      </c>
      <c r="B962" s="30">
        <f>IF('MSR RAW'!$A$3="","",'MSR RAW'!$A$3)</f>
        <v/>
      </c>
      <c r="C962">
        <f>IF(LEFT(TRIM('MSR RAW'!A962),11)="Department:",TRIM('MSR RAW'!A962),C961)</f>
        <v/>
      </c>
      <c r="D962">
        <f>IF(LEFT(TRIM('MSR RAW'!B962),9)="Location:",TRIM(MID('MSR RAW'!B962,10,999)),D961)</f>
        <v/>
      </c>
      <c r="E962">
        <f>IF(AND(ISNUMBER(SEARCH(" - ",TRIM('MSR RAW'!C962))),RIGHT(TRIM('MSR RAW'!C962),6)="Total:"),LEFT(TRIM('MSR RAW'!C962),SEARCH(" - ",TRIM('MSR RAW'!C962))-1),"")</f>
        <v/>
      </c>
      <c r="F962">
        <f>IF(E962="","",TRIM(MID(TRIM('MSR RAW'!C962),SEARCH(" - ",TRIM('MSR RAW'!C962))+3,LEN(TRIM('MSR RAW'!C962))-SEARCH(" - ",TRIM('MSR RAW'!C962))-9)))</f>
        <v/>
      </c>
      <c r="G962">
        <f>IF(E962="","",IFERROR(VLOOKUP(E962,'CATEGORY MAP'!$A$2:$B$20,2,FALSE()),"REVIEW"))</f>
        <v/>
      </c>
      <c r="H962">
        <f>IF(E962="","",IFERROR(VALUE(SUBSTITUTE('MSR RAW'!P962,",","")),0))</f>
        <v/>
      </c>
      <c r="I962">
        <f>IF(E962="","",IFERROR(VALUE(SUBSTITUTE('MSR RAW'!S962,",","")),0))</f>
        <v/>
      </c>
    </row>
    <row r="963" ht="68.65000000000001" customHeight="1" s="126">
      <c r="A963" t="n">
        <v>963</v>
      </c>
      <c r="B963" s="30">
        <f>IF('MSR RAW'!$A$3="","",'MSR RAW'!$A$3)</f>
        <v/>
      </c>
      <c r="C963">
        <f>IF(LEFT(TRIM('MSR RAW'!A963),11)="Department:",TRIM('MSR RAW'!A963),C962)</f>
        <v/>
      </c>
      <c r="D963">
        <f>IF(LEFT(TRIM('MSR RAW'!B963),9)="Location:",TRIM(MID('MSR RAW'!B963,10,999)),D962)</f>
        <v/>
      </c>
      <c r="E963">
        <f>IF(AND(ISNUMBER(SEARCH(" - ",TRIM('MSR RAW'!C963))),RIGHT(TRIM('MSR RAW'!C963),6)="Total:"),LEFT(TRIM('MSR RAW'!C963),SEARCH(" - ",TRIM('MSR RAW'!C963))-1),"")</f>
        <v/>
      </c>
      <c r="F963">
        <f>IF(E963="","",TRIM(MID(TRIM('MSR RAW'!C963),SEARCH(" - ",TRIM('MSR RAW'!C963))+3,LEN(TRIM('MSR RAW'!C963))-SEARCH(" - ",TRIM('MSR RAW'!C963))-9)))</f>
        <v/>
      </c>
      <c r="G963">
        <f>IF(E963="","",IFERROR(VLOOKUP(E963,'CATEGORY MAP'!$A$2:$B$20,2,FALSE()),"REVIEW"))</f>
        <v/>
      </c>
      <c r="H963">
        <f>IF(E963="","",IFERROR(VALUE(SUBSTITUTE('MSR RAW'!P963,",","")),0))</f>
        <v/>
      </c>
      <c r="I963">
        <f>IF(E963="","",IFERROR(VALUE(SUBSTITUTE('MSR RAW'!S963,",","")),0))</f>
        <v/>
      </c>
    </row>
    <row r="964" ht="68.65000000000001" customHeight="1" s="126">
      <c r="A964" t="n">
        <v>964</v>
      </c>
      <c r="B964" s="30">
        <f>IF('MSR RAW'!$A$3="","",'MSR RAW'!$A$3)</f>
        <v/>
      </c>
      <c r="C964">
        <f>IF(LEFT(TRIM('MSR RAW'!A964),11)="Department:",TRIM('MSR RAW'!A964),C963)</f>
        <v/>
      </c>
      <c r="D964">
        <f>IF(LEFT(TRIM('MSR RAW'!B964),9)="Location:",TRIM(MID('MSR RAW'!B964,10,999)),D963)</f>
        <v/>
      </c>
      <c r="E964">
        <f>IF(AND(ISNUMBER(SEARCH(" - ",TRIM('MSR RAW'!C964))),RIGHT(TRIM('MSR RAW'!C964),6)="Total:"),LEFT(TRIM('MSR RAW'!C964),SEARCH(" - ",TRIM('MSR RAW'!C964))-1),"")</f>
        <v/>
      </c>
      <c r="F964">
        <f>IF(E964="","",TRIM(MID(TRIM('MSR RAW'!C964),SEARCH(" - ",TRIM('MSR RAW'!C964))+3,LEN(TRIM('MSR RAW'!C964))-SEARCH(" - ",TRIM('MSR RAW'!C964))-9)))</f>
        <v/>
      </c>
      <c r="G964">
        <f>IF(E964="","",IFERROR(VLOOKUP(E964,'CATEGORY MAP'!$A$2:$B$20,2,FALSE()),"REVIEW"))</f>
        <v/>
      </c>
      <c r="H964">
        <f>IF(E964="","",IFERROR(VALUE(SUBSTITUTE('MSR RAW'!P964,",","")),0))</f>
        <v/>
      </c>
      <c r="I964">
        <f>IF(E964="","",IFERROR(VALUE(SUBSTITUTE('MSR RAW'!S964,",","")),0))</f>
        <v/>
      </c>
    </row>
    <row r="965" ht="68.65000000000001" customHeight="1" s="126">
      <c r="A965" t="n">
        <v>965</v>
      </c>
      <c r="B965" s="30">
        <f>IF('MSR RAW'!$A$3="","",'MSR RAW'!$A$3)</f>
        <v/>
      </c>
      <c r="C965">
        <f>IF(LEFT(TRIM('MSR RAW'!A965),11)="Department:",TRIM('MSR RAW'!A965),C964)</f>
        <v/>
      </c>
      <c r="D965">
        <f>IF(LEFT(TRIM('MSR RAW'!B965),9)="Location:",TRIM(MID('MSR RAW'!B965,10,999)),D964)</f>
        <v/>
      </c>
      <c r="E965">
        <f>IF(AND(ISNUMBER(SEARCH(" - ",TRIM('MSR RAW'!C965))),RIGHT(TRIM('MSR RAW'!C965),6)="Total:"),LEFT(TRIM('MSR RAW'!C965),SEARCH(" - ",TRIM('MSR RAW'!C965))-1),"")</f>
        <v/>
      </c>
      <c r="F965">
        <f>IF(E965="","",TRIM(MID(TRIM('MSR RAW'!C965),SEARCH(" - ",TRIM('MSR RAW'!C965))+3,LEN(TRIM('MSR RAW'!C965))-SEARCH(" - ",TRIM('MSR RAW'!C965))-9)))</f>
        <v/>
      </c>
      <c r="G965">
        <f>IF(E965="","",IFERROR(VLOOKUP(E965,'CATEGORY MAP'!$A$2:$B$20,2,FALSE()),"REVIEW"))</f>
        <v/>
      </c>
      <c r="H965">
        <f>IF(E965="","",IFERROR(VALUE(SUBSTITUTE('MSR RAW'!P965,",","")),0))</f>
        <v/>
      </c>
      <c r="I965">
        <f>IF(E965="","",IFERROR(VALUE(SUBSTITUTE('MSR RAW'!S965,",","")),0))</f>
        <v/>
      </c>
    </row>
    <row r="966" ht="68.65000000000001" customHeight="1" s="126">
      <c r="A966" t="n">
        <v>966</v>
      </c>
      <c r="B966" s="30">
        <f>IF('MSR RAW'!$A$3="","",'MSR RAW'!$A$3)</f>
        <v/>
      </c>
      <c r="C966">
        <f>IF(LEFT(TRIM('MSR RAW'!A966),11)="Department:",TRIM('MSR RAW'!A966),C965)</f>
        <v/>
      </c>
      <c r="D966">
        <f>IF(LEFT(TRIM('MSR RAW'!B966),9)="Location:",TRIM(MID('MSR RAW'!B966,10,999)),D965)</f>
        <v/>
      </c>
      <c r="E966">
        <f>IF(AND(ISNUMBER(SEARCH(" - ",TRIM('MSR RAW'!C966))),RIGHT(TRIM('MSR RAW'!C966),6)="Total:"),LEFT(TRIM('MSR RAW'!C966),SEARCH(" - ",TRIM('MSR RAW'!C966))-1),"")</f>
        <v/>
      </c>
      <c r="F966">
        <f>IF(E966="","",TRIM(MID(TRIM('MSR RAW'!C966),SEARCH(" - ",TRIM('MSR RAW'!C966))+3,LEN(TRIM('MSR RAW'!C966))-SEARCH(" - ",TRIM('MSR RAW'!C966))-9)))</f>
        <v/>
      </c>
      <c r="G966">
        <f>IF(E966="","",IFERROR(VLOOKUP(E966,'CATEGORY MAP'!$A$2:$B$20,2,FALSE()),"REVIEW"))</f>
        <v/>
      </c>
      <c r="H966">
        <f>IF(E966="","",IFERROR(VALUE(SUBSTITUTE('MSR RAW'!P966,",","")),0))</f>
        <v/>
      </c>
      <c r="I966">
        <f>IF(E966="","",IFERROR(VALUE(SUBSTITUTE('MSR RAW'!S966,",","")),0))</f>
        <v/>
      </c>
    </row>
    <row r="967" ht="68.65000000000001" customHeight="1" s="126">
      <c r="A967" t="n">
        <v>967</v>
      </c>
      <c r="B967" s="30">
        <f>IF('MSR RAW'!$A$3="","",'MSR RAW'!$A$3)</f>
        <v/>
      </c>
      <c r="C967">
        <f>IF(LEFT(TRIM('MSR RAW'!A967),11)="Department:",TRIM('MSR RAW'!A967),C966)</f>
        <v/>
      </c>
      <c r="D967">
        <f>IF(LEFT(TRIM('MSR RAW'!B967),9)="Location:",TRIM(MID('MSR RAW'!B967,10,999)),D966)</f>
        <v/>
      </c>
      <c r="E967">
        <f>IF(AND(ISNUMBER(SEARCH(" - ",TRIM('MSR RAW'!C967))),RIGHT(TRIM('MSR RAW'!C967),6)="Total:"),LEFT(TRIM('MSR RAW'!C967),SEARCH(" - ",TRIM('MSR RAW'!C967))-1),"")</f>
        <v/>
      </c>
      <c r="F967">
        <f>IF(E967="","",TRIM(MID(TRIM('MSR RAW'!C967),SEARCH(" - ",TRIM('MSR RAW'!C967))+3,LEN(TRIM('MSR RAW'!C967))-SEARCH(" - ",TRIM('MSR RAW'!C967))-9)))</f>
        <v/>
      </c>
      <c r="G967">
        <f>IF(E967="","",IFERROR(VLOOKUP(E967,'CATEGORY MAP'!$A$2:$B$20,2,FALSE()),"REVIEW"))</f>
        <v/>
      </c>
      <c r="H967">
        <f>IF(E967="","",IFERROR(VALUE(SUBSTITUTE('MSR RAW'!P967,",","")),0))</f>
        <v/>
      </c>
      <c r="I967">
        <f>IF(E967="","",IFERROR(VALUE(SUBSTITUTE('MSR RAW'!S967,",","")),0))</f>
        <v/>
      </c>
    </row>
    <row r="968" ht="68.65000000000001" customHeight="1" s="126">
      <c r="A968" t="n">
        <v>968</v>
      </c>
      <c r="B968" s="30">
        <f>IF('MSR RAW'!$A$3="","",'MSR RAW'!$A$3)</f>
        <v/>
      </c>
      <c r="C968">
        <f>IF(LEFT(TRIM('MSR RAW'!A968),11)="Department:",TRIM('MSR RAW'!A968),C967)</f>
        <v/>
      </c>
      <c r="D968">
        <f>IF(LEFT(TRIM('MSR RAW'!B968),9)="Location:",TRIM(MID('MSR RAW'!B968,10,999)),D967)</f>
        <v/>
      </c>
      <c r="E968">
        <f>IF(AND(ISNUMBER(SEARCH(" - ",TRIM('MSR RAW'!C968))),RIGHT(TRIM('MSR RAW'!C968),6)="Total:"),LEFT(TRIM('MSR RAW'!C968),SEARCH(" - ",TRIM('MSR RAW'!C968))-1),"")</f>
        <v/>
      </c>
      <c r="F968">
        <f>IF(E968="","",TRIM(MID(TRIM('MSR RAW'!C968),SEARCH(" - ",TRIM('MSR RAW'!C968))+3,LEN(TRIM('MSR RAW'!C968))-SEARCH(" - ",TRIM('MSR RAW'!C968))-9)))</f>
        <v/>
      </c>
      <c r="G968">
        <f>IF(E968="","",IFERROR(VLOOKUP(E968,'CATEGORY MAP'!$A$2:$B$20,2,FALSE()),"REVIEW"))</f>
        <v/>
      </c>
      <c r="H968">
        <f>IF(E968="","",IFERROR(VALUE(SUBSTITUTE('MSR RAW'!P968,",","")),0))</f>
        <v/>
      </c>
      <c r="I968">
        <f>IF(E968="","",IFERROR(VALUE(SUBSTITUTE('MSR RAW'!S968,",","")),0))</f>
        <v/>
      </c>
    </row>
    <row r="969" ht="68.65000000000001" customHeight="1" s="126">
      <c r="A969" t="n">
        <v>969</v>
      </c>
      <c r="B969" s="30">
        <f>IF('MSR RAW'!$A$3="","",'MSR RAW'!$A$3)</f>
        <v/>
      </c>
      <c r="C969">
        <f>IF(LEFT(TRIM('MSR RAW'!A969),11)="Department:",TRIM('MSR RAW'!A969),C968)</f>
        <v/>
      </c>
      <c r="D969">
        <f>IF(LEFT(TRIM('MSR RAW'!B969),9)="Location:",TRIM(MID('MSR RAW'!B969,10,999)),D968)</f>
        <v/>
      </c>
      <c r="E969">
        <f>IF(AND(ISNUMBER(SEARCH(" - ",TRIM('MSR RAW'!C969))),RIGHT(TRIM('MSR RAW'!C969),6)="Total:"),LEFT(TRIM('MSR RAW'!C969),SEARCH(" - ",TRIM('MSR RAW'!C969))-1),"")</f>
        <v/>
      </c>
      <c r="F969">
        <f>IF(E969="","",TRIM(MID(TRIM('MSR RAW'!C969),SEARCH(" - ",TRIM('MSR RAW'!C969))+3,LEN(TRIM('MSR RAW'!C969))-SEARCH(" - ",TRIM('MSR RAW'!C969))-9)))</f>
        <v/>
      </c>
      <c r="G969">
        <f>IF(E969="","",IFERROR(VLOOKUP(E969,'CATEGORY MAP'!$A$2:$B$20,2,FALSE()),"REVIEW"))</f>
        <v/>
      </c>
      <c r="H969">
        <f>IF(E969="","",IFERROR(VALUE(SUBSTITUTE('MSR RAW'!P969,",","")),0))</f>
        <v/>
      </c>
      <c r="I969">
        <f>IF(E969="","",IFERROR(VALUE(SUBSTITUTE('MSR RAW'!S969,",","")),0))</f>
        <v/>
      </c>
    </row>
    <row r="970" ht="68.65000000000001" customHeight="1" s="126">
      <c r="A970" t="n">
        <v>970</v>
      </c>
      <c r="B970" s="30">
        <f>IF('MSR RAW'!$A$3="","",'MSR RAW'!$A$3)</f>
        <v/>
      </c>
      <c r="C970">
        <f>IF(LEFT(TRIM('MSR RAW'!A970),11)="Department:",TRIM('MSR RAW'!A970),C969)</f>
        <v/>
      </c>
      <c r="D970">
        <f>IF(LEFT(TRIM('MSR RAW'!B970),9)="Location:",TRIM(MID('MSR RAW'!B970,10,999)),D969)</f>
        <v/>
      </c>
      <c r="E970">
        <f>IF(AND(ISNUMBER(SEARCH(" - ",TRIM('MSR RAW'!C970))),RIGHT(TRIM('MSR RAW'!C970),6)="Total:"),LEFT(TRIM('MSR RAW'!C970),SEARCH(" - ",TRIM('MSR RAW'!C970))-1),"")</f>
        <v/>
      </c>
      <c r="F970">
        <f>IF(E970="","",TRIM(MID(TRIM('MSR RAW'!C970),SEARCH(" - ",TRIM('MSR RAW'!C970))+3,LEN(TRIM('MSR RAW'!C970))-SEARCH(" - ",TRIM('MSR RAW'!C970))-9)))</f>
        <v/>
      </c>
      <c r="G970">
        <f>IF(E970="","",IFERROR(VLOOKUP(E970,'CATEGORY MAP'!$A$2:$B$20,2,FALSE()),"REVIEW"))</f>
        <v/>
      </c>
      <c r="H970">
        <f>IF(E970="","",IFERROR(VALUE(SUBSTITUTE('MSR RAW'!P970,",","")),0))</f>
        <v/>
      </c>
      <c r="I970">
        <f>IF(E970="","",IFERROR(VALUE(SUBSTITUTE('MSR RAW'!S970,",","")),0))</f>
        <v/>
      </c>
    </row>
    <row r="971" ht="68.65000000000001" customHeight="1" s="126">
      <c r="A971" t="n">
        <v>971</v>
      </c>
      <c r="B971" s="30">
        <f>IF('MSR RAW'!$A$3="","",'MSR RAW'!$A$3)</f>
        <v/>
      </c>
      <c r="C971">
        <f>IF(LEFT(TRIM('MSR RAW'!A971),11)="Department:",TRIM('MSR RAW'!A971),C970)</f>
        <v/>
      </c>
      <c r="D971">
        <f>IF(LEFT(TRIM('MSR RAW'!B971),9)="Location:",TRIM(MID('MSR RAW'!B971,10,999)),D970)</f>
        <v/>
      </c>
      <c r="E971">
        <f>IF(AND(ISNUMBER(SEARCH(" - ",TRIM('MSR RAW'!C971))),RIGHT(TRIM('MSR RAW'!C971),6)="Total:"),LEFT(TRIM('MSR RAW'!C971),SEARCH(" - ",TRIM('MSR RAW'!C971))-1),"")</f>
        <v/>
      </c>
      <c r="F971">
        <f>IF(E971="","",TRIM(MID(TRIM('MSR RAW'!C971),SEARCH(" - ",TRIM('MSR RAW'!C971))+3,LEN(TRIM('MSR RAW'!C971))-SEARCH(" - ",TRIM('MSR RAW'!C971))-9)))</f>
        <v/>
      </c>
      <c r="G971">
        <f>IF(E971="","",IFERROR(VLOOKUP(E971,'CATEGORY MAP'!$A$2:$B$20,2,FALSE()),"REVIEW"))</f>
        <v/>
      </c>
      <c r="H971">
        <f>IF(E971="","",IFERROR(VALUE(SUBSTITUTE('MSR RAW'!P971,",","")),0))</f>
        <v/>
      </c>
      <c r="I971">
        <f>IF(E971="","",IFERROR(VALUE(SUBSTITUTE('MSR RAW'!S971,",","")),0))</f>
        <v/>
      </c>
    </row>
    <row r="972" ht="68.65000000000001" customHeight="1" s="126">
      <c r="A972" t="n">
        <v>972</v>
      </c>
      <c r="B972" s="30">
        <f>IF('MSR RAW'!$A$3="","",'MSR RAW'!$A$3)</f>
        <v/>
      </c>
      <c r="C972">
        <f>IF(LEFT(TRIM('MSR RAW'!A972),11)="Department:",TRIM('MSR RAW'!A972),C971)</f>
        <v/>
      </c>
      <c r="D972">
        <f>IF(LEFT(TRIM('MSR RAW'!B972),9)="Location:",TRIM(MID('MSR RAW'!B972,10,999)),D971)</f>
        <v/>
      </c>
      <c r="E972">
        <f>IF(AND(ISNUMBER(SEARCH(" - ",TRIM('MSR RAW'!C972))),RIGHT(TRIM('MSR RAW'!C972),6)="Total:"),LEFT(TRIM('MSR RAW'!C972),SEARCH(" - ",TRIM('MSR RAW'!C972))-1),"")</f>
        <v/>
      </c>
      <c r="F972">
        <f>IF(E972="","",TRIM(MID(TRIM('MSR RAW'!C972),SEARCH(" - ",TRIM('MSR RAW'!C972))+3,LEN(TRIM('MSR RAW'!C972))-SEARCH(" - ",TRIM('MSR RAW'!C972))-9)))</f>
        <v/>
      </c>
      <c r="G972">
        <f>IF(E972="","",IFERROR(VLOOKUP(E972,'CATEGORY MAP'!$A$2:$B$20,2,FALSE()),"REVIEW"))</f>
        <v/>
      </c>
      <c r="H972">
        <f>IF(E972="","",IFERROR(VALUE(SUBSTITUTE('MSR RAW'!P972,",","")),0))</f>
        <v/>
      </c>
      <c r="I972">
        <f>IF(E972="","",IFERROR(VALUE(SUBSTITUTE('MSR RAW'!S972,",","")),0))</f>
        <v/>
      </c>
    </row>
    <row r="973" ht="68.65000000000001" customHeight="1" s="126">
      <c r="A973" t="n">
        <v>973</v>
      </c>
      <c r="B973" s="30">
        <f>IF('MSR RAW'!$A$3="","",'MSR RAW'!$A$3)</f>
        <v/>
      </c>
      <c r="C973">
        <f>IF(LEFT(TRIM('MSR RAW'!A973),11)="Department:",TRIM('MSR RAW'!A973),C972)</f>
        <v/>
      </c>
      <c r="D973">
        <f>IF(LEFT(TRIM('MSR RAW'!B973),9)="Location:",TRIM(MID('MSR RAW'!B973,10,999)),D972)</f>
        <v/>
      </c>
      <c r="E973">
        <f>IF(AND(ISNUMBER(SEARCH(" - ",TRIM('MSR RAW'!C973))),RIGHT(TRIM('MSR RAW'!C973),6)="Total:"),LEFT(TRIM('MSR RAW'!C973),SEARCH(" - ",TRIM('MSR RAW'!C973))-1),"")</f>
        <v/>
      </c>
      <c r="F973">
        <f>IF(E973="","",TRIM(MID(TRIM('MSR RAW'!C973),SEARCH(" - ",TRIM('MSR RAW'!C973))+3,LEN(TRIM('MSR RAW'!C973))-SEARCH(" - ",TRIM('MSR RAW'!C973))-9)))</f>
        <v/>
      </c>
      <c r="G973">
        <f>IF(E973="","",IFERROR(VLOOKUP(E973,'CATEGORY MAP'!$A$2:$B$20,2,FALSE()),"REVIEW"))</f>
        <v/>
      </c>
      <c r="H973">
        <f>IF(E973="","",IFERROR(VALUE(SUBSTITUTE('MSR RAW'!P973,",","")),0))</f>
        <v/>
      </c>
      <c r="I973">
        <f>IF(E973="","",IFERROR(VALUE(SUBSTITUTE('MSR RAW'!S973,",","")),0))</f>
        <v/>
      </c>
    </row>
    <row r="974" ht="68.65000000000001" customHeight="1" s="126">
      <c r="A974" t="n">
        <v>974</v>
      </c>
      <c r="B974" s="30">
        <f>IF('MSR RAW'!$A$3="","",'MSR RAW'!$A$3)</f>
        <v/>
      </c>
      <c r="C974">
        <f>IF(LEFT(TRIM('MSR RAW'!A974),11)="Department:",TRIM('MSR RAW'!A974),C973)</f>
        <v/>
      </c>
      <c r="D974">
        <f>IF(LEFT(TRIM('MSR RAW'!B974),9)="Location:",TRIM(MID('MSR RAW'!B974,10,999)),D973)</f>
        <v/>
      </c>
      <c r="E974">
        <f>IF(AND(ISNUMBER(SEARCH(" - ",TRIM('MSR RAW'!C974))),RIGHT(TRIM('MSR RAW'!C974),6)="Total:"),LEFT(TRIM('MSR RAW'!C974),SEARCH(" - ",TRIM('MSR RAW'!C974))-1),"")</f>
        <v/>
      </c>
      <c r="F974">
        <f>IF(E974="","",TRIM(MID(TRIM('MSR RAW'!C974),SEARCH(" - ",TRIM('MSR RAW'!C974))+3,LEN(TRIM('MSR RAW'!C974))-SEARCH(" - ",TRIM('MSR RAW'!C974))-9)))</f>
        <v/>
      </c>
      <c r="G974">
        <f>IF(E974="","",IFERROR(VLOOKUP(E974,'CATEGORY MAP'!$A$2:$B$20,2,FALSE()),"REVIEW"))</f>
        <v/>
      </c>
      <c r="H974">
        <f>IF(E974="","",IFERROR(VALUE(SUBSTITUTE('MSR RAW'!P974,",","")),0))</f>
        <v/>
      </c>
      <c r="I974">
        <f>IF(E974="","",IFERROR(VALUE(SUBSTITUTE('MSR RAW'!S974,",","")),0))</f>
        <v/>
      </c>
    </row>
    <row r="975" ht="68.65000000000001" customHeight="1" s="126">
      <c r="A975" t="n">
        <v>975</v>
      </c>
      <c r="B975" s="30">
        <f>IF('MSR RAW'!$A$3="","",'MSR RAW'!$A$3)</f>
        <v/>
      </c>
      <c r="C975">
        <f>IF(LEFT(TRIM('MSR RAW'!A975),11)="Department:",TRIM('MSR RAW'!A975),C974)</f>
        <v/>
      </c>
      <c r="D975">
        <f>IF(LEFT(TRIM('MSR RAW'!B975),9)="Location:",TRIM(MID('MSR RAW'!B975,10,999)),D974)</f>
        <v/>
      </c>
      <c r="E975">
        <f>IF(AND(ISNUMBER(SEARCH(" - ",TRIM('MSR RAW'!C975))),RIGHT(TRIM('MSR RAW'!C975),6)="Total:"),LEFT(TRIM('MSR RAW'!C975),SEARCH(" - ",TRIM('MSR RAW'!C975))-1),"")</f>
        <v/>
      </c>
      <c r="F975">
        <f>IF(E975="","",TRIM(MID(TRIM('MSR RAW'!C975),SEARCH(" - ",TRIM('MSR RAW'!C975))+3,LEN(TRIM('MSR RAW'!C975))-SEARCH(" - ",TRIM('MSR RAW'!C975))-9)))</f>
        <v/>
      </c>
      <c r="G975">
        <f>IF(E975="","",IFERROR(VLOOKUP(E975,'CATEGORY MAP'!$A$2:$B$20,2,FALSE()),"REVIEW"))</f>
        <v/>
      </c>
      <c r="H975">
        <f>IF(E975="","",IFERROR(VALUE(SUBSTITUTE('MSR RAW'!P975,",","")),0))</f>
        <v/>
      </c>
      <c r="I975">
        <f>IF(E975="","",IFERROR(VALUE(SUBSTITUTE('MSR RAW'!S975,",","")),0))</f>
        <v/>
      </c>
    </row>
    <row r="976" ht="68.65000000000001" customHeight="1" s="126">
      <c r="A976" t="n">
        <v>976</v>
      </c>
      <c r="B976" s="30">
        <f>IF('MSR RAW'!$A$3="","",'MSR RAW'!$A$3)</f>
        <v/>
      </c>
      <c r="C976">
        <f>IF(LEFT(TRIM('MSR RAW'!A976),11)="Department:",TRIM('MSR RAW'!A976),C975)</f>
        <v/>
      </c>
      <c r="D976">
        <f>IF(LEFT(TRIM('MSR RAW'!B976),9)="Location:",TRIM(MID('MSR RAW'!B976,10,999)),D975)</f>
        <v/>
      </c>
      <c r="E976">
        <f>IF(AND(ISNUMBER(SEARCH(" - ",TRIM('MSR RAW'!C976))),RIGHT(TRIM('MSR RAW'!C976),6)="Total:"),LEFT(TRIM('MSR RAW'!C976),SEARCH(" - ",TRIM('MSR RAW'!C976))-1),"")</f>
        <v/>
      </c>
      <c r="F976">
        <f>IF(E976="","",TRIM(MID(TRIM('MSR RAW'!C976),SEARCH(" - ",TRIM('MSR RAW'!C976))+3,LEN(TRIM('MSR RAW'!C976))-SEARCH(" - ",TRIM('MSR RAW'!C976))-9)))</f>
        <v/>
      </c>
      <c r="G976">
        <f>IF(E976="","",IFERROR(VLOOKUP(E976,'CATEGORY MAP'!$A$2:$B$20,2,FALSE()),"REVIEW"))</f>
        <v/>
      </c>
      <c r="H976">
        <f>IF(E976="","",IFERROR(VALUE(SUBSTITUTE('MSR RAW'!P976,",","")),0))</f>
        <v/>
      </c>
      <c r="I976">
        <f>IF(E976="","",IFERROR(VALUE(SUBSTITUTE('MSR RAW'!S976,",","")),0))</f>
        <v/>
      </c>
    </row>
    <row r="977" ht="68.65000000000001" customHeight="1" s="126">
      <c r="A977" t="n">
        <v>977</v>
      </c>
      <c r="B977" s="30">
        <f>IF('MSR RAW'!$A$3="","",'MSR RAW'!$A$3)</f>
        <v/>
      </c>
      <c r="C977">
        <f>IF(LEFT(TRIM('MSR RAW'!A977),11)="Department:",TRIM('MSR RAW'!A977),C976)</f>
        <v/>
      </c>
      <c r="D977">
        <f>IF(LEFT(TRIM('MSR RAW'!B977),9)="Location:",TRIM(MID('MSR RAW'!B977,10,999)),D976)</f>
        <v/>
      </c>
      <c r="E977">
        <f>IF(AND(ISNUMBER(SEARCH(" - ",TRIM('MSR RAW'!C977))),RIGHT(TRIM('MSR RAW'!C977),6)="Total:"),LEFT(TRIM('MSR RAW'!C977),SEARCH(" - ",TRIM('MSR RAW'!C977))-1),"")</f>
        <v/>
      </c>
      <c r="F977">
        <f>IF(E977="","",TRIM(MID(TRIM('MSR RAW'!C977),SEARCH(" - ",TRIM('MSR RAW'!C977))+3,LEN(TRIM('MSR RAW'!C977))-SEARCH(" - ",TRIM('MSR RAW'!C977))-9)))</f>
        <v/>
      </c>
      <c r="G977">
        <f>IF(E977="","",IFERROR(VLOOKUP(E977,'CATEGORY MAP'!$A$2:$B$20,2,FALSE()),"REVIEW"))</f>
        <v/>
      </c>
      <c r="H977">
        <f>IF(E977="","",IFERROR(VALUE(SUBSTITUTE('MSR RAW'!P977,",","")),0))</f>
        <v/>
      </c>
      <c r="I977">
        <f>IF(E977="","",IFERROR(VALUE(SUBSTITUTE('MSR RAW'!S977,",","")),0))</f>
        <v/>
      </c>
    </row>
    <row r="978" ht="68.65000000000001" customHeight="1" s="126">
      <c r="A978" t="n">
        <v>978</v>
      </c>
      <c r="B978" s="30">
        <f>IF('MSR RAW'!$A$3="","",'MSR RAW'!$A$3)</f>
        <v/>
      </c>
      <c r="C978">
        <f>IF(LEFT(TRIM('MSR RAW'!A978),11)="Department:",TRIM('MSR RAW'!A978),C977)</f>
        <v/>
      </c>
      <c r="D978">
        <f>IF(LEFT(TRIM('MSR RAW'!B978),9)="Location:",TRIM(MID('MSR RAW'!B978,10,999)),D977)</f>
        <v/>
      </c>
      <c r="E978">
        <f>IF(AND(ISNUMBER(SEARCH(" - ",TRIM('MSR RAW'!C978))),RIGHT(TRIM('MSR RAW'!C978),6)="Total:"),LEFT(TRIM('MSR RAW'!C978),SEARCH(" - ",TRIM('MSR RAW'!C978))-1),"")</f>
        <v/>
      </c>
      <c r="F978">
        <f>IF(E978="","",TRIM(MID(TRIM('MSR RAW'!C978),SEARCH(" - ",TRIM('MSR RAW'!C978))+3,LEN(TRIM('MSR RAW'!C978))-SEARCH(" - ",TRIM('MSR RAW'!C978))-9)))</f>
        <v/>
      </c>
      <c r="G978">
        <f>IF(E978="","",IFERROR(VLOOKUP(E978,'CATEGORY MAP'!$A$2:$B$20,2,FALSE()),"REVIEW"))</f>
        <v/>
      </c>
      <c r="H978">
        <f>IF(E978="","",IFERROR(VALUE(SUBSTITUTE('MSR RAW'!P978,",","")),0))</f>
        <v/>
      </c>
      <c r="I978">
        <f>IF(E978="","",IFERROR(VALUE(SUBSTITUTE('MSR RAW'!S978,",","")),0))</f>
        <v/>
      </c>
    </row>
    <row r="979" ht="68.65000000000001" customHeight="1" s="126">
      <c r="A979" t="n">
        <v>979</v>
      </c>
      <c r="B979" s="30">
        <f>IF('MSR RAW'!$A$3="","",'MSR RAW'!$A$3)</f>
        <v/>
      </c>
      <c r="C979">
        <f>IF(LEFT(TRIM('MSR RAW'!A979),11)="Department:",TRIM('MSR RAW'!A979),C978)</f>
        <v/>
      </c>
      <c r="D979">
        <f>IF(LEFT(TRIM('MSR RAW'!B979),9)="Location:",TRIM(MID('MSR RAW'!B979,10,999)),D978)</f>
        <v/>
      </c>
      <c r="E979">
        <f>IF(AND(ISNUMBER(SEARCH(" - ",TRIM('MSR RAW'!C979))),RIGHT(TRIM('MSR RAW'!C979),6)="Total:"),LEFT(TRIM('MSR RAW'!C979),SEARCH(" - ",TRIM('MSR RAW'!C979))-1),"")</f>
        <v/>
      </c>
      <c r="F979">
        <f>IF(E979="","",TRIM(MID(TRIM('MSR RAW'!C979),SEARCH(" - ",TRIM('MSR RAW'!C979))+3,LEN(TRIM('MSR RAW'!C979))-SEARCH(" - ",TRIM('MSR RAW'!C979))-9)))</f>
        <v/>
      </c>
      <c r="G979">
        <f>IF(E979="","",IFERROR(VLOOKUP(E979,'CATEGORY MAP'!$A$2:$B$20,2,FALSE()),"REVIEW"))</f>
        <v/>
      </c>
      <c r="H979">
        <f>IF(E979="","",IFERROR(VALUE(SUBSTITUTE('MSR RAW'!P979,",","")),0))</f>
        <v/>
      </c>
      <c r="I979">
        <f>IF(E979="","",IFERROR(VALUE(SUBSTITUTE('MSR RAW'!S979,",","")),0))</f>
        <v/>
      </c>
    </row>
    <row r="980" ht="68.65000000000001" customHeight="1" s="126">
      <c r="A980" t="n">
        <v>980</v>
      </c>
      <c r="B980" s="30">
        <f>IF('MSR RAW'!$A$3="","",'MSR RAW'!$A$3)</f>
        <v/>
      </c>
      <c r="C980">
        <f>IF(LEFT(TRIM('MSR RAW'!A980),11)="Department:",TRIM('MSR RAW'!A980),C979)</f>
        <v/>
      </c>
      <c r="D980">
        <f>IF(LEFT(TRIM('MSR RAW'!B980),9)="Location:",TRIM(MID('MSR RAW'!B980,10,999)),D979)</f>
        <v/>
      </c>
      <c r="E980">
        <f>IF(AND(ISNUMBER(SEARCH(" - ",TRIM('MSR RAW'!C980))),RIGHT(TRIM('MSR RAW'!C980),6)="Total:"),LEFT(TRIM('MSR RAW'!C980),SEARCH(" - ",TRIM('MSR RAW'!C980))-1),"")</f>
        <v/>
      </c>
      <c r="F980">
        <f>IF(E980="","",TRIM(MID(TRIM('MSR RAW'!C980),SEARCH(" - ",TRIM('MSR RAW'!C980))+3,LEN(TRIM('MSR RAW'!C980))-SEARCH(" - ",TRIM('MSR RAW'!C980))-9)))</f>
        <v/>
      </c>
      <c r="G980">
        <f>IF(E980="","",IFERROR(VLOOKUP(E980,'CATEGORY MAP'!$A$2:$B$20,2,FALSE()),"REVIEW"))</f>
        <v/>
      </c>
      <c r="H980">
        <f>IF(E980="","",IFERROR(VALUE(SUBSTITUTE('MSR RAW'!P980,",","")),0))</f>
        <v/>
      </c>
      <c r="I980">
        <f>IF(E980="","",IFERROR(VALUE(SUBSTITUTE('MSR RAW'!S980,",","")),0))</f>
        <v/>
      </c>
    </row>
    <row r="981" ht="68.65000000000001" customHeight="1" s="126">
      <c r="A981" t="n">
        <v>981</v>
      </c>
      <c r="B981" s="30">
        <f>IF('MSR RAW'!$A$3="","",'MSR RAW'!$A$3)</f>
        <v/>
      </c>
      <c r="C981">
        <f>IF(LEFT(TRIM('MSR RAW'!A981),11)="Department:",TRIM('MSR RAW'!A981),C980)</f>
        <v/>
      </c>
      <c r="D981">
        <f>IF(LEFT(TRIM('MSR RAW'!B981),9)="Location:",TRIM(MID('MSR RAW'!B981,10,999)),D980)</f>
        <v/>
      </c>
      <c r="E981">
        <f>IF(AND(ISNUMBER(SEARCH(" - ",TRIM('MSR RAW'!C981))),RIGHT(TRIM('MSR RAW'!C981),6)="Total:"),LEFT(TRIM('MSR RAW'!C981),SEARCH(" - ",TRIM('MSR RAW'!C981))-1),"")</f>
        <v/>
      </c>
      <c r="F981">
        <f>IF(E981="","",TRIM(MID(TRIM('MSR RAW'!C981),SEARCH(" - ",TRIM('MSR RAW'!C981))+3,LEN(TRIM('MSR RAW'!C981))-SEARCH(" - ",TRIM('MSR RAW'!C981))-9)))</f>
        <v/>
      </c>
      <c r="G981">
        <f>IF(E981="","",IFERROR(VLOOKUP(E981,'CATEGORY MAP'!$A$2:$B$20,2,FALSE()),"REVIEW"))</f>
        <v/>
      </c>
      <c r="H981">
        <f>IF(E981="","",IFERROR(VALUE(SUBSTITUTE('MSR RAW'!P981,",","")),0))</f>
        <v/>
      </c>
      <c r="I981">
        <f>IF(E981="","",IFERROR(VALUE(SUBSTITUTE('MSR RAW'!S981,",","")),0))</f>
        <v/>
      </c>
    </row>
    <row r="982" ht="68.65000000000001" customHeight="1" s="126">
      <c r="A982" t="n">
        <v>982</v>
      </c>
      <c r="B982" s="30">
        <f>IF('MSR RAW'!$A$3="","",'MSR RAW'!$A$3)</f>
        <v/>
      </c>
      <c r="C982">
        <f>IF(LEFT(TRIM('MSR RAW'!A982),11)="Department:",TRIM('MSR RAW'!A982),C981)</f>
        <v/>
      </c>
      <c r="D982">
        <f>IF(LEFT(TRIM('MSR RAW'!B982),9)="Location:",TRIM(MID('MSR RAW'!B982,10,999)),D981)</f>
        <v/>
      </c>
      <c r="E982">
        <f>IF(AND(ISNUMBER(SEARCH(" - ",TRIM('MSR RAW'!C982))),RIGHT(TRIM('MSR RAW'!C982),6)="Total:"),LEFT(TRIM('MSR RAW'!C982),SEARCH(" - ",TRIM('MSR RAW'!C982))-1),"")</f>
        <v/>
      </c>
      <c r="F982">
        <f>IF(E982="","",TRIM(MID(TRIM('MSR RAW'!C982),SEARCH(" - ",TRIM('MSR RAW'!C982))+3,LEN(TRIM('MSR RAW'!C982))-SEARCH(" - ",TRIM('MSR RAW'!C982))-9)))</f>
        <v/>
      </c>
      <c r="G982">
        <f>IF(E982="","",IFERROR(VLOOKUP(E982,'CATEGORY MAP'!$A$2:$B$20,2,FALSE()),"REVIEW"))</f>
        <v/>
      </c>
      <c r="H982">
        <f>IF(E982="","",IFERROR(VALUE(SUBSTITUTE('MSR RAW'!P982,",","")),0))</f>
        <v/>
      </c>
      <c r="I982">
        <f>IF(E982="","",IFERROR(VALUE(SUBSTITUTE('MSR RAW'!S982,",","")),0))</f>
        <v/>
      </c>
    </row>
    <row r="983" ht="68.65000000000001" customHeight="1" s="126">
      <c r="A983" t="n">
        <v>983</v>
      </c>
      <c r="B983" s="30">
        <f>IF('MSR RAW'!$A$3="","",'MSR RAW'!$A$3)</f>
        <v/>
      </c>
      <c r="C983">
        <f>IF(LEFT(TRIM('MSR RAW'!A983),11)="Department:",TRIM('MSR RAW'!A983),C982)</f>
        <v/>
      </c>
      <c r="D983">
        <f>IF(LEFT(TRIM('MSR RAW'!B983),9)="Location:",TRIM(MID('MSR RAW'!B983,10,999)),D982)</f>
        <v/>
      </c>
      <c r="E983">
        <f>IF(AND(ISNUMBER(SEARCH(" - ",TRIM('MSR RAW'!C983))),RIGHT(TRIM('MSR RAW'!C983),6)="Total:"),LEFT(TRIM('MSR RAW'!C983),SEARCH(" - ",TRIM('MSR RAW'!C983))-1),"")</f>
        <v/>
      </c>
      <c r="F983">
        <f>IF(E983="","",TRIM(MID(TRIM('MSR RAW'!C983),SEARCH(" - ",TRIM('MSR RAW'!C983))+3,LEN(TRIM('MSR RAW'!C983))-SEARCH(" - ",TRIM('MSR RAW'!C983))-9)))</f>
        <v/>
      </c>
      <c r="G983">
        <f>IF(E983="","",IFERROR(VLOOKUP(E983,'CATEGORY MAP'!$A$2:$B$20,2,FALSE()),"REVIEW"))</f>
        <v/>
      </c>
      <c r="H983">
        <f>IF(E983="","",IFERROR(VALUE(SUBSTITUTE('MSR RAW'!P983,",","")),0))</f>
        <v/>
      </c>
      <c r="I983">
        <f>IF(E983="","",IFERROR(VALUE(SUBSTITUTE('MSR RAW'!S983,",","")),0))</f>
        <v/>
      </c>
    </row>
    <row r="984" ht="68.65000000000001" customHeight="1" s="126">
      <c r="A984" t="n">
        <v>984</v>
      </c>
      <c r="B984" s="30">
        <f>IF('MSR RAW'!$A$3="","",'MSR RAW'!$A$3)</f>
        <v/>
      </c>
      <c r="C984">
        <f>IF(LEFT(TRIM('MSR RAW'!A984),11)="Department:",TRIM('MSR RAW'!A984),C983)</f>
        <v/>
      </c>
      <c r="D984">
        <f>IF(LEFT(TRIM('MSR RAW'!B984),9)="Location:",TRIM(MID('MSR RAW'!B984,10,999)),D983)</f>
        <v/>
      </c>
      <c r="E984">
        <f>IF(AND(ISNUMBER(SEARCH(" - ",TRIM('MSR RAW'!C984))),RIGHT(TRIM('MSR RAW'!C984),6)="Total:"),LEFT(TRIM('MSR RAW'!C984),SEARCH(" - ",TRIM('MSR RAW'!C984))-1),"")</f>
        <v/>
      </c>
      <c r="F984">
        <f>IF(E984="","",TRIM(MID(TRIM('MSR RAW'!C984),SEARCH(" - ",TRIM('MSR RAW'!C984))+3,LEN(TRIM('MSR RAW'!C984))-SEARCH(" - ",TRIM('MSR RAW'!C984))-9)))</f>
        <v/>
      </c>
      <c r="G984">
        <f>IF(E984="","",IFERROR(VLOOKUP(E984,'CATEGORY MAP'!$A$2:$B$20,2,FALSE()),"REVIEW"))</f>
        <v/>
      </c>
      <c r="H984">
        <f>IF(E984="","",IFERROR(VALUE(SUBSTITUTE('MSR RAW'!P984,",","")),0))</f>
        <v/>
      </c>
      <c r="I984">
        <f>IF(E984="","",IFERROR(VALUE(SUBSTITUTE('MSR RAW'!S984,",","")),0))</f>
        <v/>
      </c>
    </row>
    <row r="985" ht="68.65000000000001" customHeight="1" s="126">
      <c r="A985" t="n">
        <v>985</v>
      </c>
      <c r="B985" s="30">
        <f>IF('MSR RAW'!$A$3="","",'MSR RAW'!$A$3)</f>
        <v/>
      </c>
      <c r="C985">
        <f>IF(LEFT(TRIM('MSR RAW'!A985),11)="Department:",TRIM('MSR RAW'!A985),C984)</f>
        <v/>
      </c>
      <c r="D985">
        <f>IF(LEFT(TRIM('MSR RAW'!B985),9)="Location:",TRIM(MID('MSR RAW'!B985,10,999)),D984)</f>
        <v/>
      </c>
      <c r="E985">
        <f>IF(AND(ISNUMBER(SEARCH(" - ",TRIM('MSR RAW'!C985))),RIGHT(TRIM('MSR RAW'!C985),6)="Total:"),LEFT(TRIM('MSR RAW'!C985),SEARCH(" - ",TRIM('MSR RAW'!C985))-1),"")</f>
        <v/>
      </c>
      <c r="F985">
        <f>IF(E985="","",TRIM(MID(TRIM('MSR RAW'!C985),SEARCH(" - ",TRIM('MSR RAW'!C985))+3,LEN(TRIM('MSR RAW'!C985))-SEARCH(" - ",TRIM('MSR RAW'!C985))-9)))</f>
        <v/>
      </c>
      <c r="G985">
        <f>IF(E985="","",IFERROR(VLOOKUP(E985,'CATEGORY MAP'!$A$2:$B$20,2,FALSE()),"REVIEW"))</f>
        <v/>
      </c>
      <c r="H985">
        <f>IF(E985="","",IFERROR(VALUE(SUBSTITUTE('MSR RAW'!P985,",","")),0))</f>
        <v/>
      </c>
      <c r="I985">
        <f>IF(E985="","",IFERROR(VALUE(SUBSTITUTE('MSR RAW'!S985,",","")),0))</f>
        <v/>
      </c>
    </row>
    <row r="986" ht="68.65000000000001" customHeight="1" s="126">
      <c r="A986" t="n">
        <v>986</v>
      </c>
      <c r="B986" s="30">
        <f>IF('MSR RAW'!$A$3="","",'MSR RAW'!$A$3)</f>
        <v/>
      </c>
      <c r="C986">
        <f>IF(LEFT(TRIM('MSR RAW'!A986),11)="Department:",TRIM('MSR RAW'!A986),C985)</f>
        <v/>
      </c>
      <c r="D986">
        <f>IF(LEFT(TRIM('MSR RAW'!B986),9)="Location:",TRIM(MID('MSR RAW'!B986,10,999)),D985)</f>
        <v/>
      </c>
      <c r="E986">
        <f>IF(AND(ISNUMBER(SEARCH(" - ",TRIM('MSR RAW'!C986))),RIGHT(TRIM('MSR RAW'!C986),6)="Total:"),LEFT(TRIM('MSR RAW'!C986),SEARCH(" - ",TRIM('MSR RAW'!C986))-1),"")</f>
        <v/>
      </c>
      <c r="F986">
        <f>IF(E986="","",TRIM(MID(TRIM('MSR RAW'!C986),SEARCH(" - ",TRIM('MSR RAW'!C986))+3,LEN(TRIM('MSR RAW'!C986))-SEARCH(" - ",TRIM('MSR RAW'!C986))-9)))</f>
        <v/>
      </c>
      <c r="G986">
        <f>IF(E986="","",IFERROR(VLOOKUP(E986,'CATEGORY MAP'!$A$2:$B$20,2,FALSE()),"REVIEW"))</f>
        <v/>
      </c>
      <c r="H986">
        <f>IF(E986="","",IFERROR(VALUE(SUBSTITUTE('MSR RAW'!P986,",","")),0))</f>
        <v/>
      </c>
      <c r="I986">
        <f>IF(E986="","",IFERROR(VALUE(SUBSTITUTE('MSR RAW'!S986,",","")),0))</f>
        <v/>
      </c>
    </row>
    <row r="987" ht="68.65000000000001" customHeight="1" s="126">
      <c r="A987" t="n">
        <v>987</v>
      </c>
      <c r="B987" s="30">
        <f>IF('MSR RAW'!$A$3="","",'MSR RAW'!$A$3)</f>
        <v/>
      </c>
      <c r="C987">
        <f>IF(LEFT(TRIM('MSR RAW'!A987),11)="Department:",TRIM('MSR RAW'!A987),C986)</f>
        <v/>
      </c>
      <c r="D987">
        <f>IF(LEFT(TRIM('MSR RAW'!B987),9)="Location:",TRIM(MID('MSR RAW'!B987,10,999)),D986)</f>
        <v/>
      </c>
      <c r="E987">
        <f>IF(AND(ISNUMBER(SEARCH(" - ",TRIM('MSR RAW'!C987))),RIGHT(TRIM('MSR RAW'!C987),6)="Total:"),LEFT(TRIM('MSR RAW'!C987),SEARCH(" - ",TRIM('MSR RAW'!C987))-1),"")</f>
        <v/>
      </c>
      <c r="F987">
        <f>IF(E987="","",TRIM(MID(TRIM('MSR RAW'!C987),SEARCH(" - ",TRIM('MSR RAW'!C987))+3,LEN(TRIM('MSR RAW'!C987))-SEARCH(" - ",TRIM('MSR RAW'!C987))-9)))</f>
        <v/>
      </c>
      <c r="G987">
        <f>IF(E987="","",IFERROR(VLOOKUP(E987,'CATEGORY MAP'!$A$2:$B$20,2,FALSE()),"REVIEW"))</f>
        <v/>
      </c>
      <c r="H987">
        <f>IF(E987="","",IFERROR(VALUE(SUBSTITUTE('MSR RAW'!P987,",","")),0))</f>
        <v/>
      </c>
      <c r="I987">
        <f>IF(E987="","",IFERROR(VALUE(SUBSTITUTE('MSR RAW'!S987,",","")),0))</f>
        <v/>
      </c>
    </row>
    <row r="988" ht="68.65000000000001" customHeight="1" s="126">
      <c r="A988" t="n">
        <v>988</v>
      </c>
      <c r="B988" s="30">
        <f>IF('MSR RAW'!$A$3="","",'MSR RAW'!$A$3)</f>
        <v/>
      </c>
      <c r="C988">
        <f>IF(LEFT(TRIM('MSR RAW'!A988),11)="Department:",TRIM('MSR RAW'!A988),C987)</f>
        <v/>
      </c>
      <c r="D988">
        <f>IF(LEFT(TRIM('MSR RAW'!B988),9)="Location:",TRIM(MID('MSR RAW'!B988,10,999)),D987)</f>
        <v/>
      </c>
      <c r="E988">
        <f>IF(AND(ISNUMBER(SEARCH(" - ",TRIM('MSR RAW'!C988))),RIGHT(TRIM('MSR RAW'!C988),6)="Total:"),LEFT(TRIM('MSR RAW'!C988),SEARCH(" - ",TRIM('MSR RAW'!C988))-1),"")</f>
        <v/>
      </c>
      <c r="F988">
        <f>IF(E988="","",TRIM(MID(TRIM('MSR RAW'!C988),SEARCH(" - ",TRIM('MSR RAW'!C988))+3,LEN(TRIM('MSR RAW'!C988))-SEARCH(" - ",TRIM('MSR RAW'!C988))-9)))</f>
        <v/>
      </c>
      <c r="G988">
        <f>IF(E988="","",IFERROR(VLOOKUP(E988,'CATEGORY MAP'!$A$2:$B$20,2,FALSE()),"REVIEW"))</f>
        <v/>
      </c>
      <c r="H988">
        <f>IF(E988="","",IFERROR(VALUE(SUBSTITUTE('MSR RAW'!P988,",","")),0))</f>
        <v/>
      </c>
      <c r="I988">
        <f>IF(E988="","",IFERROR(VALUE(SUBSTITUTE('MSR RAW'!S988,",","")),0))</f>
        <v/>
      </c>
    </row>
    <row r="989" ht="68.65000000000001" customHeight="1" s="126">
      <c r="A989" t="n">
        <v>989</v>
      </c>
      <c r="B989" s="30">
        <f>IF('MSR RAW'!$A$3="","",'MSR RAW'!$A$3)</f>
        <v/>
      </c>
      <c r="C989">
        <f>IF(LEFT(TRIM('MSR RAW'!A989),11)="Department:",TRIM('MSR RAW'!A989),C988)</f>
        <v/>
      </c>
      <c r="D989">
        <f>IF(LEFT(TRIM('MSR RAW'!B989),9)="Location:",TRIM(MID('MSR RAW'!B989,10,999)),D988)</f>
        <v/>
      </c>
      <c r="E989">
        <f>IF(AND(ISNUMBER(SEARCH(" - ",TRIM('MSR RAW'!C989))),RIGHT(TRIM('MSR RAW'!C989),6)="Total:"),LEFT(TRIM('MSR RAW'!C989),SEARCH(" - ",TRIM('MSR RAW'!C989))-1),"")</f>
        <v/>
      </c>
      <c r="F989">
        <f>IF(E989="","",TRIM(MID(TRIM('MSR RAW'!C989),SEARCH(" - ",TRIM('MSR RAW'!C989))+3,LEN(TRIM('MSR RAW'!C989))-SEARCH(" - ",TRIM('MSR RAW'!C989))-9)))</f>
        <v/>
      </c>
      <c r="G989">
        <f>IF(E989="","",IFERROR(VLOOKUP(E989,'CATEGORY MAP'!$A$2:$B$20,2,FALSE()),"REVIEW"))</f>
        <v/>
      </c>
      <c r="H989">
        <f>IF(E989="","",IFERROR(VALUE(SUBSTITUTE('MSR RAW'!P989,",","")),0))</f>
        <v/>
      </c>
      <c r="I989">
        <f>IF(E989="","",IFERROR(VALUE(SUBSTITUTE('MSR RAW'!S989,",","")),0))</f>
        <v/>
      </c>
    </row>
    <row r="990" ht="68.65000000000001" customHeight="1" s="126">
      <c r="A990" t="n">
        <v>990</v>
      </c>
      <c r="B990" s="30">
        <f>IF('MSR RAW'!$A$3="","",'MSR RAW'!$A$3)</f>
        <v/>
      </c>
      <c r="C990">
        <f>IF(LEFT(TRIM('MSR RAW'!A990),11)="Department:",TRIM('MSR RAW'!A990),C989)</f>
        <v/>
      </c>
      <c r="D990">
        <f>IF(LEFT(TRIM('MSR RAW'!B990),9)="Location:",TRIM(MID('MSR RAW'!B990,10,999)),D989)</f>
        <v/>
      </c>
      <c r="E990">
        <f>IF(AND(ISNUMBER(SEARCH(" - ",TRIM('MSR RAW'!C990))),RIGHT(TRIM('MSR RAW'!C990),6)="Total:"),LEFT(TRIM('MSR RAW'!C990),SEARCH(" - ",TRIM('MSR RAW'!C990))-1),"")</f>
        <v/>
      </c>
      <c r="F990">
        <f>IF(E990="","",TRIM(MID(TRIM('MSR RAW'!C990),SEARCH(" - ",TRIM('MSR RAW'!C990))+3,LEN(TRIM('MSR RAW'!C990))-SEARCH(" - ",TRIM('MSR RAW'!C990))-9)))</f>
        <v/>
      </c>
      <c r="G990">
        <f>IF(E990="","",IFERROR(VLOOKUP(E990,'CATEGORY MAP'!$A$2:$B$20,2,FALSE()),"REVIEW"))</f>
        <v/>
      </c>
      <c r="H990">
        <f>IF(E990="","",IFERROR(VALUE(SUBSTITUTE('MSR RAW'!P990,",","")),0))</f>
        <v/>
      </c>
      <c r="I990">
        <f>IF(E990="","",IFERROR(VALUE(SUBSTITUTE('MSR RAW'!S990,",","")),0))</f>
        <v/>
      </c>
    </row>
    <row r="991" ht="68.65000000000001" customHeight="1" s="126">
      <c r="A991" t="n">
        <v>991</v>
      </c>
      <c r="B991" s="30">
        <f>IF('MSR RAW'!$A$3="","",'MSR RAW'!$A$3)</f>
        <v/>
      </c>
      <c r="C991">
        <f>IF(LEFT(TRIM('MSR RAW'!A991),11)="Department:",TRIM('MSR RAW'!A991),C990)</f>
        <v/>
      </c>
      <c r="D991">
        <f>IF(LEFT(TRIM('MSR RAW'!B991),9)="Location:",TRIM(MID('MSR RAW'!B991,10,999)),D990)</f>
        <v/>
      </c>
      <c r="E991">
        <f>IF(AND(ISNUMBER(SEARCH(" - ",TRIM('MSR RAW'!C991))),RIGHT(TRIM('MSR RAW'!C991),6)="Total:"),LEFT(TRIM('MSR RAW'!C991),SEARCH(" - ",TRIM('MSR RAW'!C991))-1),"")</f>
        <v/>
      </c>
      <c r="F991">
        <f>IF(E991="","",TRIM(MID(TRIM('MSR RAW'!C991),SEARCH(" - ",TRIM('MSR RAW'!C991))+3,LEN(TRIM('MSR RAW'!C991))-SEARCH(" - ",TRIM('MSR RAW'!C991))-9)))</f>
        <v/>
      </c>
      <c r="G991">
        <f>IF(E991="","",IFERROR(VLOOKUP(E991,'CATEGORY MAP'!$A$2:$B$20,2,FALSE()),"REVIEW"))</f>
        <v/>
      </c>
      <c r="H991">
        <f>IF(E991="","",IFERROR(VALUE(SUBSTITUTE('MSR RAW'!P991,",","")),0))</f>
        <v/>
      </c>
      <c r="I991">
        <f>IF(E991="","",IFERROR(VALUE(SUBSTITUTE('MSR RAW'!S991,",","")),0))</f>
        <v/>
      </c>
    </row>
    <row r="992" ht="68.65000000000001" customHeight="1" s="126">
      <c r="A992" t="n">
        <v>992</v>
      </c>
      <c r="B992" s="30">
        <f>IF('MSR RAW'!$A$3="","",'MSR RAW'!$A$3)</f>
        <v/>
      </c>
      <c r="C992">
        <f>IF(LEFT(TRIM('MSR RAW'!A992),11)="Department:",TRIM('MSR RAW'!A992),C991)</f>
        <v/>
      </c>
      <c r="D992">
        <f>IF(LEFT(TRIM('MSR RAW'!B992),9)="Location:",TRIM(MID('MSR RAW'!B992,10,999)),D991)</f>
        <v/>
      </c>
      <c r="E992">
        <f>IF(AND(ISNUMBER(SEARCH(" - ",TRIM('MSR RAW'!C992))),RIGHT(TRIM('MSR RAW'!C992),6)="Total:"),LEFT(TRIM('MSR RAW'!C992),SEARCH(" - ",TRIM('MSR RAW'!C992))-1),"")</f>
        <v/>
      </c>
      <c r="F992">
        <f>IF(E992="","",TRIM(MID(TRIM('MSR RAW'!C992),SEARCH(" - ",TRIM('MSR RAW'!C992))+3,LEN(TRIM('MSR RAW'!C992))-SEARCH(" - ",TRIM('MSR RAW'!C992))-9)))</f>
        <v/>
      </c>
      <c r="G992">
        <f>IF(E992="","",IFERROR(VLOOKUP(E992,'CATEGORY MAP'!$A$2:$B$20,2,FALSE()),"REVIEW"))</f>
        <v/>
      </c>
      <c r="H992">
        <f>IF(E992="","",IFERROR(VALUE(SUBSTITUTE('MSR RAW'!P992,",","")),0))</f>
        <v/>
      </c>
      <c r="I992">
        <f>IF(E992="","",IFERROR(VALUE(SUBSTITUTE('MSR RAW'!S992,",","")),0))</f>
        <v/>
      </c>
    </row>
    <row r="993" ht="68.65000000000001" customHeight="1" s="126">
      <c r="A993" t="n">
        <v>993</v>
      </c>
      <c r="B993" s="30">
        <f>IF('MSR RAW'!$A$3="","",'MSR RAW'!$A$3)</f>
        <v/>
      </c>
      <c r="C993">
        <f>IF(LEFT(TRIM('MSR RAW'!A993),11)="Department:",TRIM('MSR RAW'!A993),C992)</f>
        <v/>
      </c>
      <c r="D993">
        <f>IF(LEFT(TRIM('MSR RAW'!B993),9)="Location:",TRIM(MID('MSR RAW'!B993,10,999)),D992)</f>
        <v/>
      </c>
      <c r="E993">
        <f>IF(AND(ISNUMBER(SEARCH(" - ",TRIM('MSR RAW'!C993))),RIGHT(TRIM('MSR RAW'!C993),6)="Total:"),LEFT(TRIM('MSR RAW'!C993),SEARCH(" - ",TRIM('MSR RAW'!C993))-1),"")</f>
        <v/>
      </c>
      <c r="F993">
        <f>IF(E993="","",TRIM(MID(TRIM('MSR RAW'!C993),SEARCH(" - ",TRIM('MSR RAW'!C993))+3,LEN(TRIM('MSR RAW'!C993))-SEARCH(" - ",TRIM('MSR RAW'!C993))-9)))</f>
        <v/>
      </c>
      <c r="G993">
        <f>IF(E993="","",IFERROR(VLOOKUP(E993,'CATEGORY MAP'!$A$2:$B$20,2,FALSE()),"REVIEW"))</f>
        <v/>
      </c>
      <c r="H993">
        <f>IF(E993="","",IFERROR(VALUE(SUBSTITUTE('MSR RAW'!P993,",","")),0))</f>
        <v/>
      </c>
      <c r="I993">
        <f>IF(E993="","",IFERROR(VALUE(SUBSTITUTE('MSR RAW'!S993,",","")),0))</f>
        <v/>
      </c>
    </row>
    <row r="994" ht="68.65000000000001" customHeight="1" s="126">
      <c r="A994" t="n">
        <v>994</v>
      </c>
      <c r="B994" s="30">
        <f>IF('MSR RAW'!$A$3="","",'MSR RAW'!$A$3)</f>
        <v/>
      </c>
      <c r="C994">
        <f>IF(LEFT(TRIM('MSR RAW'!A994),11)="Department:",TRIM('MSR RAW'!A994),C993)</f>
        <v/>
      </c>
      <c r="D994">
        <f>IF(LEFT(TRIM('MSR RAW'!B994),9)="Location:",TRIM(MID('MSR RAW'!B994,10,999)),D993)</f>
        <v/>
      </c>
      <c r="E994">
        <f>IF(AND(ISNUMBER(SEARCH(" - ",TRIM('MSR RAW'!C994))),RIGHT(TRIM('MSR RAW'!C994),6)="Total:"),LEFT(TRIM('MSR RAW'!C994),SEARCH(" - ",TRIM('MSR RAW'!C994))-1),"")</f>
        <v/>
      </c>
      <c r="F994">
        <f>IF(E994="","",TRIM(MID(TRIM('MSR RAW'!C994),SEARCH(" - ",TRIM('MSR RAW'!C994))+3,LEN(TRIM('MSR RAW'!C994))-SEARCH(" - ",TRIM('MSR RAW'!C994))-9)))</f>
        <v/>
      </c>
      <c r="G994">
        <f>IF(E994="","",IFERROR(VLOOKUP(E994,'CATEGORY MAP'!$A$2:$B$20,2,FALSE()),"REVIEW"))</f>
        <v/>
      </c>
      <c r="H994">
        <f>IF(E994="","",IFERROR(VALUE(SUBSTITUTE('MSR RAW'!P994,",","")),0))</f>
        <v/>
      </c>
      <c r="I994">
        <f>IF(E994="","",IFERROR(VALUE(SUBSTITUTE('MSR RAW'!S994,",","")),0))</f>
        <v/>
      </c>
    </row>
    <row r="995" ht="68.65000000000001" customHeight="1" s="126">
      <c r="A995" t="n">
        <v>995</v>
      </c>
      <c r="B995" s="30">
        <f>IF('MSR RAW'!$A$3="","",'MSR RAW'!$A$3)</f>
        <v/>
      </c>
      <c r="C995">
        <f>IF(LEFT(TRIM('MSR RAW'!A995),11)="Department:",TRIM('MSR RAW'!A995),C994)</f>
        <v/>
      </c>
      <c r="D995">
        <f>IF(LEFT(TRIM('MSR RAW'!B995),9)="Location:",TRIM(MID('MSR RAW'!B995,10,999)),D994)</f>
        <v/>
      </c>
      <c r="E995">
        <f>IF(AND(ISNUMBER(SEARCH(" - ",TRIM('MSR RAW'!C995))),RIGHT(TRIM('MSR RAW'!C995),6)="Total:"),LEFT(TRIM('MSR RAW'!C995),SEARCH(" - ",TRIM('MSR RAW'!C995))-1),"")</f>
        <v/>
      </c>
      <c r="F995">
        <f>IF(E995="","",TRIM(MID(TRIM('MSR RAW'!C995),SEARCH(" - ",TRIM('MSR RAW'!C995))+3,LEN(TRIM('MSR RAW'!C995))-SEARCH(" - ",TRIM('MSR RAW'!C995))-9)))</f>
        <v/>
      </c>
      <c r="G995">
        <f>IF(E995="","",IFERROR(VLOOKUP(E995,'CATEGORY MAP'!$A$2:$B$20,2,FALSE()),"REVIEW"))</f>
        <v/>
      </c>
      <c r="H995">
        <f>IF(E995="","",IFERROR(VALUE(SUBSTITUTE('MSR RAW'!P995,",","")),0))</f>
        <v/>
      </c>
      <c r="I995">
        <f>IF(E995="","",IFERROR(VALUE(SUBSTITUTE('MSR RAW'!S995,",","")),0))</f>
        <v/>
      </c>
    </row>
    <row r="996" ht="68.65000000000001" customHeight="1" s="126">
      <c r="A996" t="n">
        <v>996</v>
      </c>
      <c r="B996" s="30">
        <f>IF('MSR RAW'!$A$3="","",'MSR RAW'!$A$3)</f>
        <v/>
      </c>
      <c r="C996">
        <f>IF(LEFT(TRIM('MSR RAW'!A996),11)="Department:",TRIM('MSR RAW'!A996),C995)</f>
        <v/>
      </c>
      <c r="D996">
        <f>IF(LEFT(TRIM('MSR RAW'!B996),9)="Location:",TRIM(MID('MSR RAW'!B996,10,999)),D995)</f>
        <v/>
      </c>
      <c r="E996">
        <f>IF(AND(ISNUMBER(SEARCH(" - ",TRIM('MSR RAW'!C996))),RIGHT(TRIM('MSR RAW'!C996),6)="Total:"),LEFT(TRIM('MSR RAW'!C996),SEARCH(" - ",TRIM('MSR RAW'!C996))-1),"")</f>
        <v/>
      </c>
      <c r="F996">
        <f>IF(E996="","",TRIM(MID(TRIM('MSR RAW'!C996),SEARCH(" - ",TRIM('MSR RAW'!C996))+3,LEN(TRIM('MSR RAW'!C996))-SEARCH(" - ",TRIM('MSR RAW'!C996))-9)))</f>
        <v/>
      </c>
      <c r="G996">
        <f>IF(E996="","",IFERROR(VLOOKUP(E996,'CATEGORY MAP'!$A$2:$B$20,2,FALSE()),"REVIEW"))</f>
        <v/>
      </c>
      <c r="H996">
        <f>IF(E996="","",IFERROR(VALUE(SUBSTITUTE('MSR RAW'!P996,",","")),0))</f>
        <v/>
      </c>
      <c r="I996">
        <f>IF(E996="","",IFERROR(VALUE(SUBSTITUTE('MSR RAW'!S996,",","")),0))</f>
        <v/>
      </c>
    </row>
    <row r="997" ht="68.65000000000001" customHeight="1" s="126">
      <c r="A997" t="n">
        <v>997</v>
      </c>
      <c r="B997" s="30">
        <f>IF('MSR RAW'!$A$3="","",'MSR RAW'!$A$3)</f>
        <v/>
      </c>
      <c r="C997">
        <f>IF(LEFT(TRIM('MSR RAW'!A997),11)="Department:",TRIM('MSR RAW'!A997),C996)</f>
        <v/>
      </c>
      <c r="D997">
        <f>IF(LEFT(TRIM('MSR RAW'!B997),9)="Location:",TRIM(MID('MSR RAW'!B997,10,999)),D996)</f>
        <v/>
      </c>
      <c r="E997">
        <f>IF(AND(ISNUMBER(SEARCH(" - ",TRIM('MSR RAW'!C997))),RIGHT(TRIM('MSR RAW'!C997),6)="Total:"),LEFT(TRIM('MSR RAW'!C997),SEARCH(" - ",TRIM('MSR RAW'!C997))-1),"")</f>
        <v/>
      </c>
      <c r="F997">
        <f>IF(E997="","",TRIM(MID(TRIM('MSR RAW'!C997),SEARCH(" - ",TRIM('MSR RAW'!C997))+3,LEN(TRIM('MSR RAW'!C997))-SEARCH(" - ",TRIM('MSR RAW'!C997))-9)))</f>
        <v/>
      </c>
      <c r="G997">
        <f>IF(E997="","",IFERROR(VLOOKUP(E997,'CATEGORY MAP'!$A$2:$B$20,2,FALSE()),"REVIEW"))</f>
        <v/>
      </c>
      <c r="H997">
        <f>IF(E997="","",IFERROR(VALUE(SUBSTITUTE('MSR RAW'!P997,",","")),0))</f>
        <v/>
      </c>
      <c r="I997">
        <f>IF(E997="","",IFERROR(VALUE(SUBSTITUTE('MSR RAW'!S997,",","")),0))</f>
        <v/>
      </c>
    </row>
    <row r="998" ht="68.65000000000001" customHeight="1" s="126">
      <c r="A998" t="n">
        <v>998</v>
      </c>
      <c r="B998" s="30">
        <f>IF('MSR RAW'!$A$3="","",'MSR RAW'!$A$3)</f>
        <v/>
      </c>
      <c r="C998">
        <f>IF(LEFT(TRIM('MSR RAW'!A998),11)="Department:",TRIM('MSR RAW'!A998),C997)</f>
        <v/>
      </c>
      <c r="D998">
        <f>IF(LEFT(TRIM('MSR RAW'!B998),9)="Location:",TRIM(MID('MSR RAW'!B998,10,999)),D997)</f>
        <v/>
      </c>
      <c r="E998">
        <f>IF(AND(ISNUMBER(SEARCH(" - ",TRIM('MSR RAW'!C998))),RIGHT(TRIM('MSR RAW'!C998),6)="Total:"),LEFT(TRIM('MSR RAW'!C998),SEARCH(" - ",TRIM('MSR RAW'!C998))-1),"")</f>
        <v/>
      </c>
      <c r="F998">
        <f>IF(E998="","",TRIM(MID(TRIM('MSR RAW'!C998),SEARCH(" - ",TRIM('MSR RAW'!C998))+3,LEN(TRIM('MSR RAW'!C998))-SEARCH(" - ",TRIM('MSR RAW'!C998))-9)))</f>
        <v/>
      </c>
      <c r="G998">
        <f>IF(E998="","",IFERROR(VLOOKUP(E998,'CATEGORY MAP'!$A$2:$B$20,2,FALSE()),"REVIEW"))</f>
        <v/>
      </c>
      <c r="H998">
        <f>IF(E998="","",IFERROR(VALUE(SUBSTITUTE('MSR RAW'!P998,",","")),0))</f>
        <v/>
      </c>
      <c r="I998">
        <f>IF(E998="","",IFERROR(VALUE(SUBSTITUTE('MSR RAW'!S998,",","")),0))</f>
        <v/>
      </c>
    </row>
    <row r="999" ht="68.65000000000001" customHeight="1" s="126">
      <c r="A999" t="n">
        <v>999</v>
      </c>
      <c r="B999" s="30">
        <f>IF('MSR RAW'!$A$3="","",'MSR RAW'!$A$3)</f>
        <v/>
      </c>
      <c r="C999">
        <f>IF(LEFT(TRIM('MSR RAW'!A999),11)="Department:",TRIM('MSR RAW'!A999),C998)</f>
        <v/>
      </c>
      <c r="D999">
        <f>IF(LEFT(TRIM('MSR RAW'!B999),9)="Location:",TRIM(MID('MSR RAW'!B999,10,999)),D998)</f>
        <v/>
      </c>
      <c r="E999">
        <f>IF(AND(ISNUMBER(SEARCH(" - ",TRIM('MSR RAW'!C999))),RIGHT(TRIM('MSR RAW'!C999),6)="Total:"),LEFT(TRIM('MSR RAW'!C999),SEARCH(" - ",TRIM('MSR RAW'!C999))-1),"")</f>
        <v/>
      </c>
      <c r="F999">
        <f>IF(E999="","",TRIM(MID(TRIM('MSR RAW'!C999),SEARCH(" - ",TRIM('MSR RAW'!C999))+3,LEN(TRIM('MSR RAW'!C999))-SEARCH(" - ",TRIM('MSR RAW'!C999))-9)))</f>
        <v/>
      </c>
      <c r="G999">
        <f>IF(E999="","",IFERROR(VLOOKUP(E999,'CATEGORY MAP'!$A$2:$B$20,2,FALSE()),"REVIEW"))</f>
        <v/>
      </c>
      <c r="H999">
        <f>IF(E999="","",IFERROR(VALUE(SUBSTITUTE('MSR RAW'!P999,",","")),0))</f>
        <v/>
      </c>
      <c r="I999">
        <f>IF(E999="","",IFERROR(VALUE(SUBSTITUTE('MSR RAW'!S999,",","")),0))</f>
        <v/>
      </c>
    </row>
    <row r="1000" ht="68.65000000000001" customHeight="1" s="126">
      <c r="A1000" t="n">
        <v>1000</v>
      </c>
      <c r="B1000" s="30">
        <f>IF('MSR RAW'!$A$3="","",'MSR RAW'!$A$3)</f>
        <v/>
      </c>
      <c r="C1000">
        <f>IF(LEFT(TRIM('MSR RAW'!A1000),11)="Department:",TRIM('MSR RAW'!A1000),C999)</f>
        <v/>
      </c>
      <c r="D1000">
        <f>IF(LEFT(TRIM('MSR RAW'!B1000),9)="Location:",TRIM(MID('MSR RAW'!B1000,10,999)),D999)</f>
        <v/>
      </c>
      <c r="E1000">
        <f>IF(AND(ISNUMBER(SEARCH(" - ",TRIM('MSR RAW'!C1000))),RIGHT(TRIM('MSR RAW'!C1000),6)="Total:"),LEFT(TRIM('MSR RAW'!C1000),SEARCH(" - ",TRIM('MSR RAW'!C1000))-1),"")</f>
        <v/>
      </c>
      <c r="F1000">
        <f>IF(E1000="","",TRIM(MID(TRIM('MSR RAW'!C1000),SEARCH(" - ",TRIM('MSR RAW'!C1000))+3,LEN(TRIM('MSR RAW'!C1000))-SEARCH(" - ",TRIM('MSR RAW'!C1000))-9)))</f>
        <v/>
      </c>
      <c r="G1000">
        <f>IF(E1000="","",IFERROR(VLOOKUP(E1000,'CATEGORY MAP'!$A$2:$B$20,2,FALSE()),"REVIEW"))</f>
        <v/>
      </c>
      <c r="H1000">
        <f>IF(E1000="","",IFERROR(VALUE(SUBSTITUTE('MSR RAW'!P1000,",","")),0))</f>
        <v/>
      </c>
      <c r="I1000">
        <f>IF(E1000="","",IFERROR(VALUE(SUBSTITUTE('MSR RAW'!S1000,",","")),0))</f>
        <v/>
      </c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zoomScaleNormal="100" workbookViewId="0">
      <pane ySplit="12" topLeftCell="A13" activePane="bottomLeft" state="frozen"/>
      <selection pane="bottomLeft" activeCell="E35" sqref="E35"/>
    </sheetView>
  </sheetViews>
  <sheetFormatPr baseColWidth="8" defaultColWidth="8.7109375" defaultRowHeight="15" customHeight="1"/>
  <cols>
    <col width="14" customWidth="1" style="126" min="1" max="1"/>
    <col width="20" customWidth="1" style="126" min="2" max="2"/>
    <col width="14" customWidth="1" style="126" min="3" max="3"/>
    <col width="32" customWidth="1" style="126" min="4" max="4"/>
    <col width="38" customWidth="1" style="126" min="5" max="5"/>
    <col width="14" customWidth="1" style="126" min="6" max="6"/>
    <col width="16" customWidth="1" style="126" min="7" max="7"/>
    <col width="14" customWidth="1" style="126" min="8" max="8"/>
    <col width="18" customWidth="1" style="126" min="9" max="9"/>
    <col width="16" customWidth="1" style="126" min="10" max="10"/>
    <col width="22" customWidth="1" style="126" min="11" max="11"/>
    <col width="28" customWidth="1" style="126" min="12" max="12"/>
  </cols>
  <sheetData>
    <row r="1" ht="17.45" customHeight="1" s="126">
      <c r="A1" s="166" t="inlineStr">
        <is>
          <t>CONTRACT DONATION CALCULATION — ASSIGNMENT-DRIVEN</t>
        </is>
      </c>
    </row>
    <row r="2" ht="15" customHeight="1" s="126">
      <c r="A2" s="167" t="inlineStr">
        <is>
          <t>Rates and minimums are controlled here. Event-specific ownership comes from EVENT ASSIGNMENT; MSR sales come from MSR DATA.</t>
        </is>
      </c>
    </row>
    <row r="3" ht="12.75" customHeight="1" s="126"/>
    <row r="4" ht="15" customHeight="1" s="126">
      <c r="A4" s="48" t="inlineStr">
        <is>
          <t>Food / Non-Alcoholic Rate</t>
        </is>
      </c>
      <c r="B4" s="168" t="n">
        <v>0.1</v>
      </c>
      <c r="D4" s="29" t="n"/>
    </row>
    <row r="5" ht="15" customHeight="1" s="126">
      <c r="A5" s="48" t="inlineStr">
        <is>
          <t>Alcoholic Beverage Rate</t>
        </is>
      </c>
      <c r="B5" s="168" t="n">
        <v>0.08</v>
      </c>
      <c r="D5" s="29" t="n"/>
      <c r="E5" s="31" t="n"/>
    </row>
    <row r="6" ht="15" customHeight="1" s="126">
      <c r="A6" s="48" t="inlineStr">
        <is>
          <t>Minimum Donation / Event</t>
        </is>
      </c>
      <c r="B6" s="31" t="n">
        <v>200</v>
      </c>
      <c r="D6" s="29" t="n"/>
      <c r="E6" s="31" t="n"/>
    </row>
    <row r="7" ht="15" customHeight="1" s="126">
      <c r="D7" s="29" t="n"/>
      <c r="E7" s="31" t="n"/>
    </row>
    <row r="8" ht="15" customHeight="1" s="126">
      <c r="A8" s="48" t="inlineStr">
        <is>
          <t>Core Logic</t>
        </is>
      </c>
      <c r="B8" t="inlineStr">
        <is>
          <t>Allocated Food/N-A Net × 10% + Allocated Alcohol Net × 8%</t>
        </is>
      </c>
      <c r="D8" s="29" t="n"/>
      <c r="E8" s="31" t="n"/>
    </row>
    <row r="9" ht="15" customHeight="1" s="126">
      <c r="A9" s="48" t="inlineStr">
        <is>
          <t>Allocation Rule</t>
        </is>
      </c>
      <c r="B9" t="inlineStr">
        <is>
          <t>Each Event + Location + NPO assignment receives Allocation % of that location’s MSR net sales.</t>
        </is>
      </c>
      <c r="D9" s="29" t="n"/>
    </row>
    <row r="10" ht="12.75" customHeight="1" s="126">
      <c r="A10" s="48" t="inlineStr">
        <is>
          <t>Control</t>
        </is>
      </c>
      <c r="B10" t="inlineStr">
        <is>
          <t>Location allocations should total 100% when a location is operated by one or more NPOs.</t>
        </is>
      </c>
    </row>
    <row r="11" ht="15" customHeight="1" s="126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</row>
    <row r="12" ht="15" customHeight="1" s="126">
      <c r="A12" s="38" t="inlineStr">
        <is>
          <t>Event Date</t>
        </is>
      </c>
      <c r="B12" s="38" t="inlineStr">
        <is>
          <t>NPO</t>
        </is>
      </c>
      <c r="C12" s="38" t="inlineStr">
        <is>
          <t>Location ID</t>
        </is>
      </c>
      <c r="D12" s="38" t="inlineStr">
        <is>
          <t>Location Description</t>
        </is>
      </c>
      <c r="E12" s="50" t="inlineStr">
        <is>
          <t>MSR Location</t>
        </is>
      </c>
      <c r="F12" s="50" t="inlineStr">
        <is>
          <t>Allocation %</t>
        </is>
      </c>
      <c r="G12" s="50" t="inlineStr">
        <is>
          <t>MSR Total Net</t>
        </is>
      </c>
      <c r="H12" s="50" t="inlineStr">
        <is>
          <t>Alcohol Net</t>
        </is>
      </c>
      <c r="I12" s="50" t="inlineStr">
        <is>
          <t>Food / Non-Alc Net</t>
        </is>
      </c>
      <c r="J12" s="50" t="inlineStr">
        <is>
          <t>Allocated Net</t>
        </is>
      </c>
      <c r="K12" s="50" t="inlineStr">
        <is>
          <t>NEW CONTRACT DONATION</t>
        </is>
      </c>
      <c r="L12" s="38" t="inlineStr">
        <is>
          <t>Status</t>
        </is>
      </c>
    </row>
    <row r="13" ht="15" customHeight="1" s="126">
      <c r="A13" s="169">
        <f>IF('EVENT ASSIGNMENT'!A2="","",'EVENT ASSIGNMENT'!A2)</f>
        <v/>
      </c>
      <c r="B13" s="52">
        <f>IF('EVENT ASSIGNMENT'!F2="","",'EVENT ASSIGNMENT'!F2)</f>
        <v/>
      </c>
      <c r="C13" s="52">
        <f>IF('EVENT ASSIGNMENT'!C2="","",'EVENT ASSIGNMENT'!C2)</f>
        <v/>
      </c>
      <c r="D13" s="52">
        <f>IF('EVENT ASSIGNMENT'!D2="","",'EVENT ASSIGNMENT'!D2)</f>
        <v/>
      </c>
      <c r="E13" s="53">
        <f>IF('EVENT ASSIGNMENT'!E2="","",'EVENT ASSIGNMENT'!E2)</f>
        <v/>
      </c>
      <c r="F13" s="170">
        <f>IF('EVENT ASSIGNMENT'!G2="","",'EVENT ASSIGNMENT'!G2)</f>
        <v/>
      </c>
      <c r="G13" s="53">
        <f>IF(E13="",0,SUMIFS('MSR DATA'!$I$2:$I$1001,'MSR DATA'!$D$2:$D$1001,E13))</f>
        <v/>
      </c>
      <c r="H13" s="53">
        <f>IF(E13="",0,SUMIFS('MSR DATA'!$I$2:$I$1001,'MSR DATA'!$D$2:$D$1001,E13,'MSR DATA'!$G$2:$G$1001,"ALCOHOL"))</f>
        <v/>
      </c>
      <c r="I13" s="53">
        <f>G13-H13</f>
        <v/>
      </c>
      <c r="J13" s="53">
        <f>G13*IF(F13="",0,F13)</f>
        <v/>
      </c>
      <c r="K13" s="53">
        <f>I13*IF(F13="",0,F13)*$B$4+H13*IF(F13="",0,F13)*$B$5</f>
        <v/>
      </c>
      <c r="L13" s="52">
        <f>IF(B13="","",IF(F13="","MISSING ALLOCATION",IF(ABS(SUMIFS($F$13:$F$112,$A$13:$A$112,A13,$C$13:$C$112,C13)-1)&gt;0.0001,"REVIEW LOCATION ALLOCATION",IF(G13=0,"NO MSR SALES","OK"))))</f>
        <v/>
      </c>
    </row>
    <row r="14" ht="15" customHeight="1" s="126">
      <c r="A14" s="169">
        <f>IF('EVENT ASSIGNMENT'!A3="","",'EVENT ASSIGNMENT'!A3)</f>
        <v/>
      </c>
      <c r="B14" s="52">
        <f>IF('EVENT ASSIGNMENT'!F3="","",'EVENT ASSIGNMENT'!F3)</f>
        <v/>
      </c>
      <c r="C14" s="52">
        <f>IF('EVENT ASSIGNMENT'!C3="","",'EVENT ASSIGNMENT'!C3)</f>
        <v/>
      </c>
      <c r="D14" s="52">
        <f>IF('EVENT ASSIGNMENT'!D3="","",'EVENT ASSIGNMENT'!D3)</f>
        <v/>
      </c>
      <c r="E14" s="53">
        <f>IF('EVENT ASSIGNMENT'!E3="","",'EVENT ASSIGNMENT'!E3)</f>
        <v/>
      </c>
      <c r="F14" s="170">
        <f>IF('EVENT ASSIGNMENT'!G3="","",'EVENT ASSIGNMENT'!G3)</f>
        <v/>
      </c>
      <c r="G14" s="53">
        <f>IF(E14="",0,SUMIFS('MSR DATA'!$I$2:$I$1001,'MSR DATA'!$D$2:$D$1001,E14))</f>
        <v/>
      </c>
      <c r="H14" s="53">
        <f>IF(E14="",0,SUMIFS('MSR DATA'!$I$2:$I$1001,'MSR DATA'!$D$2:$D$1001,E14,'MSR DATA'!$G$2:$G$1001,"ALCOHOL"))</f>
        <v/>
      </c>
      <c r="I14" s="53">
        <f>G14-H14</f>
        <v/>
      </c>
      <c r="J14" s="53">
        <f>G14*IF(F14="",0,F14)</f>
        <v/>
      </c>
      <c r="K14" s="53">
        <f>I14*IF(F14="",0,F14)*$B$4+H14*IF(F14="",0,F14)*$B$5</f>
        <v/>
      </c>
      <c r="L14" s="52">
        <f>IF(B14="","",IF(F14="","MISSING ALLOCATION",IF(ABS(SUMIFS($F$13:$F$112,$A$13:$A$112,A14,$C$13:$C$112,C14)-1)&gt;0.0001,"REVIEW LOCATION ALLOCATION",IF(G14=0,"NO MSR SALES","OK"))))</f>
        <v/>
      </c>
    </row>
    <row r="15" ht="15" customHeight="1" s="126">
      <c r="A15" s="169">
        <f>IF('EVENT ASSIGNMENT'!A4="","",'EVENT ASSIGNMENT'!A4)</f>
        <v/>
      </c>
      <c r="B15" s="52">
        <f>IF('EVENT ASSIGNMENT'!F4="","",'EVENT ASSIGNMENT'!F4)</f>
        <v/>
      </c>
      <c r="C15" s="52">
        <f>IF('EVENT ASSIGNMENT'!C4="","",'EVENT ASSIGNMENT'!C4)</f>
        <v/>
      </c>
      <c r="D15" s="52">
        <f>IF('EVENT ASSIGNMENT'!D4="","",'EVENT ASSIGNMENT'!D4)</f>
        <v/>
      </c>
      <c r="E15" s="53">
        <f>IF('EVENT ASSIGNMENT'!E4="","",'EVENT ASSIGNMENT'!E4)</f>
        <v/>
      </c>
      <c r="F15" s="170">
        <f>IF('EVENT ASSIGNMENT'!G4="","",'EVENT ASSIGNMENT'!G4)</f>
        <v/>
      </c>
      <c r="G15" s="53">
        <f>IF(E15="",0,SUMIFS('MSR DATA'!$I$2:$I$1001,'MSR DATA'!$D$2:$D$1001,E15))</f>
        <v/>
      </c>
      <c r="H15" s="53">
        <f>IF(E15="",0,SUMIFS('MSR DATA'!$I$2:$I$1001,'MSR DATA'!$D$2:$D$1001,E15,'MSR DATA'!$G$2:$G$1001,"ALCOHOL"))</f>
        <v/>
      </c>
      <c r="I15" s="53">
        <f>G15-H15</f>
        <v/>
      </c>
      <c r="J15" s="53">
        <f>G15*IF(F15="",0,F15)</f>
        <v/>
      </c>
      <c r="K15" s="53">
        <f>I15*IF(F15="",0,F15)*$B$4+H15*IF(F15="",0,F15)*$B$5</f>
        <v/>
      </c>
      <c r="L15" s="52">
        <f>IF(B15="","",IF(F15="","MISSING ALLOCATION",IF(ABS(SUMIFS($F$13:$F$112,$A$13:$A$112,A15,$C$13:$C$112,C15)-1)&gt;0.0001,"REVIEW LOCATION ALLOCATION",IF(G15=0,"NO MSR SALES","OK"))))</f>
        <v/>
      </c>
    </row>
    <row r="16" ht="15" customHeight="1" s="126">
      <c r="A16" s="169">
        <f>IF('EVENT ASSIGNMENT'!A5="","",'EVENT ASSIGNMENT'!A5)</f>
        <v/>
      </c>
      <c r="B16" s="52">
        <f>IF('EVENT ASSIGNMENT'!F5="","",'EVENT ASSIGNMENT'!F5)</f>
        <v/>
      </c>
      <c r="C16" s="52">
        <f>IF('EVENT ASSIGNMENT'!C5="","",'EVENT ASSIGNMENT'!C5)</f>
        <v/>
      </c>
      <c r="D16" s="52">
        <f>IF('EVENT ASSIGNMENT'!D5="","",'EVENT ASSIGNMENT'!D5)</f>
        <v/>
      </c>
      <c r="E16" s="53">
        <f>IF('EVENT ASSIGNMENT'!E5="","",'EVENT ASSIGNMENT'!E5)</f>
        <v/>
      </c>
      <c r="F16" s="170">
        <f>IF('EVENT ASSIGNMENT'!G5="","",'EVENT ASSIGNMENT'!G5)</f>
        <v/>
      </c>
      <c r="G16" s="53">
        <f>IF(E16="",0,SUMIFS('MSR DATA'!$I$2:$I$1001,'MSR DATA'!$D$2:$D$1001,E16))</f>
        <v/>
      </c>
      <c r="H16" s="53">
        <f>IF(E16="",0,SUMIFS('MSR DATA'!$I$2:$I$1001,'MSR DATA'!$D$2:$D$1001,E16,'MSR DATA'!$G$2:$G$1001,"ALCOHOL"))</f>
        <v/>
      </c>
      <c r="I16" s="53">
        <f>G16-H16</f>
        <v/>
      </c>
      <c r="J16" s="53">
        <f>G16*IF(F16="",0,F16)</f>
        <v/>
      </c>
      <c r="K16" s="53">
        <f>I16*IF(F16="",0,F16)*$B$4+H16*IF(F16="",0,F16)*$B$5</f>
        <v/>
      </c>
      <c r="L16" s="52">
        <f>IF(B16="","",IF(F16="","MISSING ALLOCATION",IF(ABS(SUMIFS($F$13:$F$112,$A$13:$A$112,A16,$C$13:$C$112,C16)-1)&gt;0.0001,"REVIEW LOCATION ALLOCATION",IF(G16=0,"NO MSR SALES","OK"))))</f>
        <v/>
      </c>
    </row>
    <row r="17" ht="15" customHeight="1" s="126">
      <c r="A17" s="169">
        <f>IF('EVENT ASSIGNMENT'!A6="","",'EVENT ASSIGNMENT'!A6)</f>
        <v/>
      </c>
      <c r="B17" s="52">
        <f>IF('EVENT ASSIGNMENT'!F6="","",'EVENT ASSIGNMENT'!F6)</f>
        <v/>
      </c>
      <c r="C17" s="52">
        <f>IF('EVENT ASSIGNMENT'!C6="","",'EVENT ASSIGNMENT'!C6)</f>
        <v/>
      </c>
      <c r="D17" s="52">
        <f>IF('EVENT ASSIGNMENT'!D6="","",'EVENT ASSIGNMENT'!D6)</f>
        <v/>
      </c>
      <c r="E17" s="53">
        <f>IF('EVENT ASSIGNMENT'!E6="","",'EVENT ASSIGNMENT'!E6)</f>
        <v/>
      </c>
      <c r="F17" s="170">
        <f>IF('EVENT ASSIGNMENT'!G6="","",'EVENT ASSIGNMENT'!G6)</f>
        <v/>
      </c>
      <c r="G17" s="53">
        <f>IF(E17="",0,SUMIFS('MSR DATA'!$I$2:$I$1001,'MSR DATA'!$D$2:$D$1001,E17))</f>
        <v/>
      </c>
      <c r="H17" s="53">
        <f>IF(E17="",0,SUMIFS('MSR DATA'!$I$2:$I$1001,'MSR DATA'!$D$2:$D$1001,E17,'MSR DATA'!$G$2:$G$1001,"ALCOHOL"))</f>
        <v/>
      </c>
      <c r="I17" s="53">
        <f>G17-H17</f>
        <v/>
      </c>
      <c r="J17" s="53">
        <f>G17*IF(F17="",0,F17)</f>
        <v/>
      </c>
      <c r="K17" s="53">
        <f>I17*IF(F17="",0,F17)*$B$4+H17*IF(F17="",0,F17)*$B$5</f>
        <v/>
      </c>
      <c r="L17" s="52">
        <f>IF(B17="","",IF(F17="","MISSING ALLOCATION",IF(ABS(SUMIFS($F$13:$F$112,$A$13:$A$112,A17,$C$13:$C$112,C17)-1)&gt;0.0001,"REVIEW LOCATION ALLOCATION",IF(G17=0,"NO MSR SALES","OK"))))</f>
        <v/>
      </c>
    </row>
    <row r="18" ht="15" customHeight="1" s="126">
      <c r="A18" s="169">
        <f>IF('EVENT ASSIGNMENT'!A7="","",'EVENT ASSIGNMENT'!A7)</f>
        <v/>
      </c>
      <c r="B18" s="52">
        <f>IF('EVENT ASSIGNMENT'!F7="","",'EVENT ASSIGNMENT'!F7)</f>
        <v/>
      </c>
      <c r="C18" s="52">
        <f>IF('EVENT ASSIGNMENT'!C7="","",'EVENT ASSIGNMENT'!C7)</f>
        <v/>
      </c>
      <c r="D18" s="52">
        <f>IF('EVENT ASSIGNMENT'!D7="","",'EVENT ASSIGNMENT'!D7)</f>
        <v/>
      </c>
      <c r="E18" s="53">
        <f>IF('EVENT ASSIGNMENT'!E7="","",'EVENT ASSIGNMENT'!E7)</f>
        <v/>
      </c>
      <c r="F18" s="170">
        <f>IF('EVENT ASSIGNMENT'!G7="","",'EVENT ASSIGNMENT'!G7)</f>
        <v/>
      </c>
      <c r="G18" s="53">
        <f>IF(E18="",0,SUMIFS('MSR DATA'!$I$2:$I$1001,'MSR DATA'!$D$2:$D$1001,E18))</f>
        <v/>
      </c>
      <c r="H18" s="53">
        <f>IF(E18="",0,SUMIFS('MSR DATA'!$I$2:$I$1001,'MSR DATA'!$D$2:$D$1001,E18,'MSR DATA'!$G$2:$G$1001,"ALCOHOL"))</f>
        <v/>
      </c>
      <c r="I18" s="53">
        <f>G18-H18</f>
        <v/>
      </c>
      <c r="J18" s="53">
        <f>G18*IF(F18="",0,F18)</f>
        <v/>
      </c>
      <c r="K18" s="53">
        <f>I18*IF(F18="",0,F18)*$B$4+H18*IF(F18="",0,F18)*$B$5</f>
        <v/>
      </c>
      <c r="L18" s="52">
        <f>IF(B18="","",IF(F18="","MISSING ALLOCATION",IF(ABS(SUMIFS($F$13:$F$112,$A$13:$A$112,A18,$C$13:$C$112,C18)-1)&gt;0.0001,"REVIEW LOCATION ALLOCATION",IF(G18=0,"NO MSR SALES","OK"))))</f>
        <v/>
      </c>
    </row>
    <row r="19" ht="15" customHeight="1" s="126">
      <c r="A19" s="169">
        <f>IF('EVENT ASSIGNMENT'!A8="","",'EVENT ASSIGNMENT'!A8)</f>
        <v/>
      </c>
      <c r="B19" s="52">
        <f>IF('EVENT ASSIGNMENT'!F8="","",'EVENT ASSIGNMENT'!F8)</f>
        <v/>
      </c>
      <c r="C19" s="52">
        <f>IF('EVENT ASSIGNMENT'!C8="","",'EVENT ASSIGNMENT'!C8)</f>
        <v/>
      </c>
      <c r="D19" s="52">
        <f>IF('EVENT ASSIGNMENT'!D8="","",'EVENT ASSIGNMENT'!D8)</f>
        <v/>
      </c>
      <c r="E19" s="53">
        <f>IF('EVENT ASSIGNMENT'!E8="","",'EVENT ASSIGNMENT'!E8)</f>
        <v/>
      </c>
      <c r="F19" s="170">
        <f>IF('EVENT ASSIGNMENT'!G8="","",'EVENT ASSIGNMENT'!G8)</f>
        <v/>
      </c>
      <c r="G19" s="53">
        <f>IF(E19="",0,SUMIFS('MSR DATA'!$I$2:$I$1001,'MSR DATA'!$D$2:$D$1001,E19))</f>
        <v/>
      </c>
      <c r="H19" s="53">
        <f>IF(E19="",0,SUMIFS('MSR DATA'!$I$2:$I$1001,'MSR DATA'!$D$2:$D$1001,E19,'MSR DATA'!$G$2:$G$1001,"ALCOHOL"))</f>
        <v/>
      </c>
      <c r="I19" s="53">
        <f>G19-H19</f>
        <v/>
      </c>
      <c r="J19" s="53">
        <f>G19*IF(F19="",0,F19)</f>
        <v/>
      </c>
      <c r="K19" s="53">
        <f>I19*IF(F19="",0,F19)*$B$4+H19*IF(F19="",0,F19)*$B$5</f>
        <v/>
      </c>
      <c r="L19" s="52">
        <f>IF(B19="","",IF(F19="","MISSING ALLOCATION",IF(ABS(SUMIFS($F$13:$F$112,$A$13:$A$112,A19,$C$13:$C$112,C19)-1)&gt;0.0001,"REVIEW LOCATION ALLOCATION",IF(G19=0,"NO MSR SALES","OK"))))</f>
        <v/>
      </c>
    </row>
    <row r="20" ht="15" customHeight="1" s="126">
      <c r="A20" s="169">
        <f>IF('EVENT ASSIGNMENT'!A9="","",'EVENT ASSIGNMENT'!A9)</f>
        <v/>
      </c>
      <c r="B20" s="52">
        <f>IF('EVENT ASSIGNMENT'!F9="","",'EVENT ASSIGNMENT'!F9)</f>
        <v/>
      </c>
      <c r="C20" s="52">
        <f>IF('EVENT ASSIGNMENT'!C9="","",'EVENT ASSIGNMENT'!C9)</f>
        <v/>
      </c>
      <c r="D20" s="52">
        <f>IF('EVENT ASSIGNMENT'!D9="","",'EVENT ASSIGNMENT'!D9)</f>
        <v/>
      </c>
      <c r="E20" s="53">
        <f>IF('EVENT ASSIGNMENT'!E9="","",'EVENT ASSIGNMENT'!E9)</f>
        <v/>
      </c>
      <c r="F20" s="170">
        <f>IF('EVENT ASSIGNMENT'!G9="","",'EVENT ASSIGNMENT'!G9)</f>
        <v/>
      </c>
      <c r="G20" s="53">
        <f>IF(E20="",0,SUMIFS('MSR DATA'!$I$2:$I$1001,'MSR DATA'!$D$2:$D$1001,E20))</f>
        <v/>
      </c>
      <c r="H20" s="53">
        <f>IF(E20="",0,SUMIFS('MSR DATA'!$I$2:$I$1001,'MSR DATA'!$D$2:$D$1001,E20,'MSR DATA'!$G$2:$G$1001,"ALCOHOL"))</f>
        <v/>
      </c>
      <c r="I20" s="53">
        <f>G20-H20</f>
        <v/>
      </c>
      <c r="J20" s="53">
        <f>G20*IF(F20="",0,F20)</f>
        <v/>
      </c>
      <c r="K20" s="53">
        <f>I20*IF(F20="",0,F20)*$B$4+H20*IF(F20="",0,F20)*$B$5</f>
        <v/>
      </c>
      <c r="L20" s="52">
        <f>IF(B20="","",IF(F20="","MISSING ALLOCATION",IF(ABS(SUMIFS($F$13:$F$112,$A$13:$A$112,A20,$C$13:$C$112,C20)-1)&gt;0.0001,"REVIEW LOCATION ALLOCATION",IF(G20=0,"NO MSR SALES","OK"))))</f>
        <v/>
      </c>
    </row>
    <row r="21" ht="15" customHeight="1" s="126">
      <c r="A21" s="169">
        <f>IF('EVENT ASSIGNMENT'!A10="","",'EVENT ASSIGNMENT'!A10)</f>
        <v/>
      </c>
      <c r="B21" s="52">
        <f>IF('EVENT ASSIGNMENT'!F10="","",'EVENT ASSIGNMENT'!F10)</f>
        <v/>
      </c>
      <c r="C21" s="52">
        <f>IF('EVENT ASSIGNMENT'!C10="","",'EVENT ASSIGNMENT'!C10)</f>
        <v/>
      </c>
      <c r="D21" s="52">
        <f>IF('EVENT ASSIGNMENT'!D10="","",'EVENT ASSIGNMENT'!D10)</f>
        <v/>
      </c>
      <c r="E21" s="53">
        <f>IF('EVENT ASSIGNMENT'!E10="","",'EVENT ASSIGNMENT'!E10)</f>
        <v/>
      </c>
      <c r="F21" s="170">
        <f>IF('EVENT ASSIGNMENT'!G10="","",'EVENT ASSIGNMENT'!G10)</f>
        <v/>
      </c>
      <c r="G21" s="53">
        <f>IF(E21="",0,SUMIFS('MSR DATA'!$I$2:$I$1001,'MSR DATA'!$D$2:$D$1001,E21))</f>
        <v/>
      </c>
      <c r="H21" s="53">
        <f>IF(E21="",0,SUMIFS('MSR DATA'!$I$2:$I$1001,'MSR DATA'!$D$2:$D$1001,E21,'MSR DATA'!$G$2:$G$1001,"ALCOHOL"))</f>
        <v/>
      </c>
      <c r="I21" s="53">
        <f>G21-H21</f>
        <v/>
      </c>
      <c r="J21" s="53">
        <f>G21*IF(F21="",0,F21)</f>
        <v/>
      </c>
      <c r="K21" s="53">
        <f>I21*IF(F21="",0,F21)*$B$4+H21*IF(F21="",0,F21)*$B$5</f>
        <v/>
      </c>
      <c r="L21" s="52">
        <f>IF(B21="","",IF(F21="","MISSING ALLOCATION",IF(ABS(SUMIFS($F$13:$F$112,$A$13:$A$112,A21,$C$13:$C$112,C21)-1)&gt;0.0001,"REVIEW LOCATION ALLOCATION",IF(G21=0,"NO MSR SALES","OK"))))</f>
        <v/>
      </c>
    </row>
    <row r="22" ht="15" customHeight="1" s="126">
      <c r="A22" s="169">
        <f>IF('EVENT ASSIGNMENT'!A11="","",'EVENT ASSIGNMENT'!A11)</f>
        <v/>
      </c>
      <c r="B22" s="52">
        <f>IF('EVENT ASSIGNMENT'!F11="","",'EVENT ASSIGNMENT'!F11)</f>
        <v/>
      </c>
      <c r="C22" s="52">
        <f>IF('EVENT ASSIGNMENT'!C11="","",'EVENT ASSIGNMENT'!C11)</f>
        <v/>
      </c>
      <c r="D22" s="52">
        <f>IF('EVENT ASSIGNMENT'!D11="","",'EVENT ASSIGNMENT'!D11)</f>
        <v/>
      </c>
      <c r="E22" s="53">
        <f>IF('EVENT ASSIGNMENT'!E11="","",'EVENT ASSIGNMENT'!E11)</f>
        <v/>
      </c>
      <c r="F22" s="170">
        <f>IF('EVENT ASSIGNMENT'!G11="","",'EVENT ASSIGNMENT'!G11)</f>
        <v/>
      </c>
      <c r="G22" s="53">
        <f>IF(E22="",0,SUMIFS('MSR DATA'!$I$2:$I$1001,'MSR DATA'!$D$2:$D$1001,E22))</f>
        <v/>
      </c>
      <c r="H22" s="53">
        <f>IF(E22="",0,SUMIFS('MSR DATA'!$I$2:$I$1001,'MSR DATA'!$D$2:$D$1001,E22,'MSR DATA'!$G$2:$G$1001,"ALCOHOL"))</f>
        <v/>
      </c>
      <c r="I22" s="53">
        <f>G22-H22</f>
        <v/>
      </c>
      <c r="J22" s="53">
        <f>G22*IF(F22="",0,F22)</f>
        <v/>
      </c>
      <c r="K22" s="53">
        <f>I22*IF(F22="",0,F22)*$B$4+H22*IF(F22="",0,F22)*$B$5</f>
        <v/>
      </c>
      <c r="L22" s="52">
        <f>IF(B22="","",IF(F22="","MISSING ALLOCATION",IF(ABS(SUMIFS($F$13:$F$112,$A$13:$A$112,A22,$C$13:$C$112,C22)-1)&gt;0.0001,"REVIEW LOCATION ALLOCATION",IF(G22=0,"NO MSR SALES","OK"))))</f>
        <v/>
      </c>
    </row>
    <row r="23" ht="15" customHeight="1" s="126">
      <c r="A23" s="169">
        <f>IF('EVENT ASSIGNMENT'!A12="","",'EVENT ASSIGNMENT'!A12)</f>
        <v/>
      </c>
      <c r="B23" s="52">
        <f>IF('EVENT ASSIGNMENT'!F12="","",'EVENT ASSIGNMENT'!F12)</f>
        <v/>
      </c>
      <c r="C23" s="52">
        <f>IF('EVENT ASSIGNMENT'!C12="","",'EVENT ASSIGNMENT'!C12)</f>
        <v/>
      </c>
      <c r="D23" s="52">
        <f>IF('EVENT ASSIGNMENT'!D12="","",'EVENT ASSIGNMENT'!D12)</f>
        <v/>
      </c>
      <c r="E23" s="53">
        <f>IF('EVENT ASSIGNMENT'!E12="","",'EVENT ASSIGNMENT'!E12)</f>
        <v/>
      </c>
      <c r="F23" s="170">
        <f>IF('EVENT ASSIGNMENT'!G12="","",'EVENT ASSIGNMENT'!G12)</f>
        <v/>
      </c>
      <c r="G23" s="53">
        <f>IF(E23="",0,SUMIFS('MSR DATA'!$I$2:$I$1001,'MSR DATA'!$D$2:$D$1001,E23))</f>
        <v/>
      </c>
      <c r="H23" s="53">
        <f>IF(E23="",0,SUMIFS('MSR DATA'!$I$2:$I$1001,'MSR DATA'!$D$2:$D$1001,E23,'MSR DATA'!$G$2:$G$1001,"ALCOHOL"))</f>
        <v/>
      </c>
      <c r="I23" s="53">
        <f>G23-H23</f>
        <v/>
      </c>
      <c r="J23" s="53">
        <f>G23*IF(F23="",0,F23)</f>
        <v/>
      </c>
      <c r="K23" s="53">
        <f>I23*IF(F23="",0,F23)*$B$4+H23*IF(F23="",0,F23)*$B$5</f>
        <v/>
      </c>
      <c r="L23" s="52">
        <f>IF(B23="","",IF(F23="","MISSING ALLOCATION",IF(ABS(SUMIFS($F$13:$F$112,$A$13:$A$112,A23,$C$13:$C$112,C23)-1)&gt;0.0001,"REVIEW LOCATION ALLOCATION",IF(G23=0,"NO MSR SALES","OK"))))</f>
        <v/>
      </c>
    </row>
    <row r="24" ht="15" customHeight="1" s="126">
      <c r="A24" s="169">
        <f>IF('EVENT ASSIGNMENT'!A13="","",'EVENT ASSIGNMENT'!A13)</f>
        <v/>
      </c>
      <c r="B24" s="52">
        <f>IF('EVENT ASSIGNMENT'!F13="","",'EVENT ASSIGNMENT'!F13)</f>
        <v/>
      </c>
      <c r="C24" s="52">
        <f>IF('EVENT ASSIGNMENT'!C13="","",'EVENT ASSIGNMENT'!C13)</f>
        <v/>
      </c>
      <c r="D24" s="52">
        <f>IF('EVENT ASSIGNMENT'!D13="","",'EVENT ASSIGNMENT'!D13)</f>
        <v/>
      </c>
      <c r="E24" s="53">
        <f>IF('EVENT ASSIGNMENT'!E13="","",'EVENT ASSIGNMENT'!E13)</f>
        <v/>
      </c>
      <c r="F24" s="170">
        <f>IF('EVENT ASSIGNMENT'!G13="","",'EVENT ASSIGNMENT'!G13)</f>
        <v/>
      </c>
      <c r="G24" s="53">
        <f>IF(E24="",0,SUMIFS('MSR DATA'!$I$2:$I$1001,'MSR DATA'!$D$2:$D$1001,E24))</f>
        <v/>
      </c>
      <c r="H24" s="53">
        <f>IF(E24="",0,SUMIFS('MSR DATA'!$I$2:$I$1001,'MSR DATA'!$D$2:$D$1001,E24,'MSR DATA'!$G$2:$G$1001,"ALCOHOL"))</f>
        <v/>
      </c>
      <c r="I24" s="53">
        <f>G24-H24</f>
        <v/>
      </c>
      <c r="J24" s="53">
        <f>G24*IF(F24="",0,F24)</f>
        <v/>
      </c>
      <c r="K24" s="53">
        <f>I24*IF(F24="",0,F24)*$B$4+H24*IF(F24="",0,F24)*$B$5</f>
        <v/>
      </c>
      <c r="L24" s="52">
        <f>IF(B24="","",IF(F24="","MISSING ALLOCATION",IF(ABS(SUMIFS($F$13:$F$112,$A$13:$A$112,A24,$C$13:$C$112,C24)-1)&gt;0.0001,"REVIEW LOCATION ALLOCATION",IF(G24=0,"NO MSR SALES","OK"))))</f>
        <v/>
      </c>
    </row>
    <row r="25" ht="15" customHeight="1" s="126">
      <c r="A25" s="171">
        <f>IF('EVENT ASSIGNMENT'!A14="","",'EVENT ASSIGNMENT'!A14)</f>
        <v/>
      </c>
      <c r="B25" s="56">
        <f>IF('EVENT ASSIGNMENT'!F14="","",'EVENT ASSIGNMENT'!F14)</f>
        <v/>
      </c>
      <c r="C25" s="56">
        <f>IF('EVENT ASSIGNMENT'!C14="","",'EVENT ASSIGNMENT'!C14)</f>
        <v/>
      </c>
      <c r="D25" s="56">
        <f>IF('EVENT ASSIGNMENT'!D14="","",'EVENT ASSIGNMENT'!D14)</f>
        <v/>
      </c>
      <c r="E25" s="57">
        <f>IF('EVENT ASSIGNMENT'!E14="","",'EVENT ASSIGNMENT'!E14)</f>
        <v/>
      </c>
      <c r="F25" s="172">
        <f>IF('EVENT ASSIGNMENT'!G14="","",'EVENT ASSIGNMENT'!G14)</f>
        <v/>
      </c>
      <c r="G25" s="57">
        <f>IF(E25="",0,SUMIFS('MSR DATA'!$I$2:$I$1001,'MSR DATA'!$D$2:$D$1001,E25))</f>
        <v/>
      </c>
      <c r="H25" s="57">
        <f>IF(E25="",0,SUMIFS('MSR DATA'!$I$2:$I$1001,'MSR DATA'!$D$2:$D$1001,E25,'MSR DATA'!$G$2:$G$1001,"ALCOHOL"))</f>
        <v/>
      </c>
      <c r="I25" s="57">
        <f>G25-H25</f>
        <v/>
      </c>
      <c r="J25" s="57">
        <f>G25*IF(F25="",0,F25)</f>
        <v/>
      </c>
      <c r="K25" s="57">
        <f>I25*IF(F25="",0,F25)*$B$4+H25*IF(F25="",0,F25)*$B$5</f>
        <v/>
      </c>
      <c r="L25" s="56">
        <f>IF(B25="","",IF(F25="","MISSING ALLOCATION",IF(ABS(SUMIFS($F$13:$F$112,$A$13:$A$112,A25,$C$13:$C$112,C25)-1)&gt;0.0001,"REVIEW LOCATION ALLOCATION",IF(G25=0,"NO MSR SALES","OK"))))</f>
        <v/>
      </c>
    </row>
    <row r="26" ht="12.75" customHeight="1" s="126">
      <c r="A26" s="169">
        <f>IF('EVENT ASSIGNMENT'!A15="","",'EVENT ASSIGNMENT'!A15)</f>
        <v/>
      </c>
      <c r="B26" s="52">
        <f>IF('EVENT ASSIGNMENT'!F15="","",'EVENT ASSIGNMENT'!F15)</f>
        <v/>
      </c>
      <c r="C26" s="52">
        <f>IF('EVENT ASSIGNMENT'!C15="","",'EVENT ASSIGNMENT'!C15)</f>
        <v/>
      </c>
      <c r="D26" s="52">
        <f>IF('EVENT ASSIGNMENT'!D15="","",'EVENT ASSIGNMENT'!D15)</f>
        <v/>
      </c>
      <c r="E26" s="52">
        <f>IF('EVENT ASSIGNMENT'!E15="","",'EVENT ASSIGNMENT'!E15)</f>
        <v/>
      </c>
      <c r="F26" s="170">
        <f>IF('EVENT ASSIGNMENT'!G15="","",'EVENT ASSIGNMENT'!G15)</f>
        <v/>
      </c>
      <c r="G26" s="53">
        <f>IF(E26="",0,SUMIFS('MSR DATA'!$I$2:$I$1001,'MSR DATA'!$D$2:$D$1001,E26))</f>
        <v/>
      </c>
      <c r="H26" s="53">
        <f>IF(E26="",0,SUMIFS('MSR DATA'!$I$2:$I$1001,'MSR DATA'!$D$2:$D$1001,E26,'MSR DATA'!$G$2:$G$1001,"ALCOHOL"))</f>
        <v/>
      </c>
      <c r="I26" s="53">
        <f>G26-H26</f>
        <v/>
      </c>
      <c r="J26" s="53">
        <f>G26*IF(F26="",0,F26)</f>
        <v/>
      </c>
      <c r="K26" s="53">
        <f>I26*IF(F26="",0,F26)*$B$4+H26*IF(F26="",0,F26)*$B$5</f>
        <v/>
      </c>
      <c r="L26" s="52">
        <f>IF(B26="","",IF(F26="","MISSING ALLOCATION",IF(ABS(SUMIFS($F$13:$F$112,$A$13:$A$112,A26,$C$13:$C$112,C26)-1)&gt;0.0001,"REVIEW LOCATION ALLOCATION",IF(G26=0,"NO MSR SALES","OK"))))</f>
        <v/>
      </c>
    </row>
    <row r="27" ht="12.75" customHeight="1" s="126">
      <c r="A27" s="169">
        <f>IF('EVENT ASSIGNMENT'!A16="","",'EVENT ASSIGNMENT'!A16)</f>
        <v/>
      </c>
      <c r="B27" s="52">
        <f>IF('EVENT ASSIGNMENT'!F16="","",'EVENT ASSIGNMENT'!F16)</f>
        <v/>
      </c>
      <c r="C27" s="52">
        <f>IF('EVENT ASSIGNMENT'!C16="","",'EVENT ASSIGNMENT'!C16)</f>
        <v/>
      </c>
      <c r="D27" s="52">
        <f>IF('EVENT ASSIGNMENT'!D16="","",'EVENT ASSIGNMENT'!D16)</f>
        <v/>
      </c>
      <c r="E27" s="52">
        <f>IF('EVENT ASSIGNMENT'!E16="","",'EVENT ASSIGNMENT'!E16)</f>
        <v/>
      </c>
      <c r="F27" s="170">
        <f>IF('EVENT ASSIGNMENT'!G16="","",'EVENT ASSIGNMENT'!G16)</f>
        <v/>
      </c>
      <c r="G27" s="53">
        <f>IF(E27="",0,SUMIFS('MSR DATA'!$I$2:$I$1001,'MSR DATA'!$D$2:$D$1001,E27))</f>
        <v/>
      </c>
      <c r="H27" s="53">
        <f>IF(E27="",0,SUMIFS('MSR DATA'!$I$2:$I$1001,'MSR DATA'!$D$2:$D$1001,E27,'MSR DATA'!$G$2:$G$1001,"ALCOHOL"))</f>
        <v/>
      </c>
      <c r="I27" s="53">
        <f>G27-H27</f>
        <v/>
      </c>
      <c r="J27" s="53">
        <f>G27*IF(F27="",0,F27)</f>
        <v/>
      </c>
      <c r="K27" s="53">
        <f>I27*IF(F27="",0,F27)*$B$4+H27*IF(F27="",0,F27)*$B$5</f>
        <v/>
      </c>
      <c r="L27" s="52">
        <f>IF(B27="","",IF(F27="","MISSING ALLOCATION",IF(ABS(SUMIFS($F$13:$F$112,$A$13:$A$112,A27,$C$13:$C$112,C27)-1)&gt;0.0001,"REVIEW LOCATION ALLOCATION",IF(G27=0,"NO MSR SALES","OK"))))</f>
        <v/>
      </c>
    </row>
    <row r="28" ht="12.75" customHeight="1" s="126">
      <c r="A28" s="169">
        <f>IF('EVENT ASSIGNMENT'!A17="","",'EVENT ASSIGNMENT'!A17)</f>
        <v/>
      </c>
      <c r="B28" s="52">
        <f>IF('EVENT ASSIGNMENT'!F17="","",'EVENT ASSIGNMENT'!F17)</f>
        <v/>
      </c>
      <c r="C28" s="52">
        <f>IF('EVENT ASSIGNMENT'!C17="","",'EVENT ASSIGNMENT'!C17)</f>
        <v/>
      </c>
      <c r="D28" s="52">
        <f>IF('EVENT ASSIGNMENT'!D17="","",'EVENT ASSIGNMENT'!D17)</f>
        <v/>
      </c>
      <c r="E28" s="52">
        <f>IF('EVENT ASSIGNMENT'!E17="","",'EVENT ASSIGNMENT'!E17)</f>
        <v/>
      </c>
      <c r="F28" s="170">
        <f>IF('EVENT ASSIGNMENT'!G17="","",'EVENT ASSIGNMENT'!G17)</f>
        <v/>
      </c>
      <c r="G28" s="53">
        <f>IF(E28="",0,SUMIFS('MSR DATA'!$I$2:$I$1001,'MSR DATA'!$D$2:$D$1001,E28))</f>
        <v/>
      </c>
      <c r="H28" s="53">
        <f>IF(E28="",0,SUMIFS('MSR DATA'!$I$2:$I$1001,'MSR DATA'!$D$2:$D$1001,E28,'MSR DATA'!$G$2:$G$1001,"ALCOHOL"))</f>
        <v/>
      </c>
      <c r="I28" s="53">
        <f>G28-H28</f>
        <v/>
      </c>
      <c r="J28" s="53">
        <f>G28*IF(F28="",0,F28)</f>
        <v/>
      </c>
      <c r="K28" s="53">
        <f>I28*IF(F28="",0,F28)*$B$4+H28*IF(F28="",0,F28)*$B$5</f>
        <v/>
      </c>
      <c r="L28" s="52">
        <f>IF(B28="","",IF(F28="","MISSING ALLOCATION",IF(ABS(SUMIFS($F$13:$F$112,$A$13:$A$112,A28,$C$13:$C$112,C28)-1)&gt;0.0001,"REVIEW LOCATION ALLOCATION",IF(G28=0,"NO MSR SALES","OK"))))</f>
        <v/>
      </c>
    </row>
    <row r="29" ht="12.75" customHeight="1" s="126">
      <c r="A29" s="169">
        <f>IF('EVENT ASSIGNMENT'!A18="","",'EVENT ASSIGNMENT'!A18)</f>
        <v/>
      </c>
      <c r="B29" s="52">
        <f>IF('EVENT ASSIGNMENT'!F18="","",'EVENT ASSIGNMENT'!F18)</f>
        <v/>
      </c>
      <c r="C29" s="52">
        <f>IF('EVENT ASSIGNMENT'!C18="","",'EVENT ASSIGNMENT'!C18)</f>
        <v/>
      </c>
      <c r="D29" s="52">
        <f>IF('EVENT ASSIGNMENT'!D18="","",'EVENT ASSIGNMENT'!D18)</f>
        <v/>
      </c>
      <c r="E29" s="52">
        <f>IF('EVENT ASSIGNMENT'!E18="","",'EVENT ASSIGNMENT'!E18)</f>
        <v/>
      </c>
      <c r="F29" s="170">
        <f>IF('EVENT ASSIGNMENT'!G18="","",'EVENT ASSIGNMENT'!G18)</f>
        <v/>
      </c>
      <c r="G29" s="53">
        <f>IF(E29="",0,SUMIFS('MSR DATA'!$I$2:$I$1001,'MSR DATA'!$D$2:$D$1001,E29))</f>
        <v/>
      </c>
      <c r="H29" s="53">
        <f>IF(E29="",0,SUMIFS('MSR DATA'!$I$2:$I$1001,'MSR DATA'!$D$2:$D$1001,E29,'MSR DATA'!$G$2:$G$1001,"ALCOHOL"))</f>
        <v/>
      </c>
      <c r="I29" s="53">
        <f>G29-H29</f>
        <v/>
      </c>
      <c r="J29" s="53">
        <f>G29*IF(F29="",0,F29)</f>
        <v/>
      </c>
      <c r="K29" s="53">
        <f>I29*IF(F29="",0,F29)*$B$4+H29*IF(F29="",0,F29)*$B$5</f>
        <v/>
      </c>
      <c r="L29" s="52">
        <f>IF(B29="","",IF(F29="","MISSING ALLOCATION",IF(ABS(SUMIFS($F$13:$F$112,$A$13:$A$112,A29,$C$13:$C$112,C29)-1)&gt;0.0001,"REVIEW LOCATION ALLOCATION",IF(G29=0,"NO MSR SALES","OK"))))</f>
        <v/>
      </c>
    </row>
    <row r="30" ht="15" customHeight="1" s="126">
      <c r="A30" s="171">
        <f>IF('EVENT ASSIGNMENT'!A19="","",'EVENT ASSIGNMENT'!A19)</f>
        <v/>
      </c>
      <c r="B30" s="52">
        <f>IF('EVENT ASSIGNMENT'!F19="","",'EVENT ASSIGNMENT'!F19)</f>
        <v/>
      </c>
      <c r="C30" s="52">
        <f>IF('EVENT ASSIGNMENT'!C19="","",'EVENT ASSIGNMENT'!C19)</f>
        <v/>
      </c>
      <c r="D30" s="52">
        <f>IF('EVENT ASSIGNMENT'!D19="","",'EVENT ASSIGNMENT'!D19)</f>
        <v/>
      </c>
      <c r="E30" s="52">
        <f>IF('EVENT ASSIGNMENT'!E19="","",'EVENT ASSIGNMENT'!E19)</f>
        <v/>
      </c>
      <c r="F30" s="170">
        <f>IF('EVENT ASSIGNMENT'!G19="","",'EVENT ASSIGNMENT'!G19)</f>
        <v/>
      </c>
      <c r="G30" s="53">
        <f>IF(E30="",0,SUMIFS('MSR DATA'!$I$2:$I$1001,'MSR DATA'!$D$2:$D$1001,E30))</f>
        <v/>
      </c>
      <c r="H30" s="53">
        <f>IF(E30="",0,SUMIFS('MSR DATA'!$I$2:$I$1001,'MSR DATA'!$D$2:$D$1001,E30,'MSR DATA'!$G$2:$G$1001,"ALCOHOL"))</f>
        <v/>
      </c>
      <c r="I30" s="53">
        <f>G30-H30</f>
        <v/>
      </c>
      <c r="J30" s="53">
        <f>G30*IF(F30="",0,F30)</f>
        <v/>
      </c>
      <c r="K30" s="53">
        <f>I30*IF(F30="",0,F30)*$B$4+H30*IF(F30="",0,F30)*$B$5</f>
        <v/>
      </c>
      <c r="L30" s="52">
        <f>IF(B30="","",IF(F30="","MISSING ALLOCATION",IF(ABS(SUMIFS($F$13:$F$112,$A$13:$A$112,A30,$C$13:$C$112,C30)-1)&gt;0.0001,"REVIEW LOCATION ALLOCATION",IF(G30=0,"NO MSR SALES","OK"))))</f>
        <v/>
      </c>
    </row>
    <row r="31" ht="15" customHeight="1" s="126">
      <c r="A31" s="173">
        <f>IF('EVENT ASSIGNMENT'!A20="","",'EVENT ASSIGNMENT'!A20)</f>
        <v/>
      </c>
      <c r="B31" s="52">
        <f>IF('EVENT ASSIGNMENT'!F20="","",'EVENT ASSIGNMENT'!F20)</f>
        <v/>
      </c>
      <c r="C31" s="52">
        <f>IF('EVENT ASSIGNMENT'!C20="","",'EVENT ASSIGNMENT'!C20)</f>
        <v/>
      </c>
      <c r="D31" s="52">
        <f>IF('EVENT ASSIGNMENT'!D20="","",'EVENT ASSIGNMENT'!D20)</f>
        <v/>
      </c>
      <c r="E31" s="52">
        <f>IF('EVENT ASSIGNMENT'!E20="","",'EVENT ASSIGNMENT'!E20)</f>
        <v/>
      </c>
      <c r="F31" s="170">
        <f>IF('EVENT ASSIGNMENT'!G20="","",'EVENT ASSIGNMENT'!G20)</f>
        <v/>
      </c>
      <c r="G31" s="53">
        <f>IF(E31="",0,SUMIFS('MSR DATA'!$I$2:$I$1001,'MSR DATA'!$D$2:$D$1001,E31))</f>
        <v/>
      </c>
      <c r="H31" s="53">
        <f>IF(E31="",0,SUMIFS('MSR DATA'!$I$2:$I$1001,'MSR DATA'!$D$2:$D$1001,E31,'MSR DATA'!$G$2:$G$1001,"ALCOHOL"))</f>
        <v/>
      </c>
      <c r="I31" s="53">
        <f>G31-H31</f>
        <v/>
      </c>
      <c r="J31" s="53">
        <f>G31*IF(F31="",0,F31)</f>
        <v/>
      </c>
      <c r="K31" s="53">
        <f>I31*IF(F31="",0,F31)*$B$4+H31*IF(F31="",0,F31)*$B$5</f>
        <v/>
      </c>
      <c r="L31" s="52">
        <f>IF(B31="","",IF(F31="","MISSING ALLOCATION",IF(ABS(SUMIFS($F$13:$F$112,$A$13:$A$112,A31,$C$13:$C$112,C31)-1)&gt;0.0001,"REVIEW LOCATION ALLOCATION",IF(G31=0,"NO MSR SALES","OK"))))</f>
        <v/>
      </c>
    </row>
    <row r="32" ht="15" customHeight="1" s="126">
      <c r="A32" s="173">
        <f>IF('EVENT ASSIGNMENT'!A21="","",'EVENT ASSIGNMENT'!A21)</f>
        <v/>
      </c>
      <c r="B32" s="52">
        <f>IF('EVENT ASSIGNMENT'!F21="","",'EVENT ASSIGNMENT'!F21)</f>
        <v/>
      </c>
      <c r="C32" s="52">
        <f>IF('EVENT ASSIGNMENT'!C21="","",'EVENT ASSIGNMENT'!C21)</f>
        <v/>
      </c>
      <c r="D32" s="52">
        <f>IF('EVENT ASSIGNMENT'!D21="","",'EVENT ASSIGNMENT'!D21)</f>
        <v/>
      </c>
      <c r="E32" s="52">
        <f>IF('EVENT ASSIGNMENT'!E21="","",'EVENT ASSIGNMENT'!E21)</f>
        <v/>
      </c>
      <c r="F32" s="170">
        <f>IF('EVENT ASSIGNMENT'!G21="","",'EVENT ASSIGNMENT'!G21)</f>
        <v/>
      </c>
      <c r="G32" s="53">
        <f>IF(E32="",0,SUMIFS('MSR DATA'!$I$2:$I$1001,'MSR DATA'!$D$2:$D$1001,E32))</f>
        <v/>
      </c>
      <c r="H32" s="53">
        <f>IF(E32="",0,SUMIFS('MSR DATA'!$I$2:$I$1001,'MSR DATA'!$D$2:$D$1001,E32,'MSR DATA'!$G$2:$G$1001,"ALCOHOL"))</f>
        <v/>
      </c>
      <c r="I32" s="53">
        <f>G32-H32</f>
        <v/>
      </c>
      <c r="J32" s="53">
        <f>G32*IF(F32="",0,F32)</f>
        <v/>
      </c>
      <c r="K32" s="53">
        <f>I32*IF(F32="",0,F32)*$B$4+H32*IF(F32="",0,F32)*$B$5</f>
        <v/>
      </c>
      <c r="L32" s="52">
        <f>IF(B32="","",IF(F32="","MISSING ALLOCATION",IF(ABS(SUMIFS($F$13:$F$112,$A$13:$A$112,A32,$C$13:$C$112,C32)-1)&gt;0.0001,"REVIEW LOCATION ALLOCATION",IF(G32=0,"NO MSR SALES","OK"))))</f>
        <v/>
      </c>
    </row>
    <row r="33" ht="15" customHeight="1" s="126">
      <c r="A33" s="173">
        <f>IF('EVENT ASSIGNMENT'!A22="","",'EVENT ASSIGNMENT'!A22)</f>
        <v/>
      </c>
      <c r="B33" s="52">
        <f>IF('EVENT ASSIGNMENT'!F22="","",'EVENT ASSIGNMENT'!F22)</f>
        <v/>
      </c>
      <c r="C33" s="52">
        <f>IF('EVENT ASSIGNMENT'!C22="","",'EVENT ASSIGNMENT'!C22)</f>
        <v/>
      </c>
      <c r="D33" s="52">
        <f>IF('EVENT ASSIGNMENT'!D22="","",'EVENT ASSIGNMENT'!D22)</f>
        <v/>
      </c>
      <c r="E33" s="52">
        <f>IF('EVENT ASSIGNMENT'!E22="","",'EVENT ASSIGNMENT'!E22)</f>
        <v/>
      </c>
      <c r="F33" s="170">
        <f>IF('EVENT ASSIGNMENT'!G22="","",'EVENT ASSIGNMENT'!G22)</f>
        <v/>
      </c>
      <c r="G33" s="53">
        <f>IF(E33="",0,SUMIFS('MSR DATA'!$I$2:$I$1001,'MSR DATA'!$D$2:$D$1001,E33))</f>
        <v/>
      </c>
      <c r="H33" s="53">
        <f>IF(E33="",0,SUMIFS('MSR DATA'!$I$2:$I$1001,'MSR DATA'!$D$2:$D$1001,E33,'MSR DATA'!$G$2:$G$1001,"ALCOHOL"))</f>
        <v/>
      </c>
      <c r="I33" s="53">
        <f>G33-H33</f>
        <v/>
      </c>
      <c r="J33" s="53">
        <f>G33*IF(F33="",0,F33)</f>
        <v/>
      </c>
      <c r="K33" s="53">
        <f>I33*IF(F33="",0,F33)*$B$4+H33*IF(F33="",0,F33)*$B$5</f>
        <v/>
      </c>
      <c r="L33" s="52">
        <f>IF(B33="","",IF(F33="","MISSING ALLOCATION",IF(ABS(SUMIFS($F$13:$F$112,$A$13:$A$112,A33,$C$13:$C$112,C33)-1)&gt;0.0001,"REVIEW LOCATION ALLOCATION",IF(G33=0,"NO MSR SALES","OK"))))</f>
        <v/>
      </c>
    </row>
    <row r="34" ht="15" customHeight="1" s="126">
      <c r="A34" s="173">
        <f>IF('EVENT ASSIGNMENT'!A23="","",'EVENT ASSIGNMENT'!A23)</f>
        <v/>
      </c>
      <c r="B34" s="52">
        <f>IF('EVENT ASSIGNMENT'!F23="","",'EVENT ASSIGNMENT'!F23)</f>
        <v/>
      </c>
      <c r="C34" s="52">
        <f>IF('EVENT ASSIGNMENT'!C23="","",'EVENT ASSIGNMENT'!C23)</f>
        <v/>
      </c>
      <c r="D34" s="52">
        <f>IF('EVENT ASSIGNMENT'!D23="","",'EVENT ASSIGNMENT'!D23)</f>
        <v/>
      </c>
      <c r="E34" s="52">
        <f>IF('EVENT ASSIGNMENT'!E23="","",'EVENT ASSIGNMENT'!E23)</f>
        <v/>
      </c>
      <c r="F34" s="170">
        <f>IF('EVENT ASSIGNMENT'!G23="","",'EVENT ASSIGNMENT'!G23)</f>
        <v/>
      </c>
      <c r="G34" s="53">
        <f>IF(E34="",0,SUMIFS('MSR DATA'!$I$2:$I$1001,'MSR DATA'!$D$2:$D$1001,E34))</f>
        <v/>
      </c>
      <c r="H34" s="53">
        <f>IF(E34="",0,SUMIFS('MSR DATA'!$I$2:$I$1001,'MSR DATA'!$D$2:$D$1001,E34,'MSR DATA'!$G$2:$G$1001,"ALCOHOL"))</f>
        <v/>
      </c>
      <c r="I34" s="53">
        <f>G34-H34</f>
        <v/>
      </c>
      <c r="J34" s="53">
        <f>G34*IF(F34="",0,F34)</f>
        <v/>
      </c>
      <c r="K34" s="53">
        <f>I34*IF(F34="",0,F34)*$B$4+H34*IF(F34="",0,F34)*$B$5</f>
        <v/>
      </c>
      <c r="L34" s="52">
        <f>IF(B34="","",IF(F34="","MISSING ALLOCATION",IF(ABS(SUMIFS($F$13:$F$112,$A$13:$A$112,A34,$C$13:$C$112,C34)-1)&gt;0.0001,"REVIEW LOCATION ALLOCATION",IF(G34=0,"NO MSR SALES","OK"))))</f>
        <v/>
      </c>
    </row>
    <row r="35" ht="15" customHeight="1" s="126">
      <c r="A35" s="173">
        <f>IF('EVENT ASSIGNMENT'!A24="","",'EVENT ASSIGNMENT'!A24)</f>
        <v/>
      </c>
      <c r="B35" s="52">
        <f>IF('EVENT ASSIGNMENT'!F24="","",'EVENT ASSIGNMENT'!F24)</f>
        <v/>
      </c>
      <c r="C35" s="52">
        <f>IF('EVENT ASSIGNMENT'!C24="","",'EVENT ASSIGNMENT'!C24)</f>
        <v/>
      </c>
      <c r="D35" s="52">
        <f>IF('EVENT ASSIGNMENT'!D24="","",'EVENT ASSIGNMENT'!D24)</f>
        <v/>
      </c>
      <c r="E35" s="52">
        <f>IF('EVENT ASSIGNMENT'!E24="","",'EVENT ASSIGNMENT'!E24)</f>
        <v/>
      </c>
      <c r="F35" s="170">
        <f>IF('EVENT ASSIGNMENT'!G24="","",'EVENT ASSIGNMENT'!G24)</f>
        <v/>
      </c>
      <c r="G35" s="53">
        <f>IF(E35="",0,SUMIFS('MSR DATA'!$I$2:$I$1001,'MSR DATA'!$D$2:$D$1001,E35))</f>
        <v/>
      </c>
      <c r="H35" s="53">
        <f>IF(E35="",0,SUMIFS('MSR DATA'!$I$2:$I$1001,'MSR DATA'!$D$2:$D$1001,E35,'MSR DATA'!$G$2:$G$1001,"ALCOHOL"))</f>
        <v/>
      </c>
      <c r="I35" s="53">
        <f>G35-H35</f>
        <v/>
      </c>
      <c r="J35" s="53">
        <f>G35*IF(F35="",0,F35)</f>
        <v/>
      </c>
      <c r="K35" s="53">
        <f>I35*IF(F35="",0,F35)*$B$4+H35*IF(F35="",0,F35)*$B$5</f>
        <v/>
      </c>
      <c r="L35" s="52">
        <f>IF(B35="","",IF(F35="","MISSING ALLOCATION",IF(ABS(SUMIFS($F$13:$F$112,$A$13:$A$112,A35,$C$13:$C$112,C35)-1)&gt;0.0001,"REVIEW LOCATION ALLOCATION",IF(G35=0,"NO MSR SALES","OK"))))</f>
        <v/>
      </c>
    </row>
    <row r="36" ht="15" customHeight="1" s="126">
      <c r="A36" s="173">
        <f>IF('EVENT ASSIGNMENT'!A25="","",'EVENT ASSIGNMENT'!A25)</f>
        <v/>
      </c>
      <c r="B36" s="52">
        <f>IF('EVENT ASSIGNMENT'!F25="","",'EVENT ASSIGNMENT'!F25)</f>
        <v/>
      </c>
      <c r="C36" s="52">
        <f>IF('EVENT ASSIGNMENT'!C25="","",'EVENT ASSIGNMENT'!C25)</f>
        <v/>
      </c>
      <c r="D36" s="52">
        <f>IF('EVENT ASSIGNMENT'!D25="","",'EVENT ASSIGNMENT'!D25)</f>
        <v/>
      </c>
      <c r="E36" s="52">
        <f>IF('EVENT ASSIGNMENT'!E25="","",'EVENT ASSIGNMENT'!E25)</f>
        <v/>
      </c>
      <c r="F36" s="170">
        <f>IF('EVENT ASSIGNMENT'!G25="","",'EVENT ASSIGNMENT'!G25)</f>
        <v/>
      </c>
      <c r="G36" s="53">
        <f>IF(E36="",0,SUMIFS('MSR DATA'!$I$2:$I$1001,'MSR DATA'!$D$2:$D$1001,E36))</f>
        <v/>
      </c>
      <c r="H36" s="53">
        <f>IF(E36="",0,SUMIFS('MSR DATA'!$I$2:$I$1001,'MSR DATA'!$D$2:$D$1001,E36,'MSR DATA'!$G$2:$G$1001,"ALCOHOL"))</f>
        <v/>
      </c>
      <c r="I36" s="53">
        <f>G36-H36</f>
        <v/>
      </c>
      <c r="J36" s="53">
        <f>G36*IF(F36="",0,F36)</f>
        <v/>
      </c>
      <c r="K36" s="53">
        <f>I36*IF(F36="",0,F36)*$B$4+H36*IF(F36="",0,F36)*$B$5</f>
        <v/>
      </c>
      <c r="L36" s="52">
        <f>IF(B36="","",IF(F36="","MISSING ALLOCATION",IF(ABS(SUMIFS($F$13:$F$112,$A$13:$A$112,A36,$C$13:$C$112,C36)-1)&gt;0.0001,"REVIEW LOCATION ALLOCATION",IF(G36=0,"NO MSR SALES","OK"))))</f>
        <v/>
      </c>
    </row>
    <row r="37" ht="12.75" customHeight="1" s="126">
      <c r="A37" s="169">
        <f>IF('EVENT ASSIGNMENT'!A26="","",'EVENT ASSIGNMENT'!A26)</f>
        <v/>
      </c>
      <c r="B37" s="52">
        <f>IF('EVENT ASSIGNMENT'!F26="","",'EVENT ASSIGNMENT'!F26)</f>
        <v/>
      </c>
      <c r="C37" s="52">
        <f>IF('EVENT ASSIGNMENT'!C26="","",'EVENT ASSIGNMENT'!C26)</f>
        <v/>
      </c>
      <c r="D37" s="52">
        <f>IF('EVENT ASSIGNMENT'!D26="","",'EVENT ASSIGNMENT'!D26)</f>
        <v/>
      </c>
      <c r="E37" s="52">
        <f>IF('EVENT ASSIGNMENT'!E26="","",'EVENT ASSIGNMENT'!E26)</f>
        <v/>
      </c>
      <c r="F37" s="170">
        <f>IF('EVENT ASSIGNMENT'!G26="","",'EVENT ASSIGNMENT'!G26)</f>
        <v/>
      </c>
      <c r="G37" s="53">
        <f>IF(E37="",0,SUMIFS('MSR DATA'!$I$2:$I$1001,'MSR DATA'!$D$2:$D$1001,E37))</f>
        <v/>
      </c>
      <c r="H37" s="53">
        <f>IF(E37="",0,SUMIFS('MSR DATA'!$I$2:$I$1001,'MSR DATA'!$D$2:$D$1001,E37,'MSR DATA'!$G$2:$G$1001,"ALCOHOL"))</f>
        <v/>
      </c>
      <c r="I37" s="53">
        <f>G37-H37</f>
        <v/>
      </c>
      <c r="J37" s="53">
        <f>G37*IF(F37="",0,F37)</f>
        <v/>
      </c>
      <c r="K37" s="53">
        <f>I37*IF(F37="",0,F37)*$B$4+H37*IF(F37="",0,F37)*$B$5</f>
        <v/>
      </c>
      <c r="L37" s="52">
        <f>IF(B37="","",IF(F37="","MISSING ALLOCATION",IF(ABS(SUMIFS($F$13:$F$112,$A$13:$A$112,A37,$C$13:$C$112,C37)-1)&gt;0.0001,"REVIEW LOCATION ALLOCATION",IF(G37=0,"NO MSR SALES","OK"))))</f>
        <v/>
      </c>
    </row>
    <row r="38" ht="12.75" customHeight="1" s="126">
      <c r="A38" s="169">
        <f>IF('EVENT ASSIGNMENT'!A27="","",'EVENT ASSIGNMENT'!A27)</f>
        <v/>
      </c>
      <c r="B38" s="52">
        <f>IF('EVENT ASSIGNMENT'!F27="","",'EVENT ASSIGNMENT'!F27)</f>
        <v/>
      </c>
      <c r="C38" s="52">
        <f>IF('EVENT ASSIGNMENT'!C27="","",'EVENT ASSIGNMENT'!C27)</f>
        <v/>
      </c>
      <c r="D38" s="52">
        <f>IF('EVENT ASSIGNMENT'!D27="","",'EVENT ASSIGNMENT'!D27)</f>
        <v/>
      </c>
      <c r="E38" s="52">
        <f>IF('EVENT ASSIGNMENT'!E27="","",'EVENT ASSIGNMENT'!E27)</f>
        <v/>
      </c>
      <c r="F38" s="170">
        <f>IF('EVENT ASSIGNMENT'!G27="","",'EVENT ASSIGNMENT'!G27)</f>
        <v/>
      </c>
      <c r="G38" s="53">
        <f>IF(E38="",0,SUMIFS('MSR DATA'!$I$2:$I$1001,'MSR DATA'!$D$2:$D$1001,E38))</f>
        <v/>
      </c>
      <c r="H38" s="53">
        <f>IF(E38="",0,SUMIFS('MSR DATA'!$I$2:$I$1001,'MSR DATA'!$D$2:$D$1001,E38,'MSR DATA'!$G$2:$G$1001,"ALCOHOL"))</f>
        <v/>
      </c>
      <c r="I38" s="53">
        <f>G38-H38</f>
        <v/>
      </c>
      <c r="J38" s="53">
        <f>G38*IF(F38="",0,F38)</f>
        <v/>
      </c>
      <c r="K38" s="53">
        <f>I38*IF(F38="",0,F38)*$B$4+H38*IF(F38="",0,F38)*$B$5</f>
        <v/>
      </c>
      <c r="L38" s="52">
        <f>IF(B38="","",IF(F38="","MISSING ALLOCATION",IF(ABS(SUMIFS($F$13:$F$112,$A$13:$A$112,A38,$C$13:$C$112,C38)-1)&gt;0.0001,"REVIEW LOCATION ALLOCATION",IF(G38=0,"NO MSR SALES","OK"))))</f>
        <v/>
      </c>
    </row>
    <row r="39" ht="12.75" customHeight="1" s="126">
      <c r="A39" s="169">
        <f>IF('EVENT ASSIGNMENT'!A28="","",'EVENT ASSIGNMENT'!A28)</f>
        <v/>
      </c>
      <c r="B39" s="52">
        <f>IF('EVENT ASSIGNMENT'!F28="","",'EVENT ASSIGNMENT'!F28)</f>
        <v/>
      </c>
      <c r="C39" s="52">
        <f>IF('EVENT ASSIGNMENT'!C28="","",'EVENT ASSIGNMENT'!C28)</f>
        <v/>
      </c>
      <c r="D39" s="52">
        <f>IF('EVENT ASSIGNMENT'!D28="","",'EVENT ASSIGNMENT'!D28)</f>
        <v/>
      </c>
      <c r="E39" s="52">
        <f>IF('EVENT ASSIGNMENT'!E28="","",'EVENT ASSIGNMENT'!E28)</f>
        <v/>
      </c>
      <c r="F39" s="170">
        <f>IF('EVENT ASSIGNMENT'!G28="","",'EVENT ASSIGNMENT'!G28)</f>
        <v/>
      </c>
      <c r="G39" s="53">
        <f>IF(E39="",0,SUMIFS('MSR DATA'!$I$2:$I$1001,'MSR DATA'!$D$2:$D$1001,E39))</f>
        <v/>
      </c>
      <c r="H39" s="53">
        <f>IF(E39="",0,SUMIFS('MSR DATA'!$I$2:$I$1001,'MSR DATA'!$D$2:$D$1001,E39,'MSR DATA'!$G$2:$G$1001,"ALCOHOL"))</f>
        <v/>
      </c>
      <c r="I39" s="53">
        <f>G39-H39</f>
        <v/>
      </c>
      <c r="J39" s="53">
        <f>G39*IF(F39="",0,F39)</f>
        <v/>
      </c>
      <c r="K39" s="53">
        <f>I39*IF(F39="",0,F39)*$B$4+H39*IF(F39="",0,F39)*$B$5</f>
        <v/>
      </c>
      <c r="L39" s="52">
        <f>IF(B39="","",IF(F39="","MISSING ALLOCATION",IF(ABS(SUMIFS($F$13:$F$112,$A$13:$A$112,A39,$C$13:$C$112,C39)-1)&gt;0.0001,"REVIEW LOCATION ALLOCATION",IF(G39=0,"NO MSR SALES","OK"))))</f>
        <v/>
      </c>
    </row>
    <row r="40" ht="12.75" customHeight="1" s="126">
      <c r="A40" s="169">
        <f>IF('EVENT ASSIGNMENT'!A29="","",'EVENT ASSIGNMENT'!A29)</f>
        <v/>
      </c>
      <c r="B40" s="52">
        <f>IF('EVENT ASSIGNMENT'!F29="","",'EVENT ASSIGNMENT'!F29)</f>
        <v/>
      </c>
      <c r="C40" s="52">
        <f>IF('EVENT ASSIGNMENT'!C29="","",'EVENT ASSIGNMENT'!C29)</f>
        <v/>
      </c>
      <c r="D40" s="52">
        <f>IF('EVENT ASSIGNMENT'!D29="","",'EVENT ASSIGNMENT'!D29)</f>
        <v/>
      </c>
      <c r="E40" s="52">
        <f>IF('EVENT ASSIGNMENT'!E29="","",'EVENT ASSIGNMENT'!E29)</f>
        <v/>
      </c>
      <c r="F40" s="170">
        <f>IF('EVENT ASSIGNMENT'!G29="","",'EVENT ASSIGNMENT'!G29)</f>
        <v/>
      </c>
      <c r="G40" s="53">
        <f>IF(E40="",0,SUMIFS('MSR DATA'!$I$2:$I$1001,'MSR DATA'!$D$2:$D$1001,E40))</f>
        <v/>
      </c>
      <c r="H40" s="53">
        <f>IF(E40="",0,SUMIFS('MSR DATA'!$I$2:$I$1001,'MSR DATA'!$D$2:$D$1001,E40,'MSR DATA'!$G$2:$G$1001,"ALCOHOL"))</f>
        <v/>
      </c>
      <c r="I40" s="53">
        <f>G40-H40</f>
        <v/>
      </c>
      <c r="J40" s="53">
        <f>G40*IF(F40="",0,F40)</f>
        <v/>
      </c>
      <c r="K40" s="53">
        <f>I40*IF(F40="",0,F40)*$B$4+H40*IF(F40="",0,F40)*$B$5</f>
        <v/>
      </c>
      <c r="L40" s="52">
        <f>IF(B40="","",IF(F40="","MISSING ALLOCATION",IF(ABS(SUMIFS($F$13:$F$112,$A$13:$A$112,A40,$C$13:$C$112,C40)-1)&gt;0.0001,"REVIEW LOCATION ALLOCATION",IF(G40=0,"NO MSR SALES","OK"))))</f>
        <v/>
      </c>
    </row>
    <row r="41" ht="12.75" customHeight="1" s="126">
      <c r="A41" s="169">
        <f>IF('EVENT ASSIGNMENT'!A30="","",'EVENT ASSIGNMENT'!A30)</f>
        <v/>
      </c>
      <c r="B41" s="52">
        <f>IF('EVENT ASSIGNMENT'!F30="","",'EVENT ASSIGNMENT'!F30)</f>
        <v/>
      </c>
      <c r="C41" s="52">
        <f>IF('EVENT ASSIGNMENT'!C30="","",'EVENT ASSIGNMENT'!C30)</f>
        <v/>
      </c>
      <c r="D41" s="52">
        <f>IF('EVENT ASSIGNMENT'!D30="","",'EVENT ASSIGNMENT'!D30)</f>
        <v/>
      </c>
      <c r="E41" s="52">
        <f>IF('EVENT ASSIGNMENT'!E30="","",'EVENT ASSIGNMENT'!E30)</f>
        <v/>
      </c>
      <c r="F41" s="170">
        <f>IF('EVENT ASSIGNMENT'!G30="","",'EVENT ASSIGNMENT'!G30)</f>
        <v/>
      </c>
      <c r="G41" s="53">
        <f>IF(E41="",0,SUMIFS('MSR DATA'!$I$2:$I$1001,'MSR DATA'!$D$2:$D$1001,E41))</f>
        <v/>
      </c>
      <c r="H41" s="53">
        <f>IF(E41="",0,SUMIFS('MSR DATA'!$I$2:$I$1001,'MSR DATA'!$D$2:$D$1001,E41,'MSR DATA'!$G$2:$G$1001,"ALCOHOL"))</f>
        <v/>
      </c>
      <c r="I41" s="53">
        <f>G41-H41</f>
        <v/>
      </c>
      <c r="J41" s="53">
        <f>G41*IF(F41="",0,F41)</f>
        <v/>
      </c>
      <c r="K41" s="53">
        <f>I41*IF(F41="",0,F41)*$B$4+H41*IF(F41="",0,F41)*$B$5</f>
        <v/>
      </c>
      <c r="L41" s="52">
        <f>IF(B41="","",IF(F41="","MISSING ALLOCATION",IF(ABS(SUMIFS($F$13:$F$112,$A$13:$A$112,A41,$C$13:$C$112,C41)-1)&gt;0.0001,"REVIEW LOCATION ALLOCATION",IF(G41=0,"NO MSR SALES","OK"))))</f>
        <v/>
      </c>
    </row>
    <row r="42" ht="12.75" customHeight="1" s="126">
      <c r="A42" s="169">
        <f>IF('EVENT ASSIGNMENT'!A31="","",'EVENT ASSIGNMENT'!A31)</f>
        <v/>
      </c>
      <c r="B42" s="52">
        <f>IF('EVENT ASSIGNMENT'!F31="","",'EVENT ASSIGNMENT'!F31)</f>
        <v/>
      </c>
      <c r="C42" s="52">
        <f>IF('EVENT ASSIGNMENT'!C31="","",'EVENT ASSIGNMENT'!C31)</f>
        <v/>
      </c>
      <c r="D42" s="52">
        <f>IF('EVENT ASSIGNMENT'!D31="","",'EVENT ASSIGNMENT'!D31)</f>
        <v/>
      </c>
      <c r="E42" s="52">
        <f>IF('EVENT ASSIGNMENT'!E31="","",'EVENT ASSIGNMENT'!E31)</f>
        <v/>
      </c>
      <c r="F42" s="170">
        <f>IF('EVENT ASSIGNMENT'!G31="","",'EVENT ASSIGNMENT'!G31)</f>
        <v/>
      </c>
      <c r="G42" s="53">
        <f>IF(E42="",0,SUMIFS('MSR DATA'!$I$2:$I$1001,'MSR DATA'!$D$2:$D$1001,E42))</f>
        <v/>
      </c>
      <c r="H42" s="53">
        <f>IF(E42="",0,SUMIFS('MSR DATA'!$I$2:$I$1001,'MSR DATA'!$D$2:$D$1001,E42,'MSR DATA'!$G$2:$G$1001,"ALCOHOL"))</f>
        <v/>
      </c>
      <c r="I42" s="53">
        <f>G42-H42</f>
        <v/>
      </c>
      <c r="J42" s="53">
        <f>G42*IF(F42="",0,F42)</f>
        <v/>
      </c>
      <c r="K42" s="53">
        <f>I42*IF(F42="",0,F42)*$B$4+H42*IF(F42="",0,F42)*$B$5</f>
        <v/>
      </c>
      <c r="L42" s="52">
        <f>IF(B42="","",IF(F42="","MISSING ALLOCATION",IF(ABS(SUMIFS($F$13:$F$112,$A$13:$A$112,A42,$C$13:$C$112,C42)-1)&gt;0.0001,"REVIEW LOCATION ALLOCATION",IF(G42=0,"NO MSR SALES","OK"))))</f>
        <v/>
      </c>
    </row>
    <row r="43" ht="12.75" customHeight="1" s="126">
      <c r="A43" s="169">
        <f>IF('EVENT ASSIGNMENT'!A32="","",'EVENT ASSIGNMENT'!A32)</f>
        <v/>
      </c>
      <c r="B43" s="52">
        <f>IF('EVENT ASSIGNMENT'!F32="","",'EVENT ASSIGNMENT'!F32)</f>
        <v/>
      </c>
      <c r="C43" s="52">
        <f>IF('EVENT ASSIGNMENT'!C32="","",'EVENT ASSIGNMENT'!C32)</f>
        <v/>
      </c>
      <c r="D43" s="52">
        <f>IF('EVENT ASSIGNMENT'!D32="","",'EVENT ASSIGNMENT'!D32)</f>
        <v/>
      </c>
      <c r="E43" s="52">
        <f>IF('EVENT ASSIGNMENT'!E32="","",'EVENT ASSIGNMENT'!E32)</f>
        <v/>
      </c>
      <c r="F43" s="170">
        <f>IF('EVENT ASSIGNMENT'!G32="","",'EVENT ASSIGNMENT'!G32)</f>
        <v/>
      </c>
      <c r="G43" s="53">
        <f>IF(E43="",0,SUMIFS('MSR DATA'!$I$2:$I$1001,'MSR DATA'!$D$2:$D$1001,E43))</f>
        <v/>
      </c>
      <c r="H43" s="53">
        <f>IF(E43="",0,SUMIFS('MSR DATA'!$I$2:$I$1001,'MSR DATA'!$D$2:$D$1001,E43,'MSR DATA'!$G$2:$G$1001,"ALCOHOL"))</f>
        <v/>
      </c>
      <c r="I43" s="53">
        <f>G43-H43</f>
        <v/>
      </c>
      <c r="J43" s="53">
        <f>G43*IF(F43="",0,F43)</f>
        <v/>
      </c>
      <c r="K43" s="53">
        <f>I43*IF(F43="",0,F43)*$B$4+H43*IF(F43="",0,F43)*$B$5</f>
        <v/>
      </c>
      <c r="L43" s="52">
        <f>IF(B43="","",IF(F43="","MISSING ALLOCATION",IF(ABS(SUMIFS($F$13:$F$112,$A$13:$A$112,A43,$C$13:$C$112,C43)-1)&gt;0.0001,"REVIEW LOCATION ALLOCATION",IF(G43=0,"NO MSR SALES","OK"))))</f>
        <v/>
      </c>
    </row>
    <row r="44" ht="12.75" customHeight="1" s="126">
      <c r="A44" s="169">
        <f>IF('EVENT ASSIGNMENT'!A33="","",'EVENT ASSIGNMENT'!A33)</f>
        <v/>
      </c>
      <c r="B44" s="52">
        <f>IF('EVENT ASSIGNMENT'!F33="","",'EVENT ASSIGNMENT'!F33)</f>
        <v/>
      </c>
      <c r="C44" s="52">
        <f>IF('EVENT ASSIGNMENT'!C33="","",'EVENT ASSIGNMENT'!C33)</f>
        <v/>
      </c>
      <c r="D44" s="52">
        <f>IF('EVENT ASSIGNMENT'!D33="","",'EVENT ASSIGNMENT'!D33)</f>
        <v/>
      </c>
      <c r="E44" s="52">
        <f>IF('EVENT ASSIGNMENT'!E33="","",'EVENT ASSIGNMENT'!E33)</f>
        <v/>
      </c>
      <c r="F44" s="170">
        <f>IF('EVENT ASSIGNMENT'!G33="","",'EVENT ASSIGNMENT'!G33)</f>
        <v/>
      </c>
      <c r="G44" s="53">
        <f>IF(E44="",0,SUMIFS('MSR DATA'!$I$2:$I$1001,'MSR DATA'!$D$2:$D$1001,E44))</f>
        <v/>
      </c>
      <c r="H44" s="53">
        <f>IF(E44="",0,SUMIFS('MSR DATA'!$I$2:$I$1001,'MSR DATA'!$D$2:$D$1001,E44,'MSR DATA'!$G$2:$G$1001,"ALCOHOL"))</f>
        <v/>
      </c>
      <c r="I44" s="53">
        <f>G44-H44</f>
        <v/>
      </c>
      <c r="J44" s="53">
        <f>G44*IF(F44="",0,F44)</f>
        <v/>
      </c>
      <c r="K44" s="53">
        <f>I44*IF(F44="",0,F44)*$B$4+H44*IF(F44="",0,F44)*$B$5</f>
        <v/>
      </c>
      <c r="L44" s="52">
        <f>IF(B44="","",IF(F44="","MISSING ALLOCATION",IF(ABS(SUMIFS($F$13:$F$112,$A$13:$A$112,A44,$C$13:$C$112,C44)-1)&gt;0.0001,"REVIEW LOCATION ALLOCATION",IF(G44=0,"NO MSR SALES","OK"))))</f>
        <v/>
      </c>
    </row>
    <row r="45" ht="12.75" customHeight="1" s="126">
      <c r="A45" s="169">
        <f>IF('EVENT ASSIGNMENT'!A34="","",'EVENT ASSIGNMENT'!A34)</f>
        <v/>
      </c>
      <c r="B45" s="52">
        <f>IF('EVENT ASSIGNMENT'!F34="","",'EVENT ASSIGNMENT'!F34)</f>
        <v/>
      </c>
      <c r="C45" s="52">
        <f>IF('EVENT ASSIGNMENT'!C34="","",'EVENT ASSIGNMENT'!C34)</f>
        <v/>
      </c>
      <c r="D45" s="52">
        <f>IF('EVENT ASSIGNMENT'!D34="","",'EVENT ASSIGNMENT'!D34)</f>
        <v/>
      </c>
      <c r="E45" s="52">
        <f>IF('EVENT ASSIGNMENT'!E34="","",'EVENT ASSIGNMENT'!E34)</f>
        <v/>
      </c>
      <c r="F45" s="170">
        <f>IF('EVENT ASSIGNMENT'!G34="","",'EVENT ASSIGNMENT'!G34)</f>
        <v/>
      </c>
      <c r="G45" s="53">
        <f>IF(E45="",0,SUMIFS('MSR DATA'!$I$2:$I$1001,'MSR DATA'!$D$2:$D$1001,E45))</f>
        <v/>
      </c>
      <c r="H45" s="53">
        <f>IF(E45="",0,SUMIFS('MSR DATA'!$I$2:$I$1001,'MSR DATA'!$D$2:$D$1001,E45,'MSR DATA'!$G$2:$G$1001,"ALCOHOL"))</f>
        <v/>
      </c>
      <c r="I45" s="53">
        <f>G45-H45</f>
        <v/>
      </c>
      <c r="J45" s="53">
        <f>G45*IF(F45="",0,F45)</f>
        <v/>
      </c>
      <c r="K45" s="53">
        <f>I45*IF(F45="",0,F45)*$B$4+H45*IF(F45="",0,F45)*$B$5</f>
        <v/>
      </c>
      <c r="L45" s="52">
        <f>IF(B45="","",IF(F45="","MISSING ALLOCATION",IF(ABS(SUMIFS($F$13:$F$112,$A$13:$A$112,A45,$C$13:$C$112,C45)-1)&gt;0.0001,"REVIEW LOCATION ALLOCATION",IF(G45=0,"NO MSR SALES","OK"))))</f>
        <v/>
      </c>
    </row>
    <row r="46" ht="12.75" customHeight="1" s="126">
      <c r="A46" s="169">
        <f>IF('EVENT ASSIGNMENT'!A35="","",'EVENT ASSIGNMENT'!A35)</f>
        <v/>
      </c>
      <c r="B46" s="52">
        <f>IF('EVENT ASSIGNMENT'!F35="","",'EVENT ASSIGNMENT'!F35)</f>
        <v/>
      </c>
      <c r="C46" s="52">
        <f>IF('EVENT ASSIGNMENT'!C35="","",'EVENT ASSIGNMENT'!C35)</f>
        <v/>
      </c>
      <c r="D46" s="52">
        <f>IF('EVENT ASSIGNMENT'!D35="","",'EVENT ASSIGNMENT'!D35)</f>
        <v/>
      </c>
      <c r="E46" s="52">
        <f>IF('EVENT ASSIGNMENT'!E35="","",'EVENT ASSIGNMENT'!E35)</f>
        <v/>
      </c>
      <c r="F46" s="170">
        <f>IF('EVENT ASSIGNMENT'!G35="","",'EVENT ASSIGNMENT'!G35)</f>
        <v/>
      </c>
      <c r="G46" s="53">
        <f>IF(E46="",0,SUMIFS('MSR DATA'!$I$2:$I$1001,'MSR DATA'!$D$2:$D$1001,E46))</f>
        <v/>
      </c>
      <c r="H46" s="53">
        <f>IF(E46="",0,SUMIFS('MSR DATA'!$I$2:$I$1001,'MSR DATA'!$D$2:$D$1001,E46,'MSR DATA'!$G$2:$G$1001,"ALCOHOL"))</f>
        <v/>
      </c>
      <c r="I46" s="53">
        <f>G46-H46</f>
        <v/>
      </c>
      <c r="J46" s="53">
        <f>G46*IF(F46="",0,F46)</f>
        <v/>
      </c>
      <c r="K46" s="53">
        <f>I46*IF(F46="",0,F46)*$B$4+H46*IF(F46="",0,F46)*$B$5</f>
        <v/>
      </c>
      <c r="L46" s="52">
        <f>IF(B46="","",IF(F46="","MISSING ALLOCATION",IF(ABS(SUMIFS($F$13:$F$112,$A$13:$A$112,A46,$C$13:$C$112,C46)-1)&gt;0.0001,"REVIEW LOCATION ALLOCATION",IF(G46=0,"NO MSR SALES","OK"))))</f>
        <v/>
      </c>
    </row>
    <row r="47" ht="12.75" customHeight="1" s="126">
      <c r="A47" s="169">
        <f>IF('EVENT ASSIGNMENT'!A36="","",'EVENT ASSIGNMENT'!A36)</f>
        <v/>
      </c>
      <c r="B47" s="52">
        <f>IF('EVENT ASSIGNMENT'!F36="","",'EVENT ASSIGNMENT'!F36)</f>
        <v/>
      </c>
      <c r="C47" s="52">
        <f>IF('EVENT ASSIGNMENT'!C36="","",'EVENT ASSIGNMENT'!C36)</f>
        <v/>
      </c>
      <c r="D47" s="52">
        <f>IF('EVENT ASSIGNMENT'!D36="","",'EVENT ASSIGNMENT'!D36)</f>
        <v/>
      </c>
      <c r="E47" s="52">
        <f>IF('EVENT ASSIGNMENT'!E36="","",'EVENT ASSIGNMENT'!E36)</f>
        <v/>
      </c>
      <c r="F47" s="170">
        <f>IF('EVENT ASSIGNMENT'!G36="","",'EVENT ASSIGNMENT'!G36)</f>
        <v/>
      </c>
      <c r="G47" s="53">
        <f>IF(E47="",0,SUMIFS('MSR DATA'!$I$2:$I$1001,'MSR DATA'!$D$2:$D$1001,E47))</f>
        <v/>
      </c>
      <c r="H47" s="53">
        <f>IF(E47="",0,SUMIFS('MSR DATA'!$I$2:$I$1001,'MSR DATA'!$D$2:$D$1001,E47,'MSR DATA'!$G$2:$G$1001,"ALCOHOL"))</f>
        <v/>
      </c>
      <c r="I47" s="53">
        <f>G47-H47</f>
        <v/>
      </c>
      <c r="J47" s="53">
        <f>G47*IF(F47="",0,F47)</f>
        <v/>
      </c>
      <c r="K47" s="53">
        <f>I47*IF(F47="",0,F47)*$B$4+H47*IF(F47="",0,F47)*$B$5</f>
        <v/>
      </c>
      <c r="L47" s="52">
        <f>IF(B47="","",IF(F47="","MISSING ALLOCATION",IF(ABS(SUMIFS($F$13:$F$112,$A$13:$A$112,A47,$C$13:$C$112,C47)-1)&gt;0.0001,"REVIEW LOCATION ALLOCATION",IF(G47=0,"NO MSR SALES","OK"))))</f>
        <v/>
      </c>
    </row>
    <row r="48" ht="12.75" customHeight="1" s="126">
      <c r="A48" s="169">
        <f>IF('EVENT ASSIGNMENT'!A37="","",'EVENT ASSIGNMENT'!A37)</f>
        <v/>
      </c>
      <c r="B48" s="52">
        <f>IF('EVENT ASSIGNMENT'!F37="","",'EVENT ASSIGNMENT'!F37)</f>
        <v/>
      </c>
      <c r="C48" s="52">
        <f>IF('EVENT ASSIGNMENT'!C37="","",'EVENT ASSIGNMENT'!C37)</f>
        <v/>
      </c>
      <c r="D48" s="52">
        <f>IF('EVENT ASSIGNMENT'!D37="","",'EVENT ASSIGNMENT'!D37)</f>
        <v/>
      </c>
      <c r="E48" s="52">
        <f>IF('EVENT ASSIGNMENT'!E37="","",'EVENT ASSIGNMENT'!E37)</f>
        <v/>
      </c>
      <c r="F48" s="170">
        <f>IF('EVENT ASSIGNMENT'!G37="","",'EVENT ASSIGNMENT'!G37)</f>
        <v/>
      </c>
      <c r="G48" s="53">
        <f>IF(E48="",0,SUMIFS('MSR DATA'!$I$2:$I$1001,'MSR DATA'!$D$2:$D$1001,E48))</f>
        <v/>
      </c>
      <c r="H48" s="53">
        <f>IF(E48="",0,SUMIFS('MSR DATA'!$I$2:$I$1001,'MSR DATA'!$D$2:$D$1001,E48,'MSR DATA'!$G$2:$G$1001,"ALCOHOL"))</f>
        <v/>
      </c>
      <c r="I48" s="53">
        <f>G48-H48</f>
        <v/>
      </c>
      <c r="J48" s="53">
        <f>G48*IF(F48="",0,F48)</f>
        <v/>
      </c>
      <c r="K48" s="53">
        <f>I48*IF(F48="",0,F48)*$B$4+H48*IF(F48="",0,F48)*$B$5</f>
        <v/>
      </c>
      <c r="L48" s="52">
        <f>IF(B48="","",IF(F48="","MISSING ALLOCATION",IF(ABS(SUMIFS($F$13:$F$112,$A$13:$A$112,A48,$C$13:$C$112,C48)-1)&gt;0.0001,"REVIEW LOCATION ALLOCATION",IF(G48=0,"NO MSR SALES","OK"))))</f>
        <v/>
      </c>
    </row>
    <row r="49" ht="12.75" customHeight="1" s="126">
      <c r="A49" s="169">
        <f>IF('EVENT ASSIGNMENT'!A38="","",'EVENT ASSIGNMENT'!A38)</f>
        <v/>
      </c>
      <c r="B49" s="52">
        <f>IF('EVENT ASSIGNMENT'!F38="","",'EVENT ASSIGNMENT'!F38)</f>
        <v/>
      </c>
      <c r="C49" s="52">
        <f>IF('EVENT ASSIGNMENT'!C38="","",'EVENT ASSIGNMENT'!C38)</f>
        <v/>
      </c>
      <c r="D49" s="52">
        <f>IF('EVENT ASSIGNMENT'!D38="","",'EVENT ASSIGNMENT'!D38)</f>
        <v/>
      </c>
      <c r="E49" s="52">
        <f>IF('EVENT ASSIGNMENT'!E38="","",'EVENT ASSIGNMENT'!E38)</f>
        <v/>
      </c>
      <c r="F49" s="170">
        <f>IF('EVENT ASSIGNMENT'!G38="","",'EVENT ASSIGNMENT'!G38)</f>
        <v/>
      </c>
      <c r="G49" s="53">
        <f>IF(E49="",0,SUMIFS('MSR DATA'!$I$2:$I$1001,'MSR DATA'!$D$2:$D$1001,E49))</f>
        <v/>
      </c>
      <c r="H49" s="53">
        <f>IF(E49="",0,SUMIFS('MSR DATA'!$I$2:$I$1001,'MSR DATA'!$D$2:$D$1001,E49,'MSR DATA'!$G$2:$G$1001,"ALCOHOL"))</f>
        <v/>
      </c>
      <c r="I49" s="53">
        <f>G49-H49</f>
        <v/>
      </c>
      <c r="J49" s="53">
        <f>G49*IF(F49="",0,F49)</f>
        <v/>
      </c>
      <c r="K49" s="53">
        <f>I49*IF(F49="",0,F49)*$B$4+H49*IF(F49="",0,F49)*$B$5</f>
        <v/>
      </c>
      <c r="L49" s="52">
        <f>IF(B49="","",IF(F49="","MISSING ALLOCATION",IF(ABS(SUMIFS($F$13:$F$112,$A$13:$A$112,A49,$C$13:$C$112,C49)-1)&gt;0.0001,"REVIEW LOCATION ALLOCATION",IF(G49=0,"NO MSR SALES","OK"))))</f>
        <v/>
      </c>
    </row>
    <row r="50" ht="12.75" customHeight="1" s="126">
      <c r="A50" s="169">
        <f>IF('EVENT ASSIGNMENT'!A39="","",'EVENT ASSIGNMENT'!A39)</f>
        <v/>
      </c>
      <c r="B50" s="52">
        <f>IF('EVENT ASSIGNMENT'!F39="","",'EVENT ASSIGNMENT'!F39)</f>
        <v/>
      </c>
      <c r="C50" s="52">
        <f>IF('EVENT ASSIGNMENT'!C39="","",'EVENT ASSIGNMENT'!C39)</f>
        <v/>
      </c>
      <c r="D50" s="52">
        <f>IF('EVENT ASSIGNMENT'!D39="","",'EVENT ASSIGNMENT'!D39)</f>
        <v/>
      </c>
      <c r="E50" s="52">
        <f>IF('EVENT ASSIGNMENT'!E39="","",'EVENT ASSIGNMENT'!E39)</f>
        <v/>
      </c>
      <c r="F50" s="170">
        <f>IF('EVENT ASSIGNMENT'!G39="","",'EVENT ASSIGNMENT'!G39)</f>
        <v/>
      </c>
      <c r="G50" s="53">
        <f>IF(E50="",0,SUMIFS('MSR DATA'!$I$2:$I$1001,'MSR DATA'!$D$2:$D$1001,E50))</f>
        <v/>
      </c>
      <c r="H50" s="53">
        <f>IF(E50="",0,SUMIFS('MSR DATA'!$I$2:$I$1001,'MSR DATA'!$D$2:$D$1001,E50,'MSR DATA'!$G$2:$G$1001,"ALCOHOL"))</f>
        <v/>
      </c>
      <c r="I50" s="53">
        <f>G50-H50</f>
        <v/>
      </c>
      <c r="J50" s="53">
        <f>G50*IF(F50="",0,F50)</f>
        <v/>
      </c>
      <c r="K50" s="53">
        <f>I50*IF(F50="",0,F50)*$B$4+H50*IF(F50="",0,F50)*$B$5</f>
        <v/>
      </c>
      <c r="L50" s="52">
        <f>IF(B50="","",IF(F50="","MISSING ALLOCATION",IF(ABS(SUMIFS($F$13:$F$112,$A$13:$A$112,A50,$C$13:$C$112,C50)-1)&gt;0.0001,"REVIEW LOCATION ALLOCATION",IF(G50=0,"NO MSR SALES","OK"))))</f>
        <v/>
      </c>
    </row>
    <row r="51" ht="12.75" customHeight="1" s="126">
      <c r="A51" s="169">
        <f>IF('EVENT ASSIGNMENT'!A40="","",'EVENT ASSIGNMENT'!A40)</f>
        <v/>
      </c>
      <c r="B51" s="52">
        <f>IF('EVENT ASSIGNMENT'!F40="","",'EVENT ASSIGNMENT'!F40)</f>
        <v/>
      </c>
      <c r="C51" s="52">
        <f>IF('EVENT ASSIGNMENT'!C40="","",'EVENT ASSIGNMENT'!C40)</f>
        <v/>
      </c>
      <c r="D51" s="52">
        <f>IF('EVENT ASSIGNMENT'!D40="","",'EVENT ASSIGNMENT'!D40)</f>
        <v/>
      </c>
      <c r="E51" s="52">
        <f>IF('EVENT ASSIGNMENT'!E40="","",'EVENT ASSIGNMENT'!E40)</f>
        <v/>
      </c>
      <c r="F51" s="170">
        <f>IF('EVENT ASSIGNMENT'!G40="","",'EVENT ASSIGNMENT'!G40)</f>
        <v/>
      </c>
      <c r="G51" s="53">
        <f>IF(E51="",0,SUMIFS('MSR DATA'!$I$2:$I$1001,'MSR DATA'!$D$2:$D$1001,E51))</f>
        <v/>
      </c>
      <c r="H51" s="53">
        <f>IF(E51="",0,SUMIFS('MSR DATA'!$I$2:$I$1001,'MSR DATA'!$D$2:$D$1001,E51,'MSR DATA'!$G$2:$G$1001,"ALCOHOL"))</f>
        <v/>
      </c>
      <c r="I51" s="53">
        <f>G51-H51</f>
        <v/>
      </c>
      <c r="J51" s="53">
        <f>G51*IF(F51="",0,F51)</f>
        <v/>
      </c>
      <c r="K51" s="53">
        <f>I51*IF(F51="",0,F51)*$B$4+H51*IF(F51="",0,F51)*$B$5</f>
        <v/>
      </c>
      <c r="L51" s="52">
        <f>IF(B51="","",IF(F51="","MISSING ALLOCATION",IF(ABS(SUMIFS($F$13:$F$112,$A$13:$A$112,A51,$C$13:$C$112,C51)-1)&gt;0.0001,"REVIEW LOCATION ALLOCATION",IF(G51=0,"NO MSR SALES","OK"))))</f>
        <v/>
      </c>
    </row>
    <row r="52" ht="12.75" customHeight="1" s="126">
      <c r="A52" s="169">
        <f>IF('EVENT ASSIGNMENT'!A41="","",'EVENT ASSIGNMENT'!A41)</f>
        <v/>
      </c>
      <c r="B52" s="52">
        <f>IF('EVENT ASSIGNMENT'!F41="","",'EVENT ASSIGNMENT'!F41)</f>
        <v/>
      </c>
      <c r="C52" s="52">
        <f>IF('EVENT ASSIGNMENT'!C41="","",'EVENT ASSIGNMENT'!C41)</f>
        <v/>
      </c>
      <c r="D52" s="52">
        <f>IF('EVENT ASSIGNMENT'!D41="","",'EVENT ASSIGNMENT'!D41)</f>
        <v/>
      </c>
      <c r="E52" s="52">
        <f>IF('EVENT ASSIGNMENT'!E41="","",'EVENT ASSIGNMENT'!E41)</f>
        <v/>
      </c>
      <c r="F52" s="170">
        <f>IF('EVENT ASSIGNMENT'!G41="","",'EVENT ASSIGNMENT'!G41)</f>
        <v/>
      </c>
      <c r="G52" s="53">
        <f>IF(E52="",0,SUMIFS('MSR DATA'!$I$2:$I$1001,'MSR DATA'!$D$2:$D$1001,E52))</f>
        <v/>
      </c>
      <c r="H52" s="53">
        <f>IF(E52="",0,SUMIFS('MSR DATA'!$I$2:$I$1001,'MSR DATA'!$D$2:$D$1001,E52,'MSR DATA'!$G$2:$G$1001,"ALCOHOL"))</f>
        <v/>
      </c>
      <c r="I52" s="53">
        <f>G52-H52</f>
        <v/>
      </c>
      <c r="J52" s="53">
        <f>G52*IF(F52="",0,F52)</f>
        <v/>
      </c>
      <c r="K52" s="53">
        <f>I52*IF(F52="",0,F52)*$B$4+H52*IF(F52="",0,F52)*$B$5</f>
        <v/>
      </c>
      <c r="L52" s="52">
        <f>IF(B52="","",IF(F52="","MISSING ALLOCATION",IF(ABS(SUMIFS($F$13:$F$112,$A$13:$A$112,A52,$C$13:$C$112,C52)-1)&gt;0.0001,"REVIEW LOCATION ALLOCATION",IF(G52=0,"NO MSR SALES","OK"))))</f>
        <v/>
      </c>
    </row>
    <row r="53" ht="12.75" customHeight="1" s="126">
      <c r="A53" s="169">
        <f>IF('EVENT ASSIGNMENT'!A42="","",'EVENT ASSIGNMENT'!A42)</f>
        <v/>
      </c>
      <c r="B53" s="52">
        <f>IF('EVENT ASSIGNMENT'!F42="","",'EVENT ASSIGNMENT'!F42)</f>
        <v/>
      </c>
      <c r="C53" s="52">
        <f>IF('EVENT ASSIGNMENT'!C42="","",'EVENT ASSIGNMENT'!C42)</f>
        <v/>
      </c>
      <c r="D53" s="52">
        <f>IF('EVENT ASSIGNMENT'!D42="","",'EVENT ASSIGNMENT'!D42)</f>
        <v/>
      </c>
      <c r="E53" s="52">
        <f>IF('EVENT ASSIGNMENT'!E42="","",'EVENT ASSIGNMENT'!E42)</f>
        <v/>
      </c>
      <c r="F53" s="170">
        <f>IF('EVENT ASSIGNMENT'!G42="","",'EVENT ASSIGNMENT'!G42)</f>
        <v/>
      </c>
      <c r="G53" s="53">
        <f>IF(E53="",0,SUMIFS('MSR DATA'!$I$2:$I$1001,'MSR DATA'!$D$2:$D$1001,E53))</f>
        <v/>
      </c>
      <c r="H53" s="53">
        <f>IF(E53="",0,SUMIFS('MSR DATA'!$I$2:$I$1001,'MSR DATA'!$D$2:$D$1001,E53,'MSR DATA'!$G$2:$G$1001,"ALCOHOL"))</f>
        <v/>
      </c>
      <c r="I53" s="53">
        <f>G53-H53</f>
        <v/>
      </c>
      <c r="J53" s="53">
        <f>G53*IF(F53="",0,F53)</f>
        <v/>
      </c>
      <c r="K53" s="53">
        <f>I53*IF(F53="",0,F53)*$B$4+H53*IF(F53="",0,F53)*$B$5</f>
        <v/>
      </c>
      <c r="L53" s="52">
        <f>IF(B53="","",IF(F53="","MISSING ALLOCATION",IF(ABS(SUMIFS($F$13:$F$112,$A$13:$A$112,A53,$C$13:$C$112,C53)-1)&gt;0.0001,"REVIEW LOCATION ALLOCATION",IF(G53=0,"NO MSR SALES","OK"))))</f>
        <v/>
      </c>
    </row>
    <row r="54" ht="12.75" customHeight="1" s="126">
      <c r="A54" s="169">
        <f>IF('EVENT ASSIGNMENT'!A43="","",'EVENT ASSIGNMENT'!A43)</f>
        <v/>
      </c>
      <c r="B54" s="52">
        <f>IF('EVENT ASSIGNMENT'!F43="","",'EVENT ASSIGNMENT'!F43)</f>
        <v/>
      </c>
      <c r="C54" s="52">
        <f>IF('EVENT ASSIGNMENT'!C43="","",'EVENT ASSIGNMENT'!C43)</f>
        <v/>
      </c>
      <c r="D54" s="52">
        <f>IF('EVENT ASSIGNMENT'!D43="","",'EVENT ASSIGNMENT'!D43)</f>
        <v/>
      </c>
      <c r="E54" s="52">
        <f>IF('EVENT ASSIGNMENT'!E43="","",'EVENT ASSIGNMENT'!E43)</f>
        <v/>
      </c>
      <c r="F54" s="170">
        <f>IF('EVENT ASSIGNMENT'!G43="","",'EVENT ASSIGNMENT'!G43)</f>
        <v/>
      </c>
      <c r="G54" s="53">
        <f>IF(E54="",0,SUMIFS('MSR DATA'!$I$2:$I$1001,'MSR DATA'!$D$2:$D$1001,E54))</f>
        <v/>
      </c>
      <c r="H54" s="53">
        <f>IF(E54="",0,SUMIFS('MSR DATA'!$I$2:$I$1001,'MSR DATA'!$D$2:$D$1001,E54,'MSR DATA'!$G$2:$G$1001,"ALCOHOL"))</f>
        <v/>
      </c>
      <c r="I54" s="53">
        <f>G54-H54</f>
        <v/>
      </c>
      <c r="J54" s="53">
        <f>G54*IF(F54="",0,F54)</f>
        <v/>
      </c>
      <c r="K54" s="53">
        <f>I54*IF(F54="",0,F54)*$B$4+H54*IF(F54="",0,F54)*$B$5</f>
        <v/>
      </c>
      <c r="L54" s="52">
        <f>IF(B54="","",IF(F54="","MISSING ALLOCATION",IF(ABS(SUMIFS($F$13:$F$112,$A$13:$A$112,A54,$C$13:$C$112,C54)-1)&gt;0.0001,"REVIEW LOCATION ALLOCATION",IF(G54=0,"NO MSR SALES","OK"))))</f>
        <v/>
      </c>
    </row>
    <row r="55" ht="12.75" customHeight="1" s="126">
      <c r="A55" s="169">
        <f>IF('EVENT ASSIGNMENT'!A44="","",'EVENT ASSIGNMENT'!A44)</f>
        <v/>
      </c>
      <c r="B55" s="52">
        <f>IF('EVENT ASSIGNMENT'!F44="","",'EVENT ASSIGNMENT'!F44)</f>
        <v/>
      </c>
      <c r="C55" s="52">
        <f>IF('EVENT ASSIGNMENT'!C44="","",'EVENT ASSIGNMENT'!C44)</f>
        <v/>
      </c>
      <c r="D55" s="52">
        <f>IF('EVENT ASSIGNMENT'!D44="","",'EVENT ASSIGNMENT'!D44)</f>
        <v/>
      </c>
      <c r="E55" s="52">
        <f>IF('EVENT ASSIGNMENT'!E44="","",'EVENT ASSIGNMENT'!E44)</f>
        <v/>
      </c>
      <c r="F55" s="170">
        <f>IF('EVENT ASSIGNMENT'!G44="","",'EVENT ASSIGNMENT'!G44)</f>
        <v/>
      </c>
      <c r="G55" s="53">
        <f>IF(E55="",0,SUMIFS('MSR DATA'!$I$2:$I$1001,'MSR DATA'!$D$2:$D$1001,E55))</f>
        <v/>
      </c>
      <c r="H55" s="53">
        <f>IF(E55="",0,SUMIFS('MSR DATA'!$I$2:$I$1001,'MSR DATA'!$D$2:$D$1001,E55,'MSR DATA'!$G$2:$G$1001,"ALCOHOL"))</f>
        <v/>
      </c>
      <c r="I55" s="53">
        <f>G55-H55</f>
        <v/>
      </c>
      <c r="J55" s="53">
        <f>G55*IF(F55="",0,F55)</f>
        <v/>
      </c>
      <c r="K55" s="53">
        <f>I55*IF(F55="",0,F55)*$B$4+H55*IF(F55="",0,F55)*$B$5</f>
        <v/>
      </c>
      <c r="L55" s="52">
        <f>IF(B55="","",IF(F55="","MISSING ALLOCATION",IF(ABS(SUMIFS($F$13:$F$112,$A$13:$A$112,A55,$C$13:$C$112,C55)-1)&gt;0.0001,"REVIEW LOCATION ALLOCATION",IF(G55=0,"NO MSR SALES","OK"))))</f>
        <v/>
      </c>
    </row>
    <row r="56" ht="12.75" customHeight="1" s="126">
      <c r="A56" s="169">
        <f>IF('EVENT ASSIGNMENT'!A45="","",'EVENT ASSIGNMENT'!A45)</f>
        <v/>
      </c>
      <c r="B56" s="52">
        <f>IF('EVENT ASSIGNMENT'!F45="","",'EVENT ASSIGNMENT'!F45)</f>
        <v/>
      </c>
      <c r="C56" s="52">
        <f>IF('EVENT ASSIGNMENT'!C45="","",'EVENT ASSIGNMENT'!C45)</f>
        <v/>
      </c>
      <c r="D56" s="52">
        <f>IF('EVENT ASSIGNMENT'!D45="","",'EVENT ASSIGNMENT'!D45)</f>
        <v/>
      </c>
      <c r="E56" s="52">
        <f>IF('EVENT ASSIGNMENT'!E45="","",'EVENT ASSIGNMENT'!E45)</f>
        <v/>
      </c>
      <c r="F56" s="170">
        <f>IF('EVENT ASSIGNMENT'!G45="","",'EVENT ASSIGNMENT'!G45)</f>
        <v/>
      </c>
      <c r="G56" s="53">
        <f>IF(E56="",0,SUMIFS('MSR DATA'!$I$2:$I$1001,'MSR DATA'!$D$2:$D$1001,E56))</f>
        <v/>
      </c>
      <c r="H56" s="53">
        <f>IF(E56="",0,SUMIFS('MSR DATA'!$I$2:$I$1001,'MSR DATA'!$D$2:$D$1001,E56,'MSR DATA'!$G$2:$G$1001,"ALCOHOL"))</f>
        <v/>
      </c>
      <c r="I56" s="53">
        <f>G56-H56</f>
        <v/>
      </c>
      <c r="J56" s="53">
        <f>G56*IF(F56="",0,F56)</f>
        <v/>
      </c>
      <c r="K56" s="53">
        <f>I56*IF(F56="",0,F56)*$B$4+H56*IF(F56="",0,F56)*$B$5</f>
        <v/>
      </c>
      <c r="L56" s="52">
        <f>IF(B56="","",IF(F56="","MISSING ALLOCATION",IF(ABS(SUMIFS($F$13:$F$112,$A$13:$A$112,A56,$C$13:$C$112,C56)-1)&gt;0.0001,"REVIEW LOCATION ALLOCATION",IF(G56=0,"NO MSR SALES","OK"))))</f>
        <v/>
      </c>
    </row>
    <row r="57" ht="12.75" customHeight="1" s="126">
      <c r="A57" s="169">
        <f>IF('EVENT ASSIGNMENT'!A46="","",'EVENT ASSIGNMENT'!A46)</f>
        <v/>
      </c>
      <c r="B57" s="52">
        <f>IF('EVENT ASSIGNMENT'!F46="","",'EVENT ASSIGNMENT'!F46)</f>
        <v/>
      </c>
      <c r="C57" s="52">
        <f>IF('EVENT ASSIGNMENT'!C46="","",'EVENT ASSIGNMENT'!C46)</f>
        <v/>
      </c>
      <c r="D57" s="52">
        <f>IF('EVENT ASSIGNMENT'!D46="","",'EVENT ASSIGNMENT'!D46)</f>
        <v/>
      </c>
      <c r="E57" s="52">
        <f>IF('EVENT ASSIGNMENT'!E46="","",'EVENT ASSIGNMENT'!E46)</f>
        <v/>
      </c>
      <c r="F57" s="170">
        <f>IF('EVENT ASSIGNMENT'!G46="","",'EVENT ASSIGNMENT'!G46)</f>
        <v/>
      </c>
      <c r="G57" s="53">
        <f>IF(E57="",0,SUMIFS('MSR DATA'!$I$2:$I$1001,'MSR DATA'!$D$2:$D$1001,E57))</f>
        <v/>
      </c>
      <c r="H57" s="53">
        <f>IF(E57="",0,SUMIFS('MSR DATA'!$I$2:$I$1001,'MSR DATA'!$D$2:$D$1001,E57,'MSR DATA'!$G$2:$G$1001,"ALCOHOL"))</f>
        <v/>
      </c>
      <c r="I57" s="53">
        <f>G57-H57</f>
        <v/>
      </c>
      <c r="J57" s="53">
        <f>G57*IF(F57="",0,F57)</f>
        <v/>
      </c>
      <c r="K57" s="53">
        <f>I57*IF(F57="",0,F57)*$B$4+H57*IF(F57="",0,F57)*$B$5</f>
        <v/>
      </c>
      <c r="L57" s="52">
        <f>IF(B57="","",IF(F57="","MISSING ALLOCATION",IF(ABS(SUMIFS($F$13:$F$112,$A$13:$A$112,A57,$C$13:$C$112,C57)-1)&gt;0.0001,"REVIEW LOCATION ALLOCATION",IF(G57=0,"NO MSR SALES","OK"))))</f>
        <v/>
      </c>
    </row>
    <row r="58" ht="12.75" customHeight="1" s="126">
      <c r="A58" s="169">
        <f>IF('EVENT ASSIGNMENT'!A47="","",'EVENT ASSIGNMENT'!A47)</f>
        <v/>
      </c>
      <c r="B58" s="52">
        <f>IF('EVENT ASSIGNMENT'!F47="","",'EVENT ASSIGNMENT'!F47)</f>
        <v/>
      </c>
      <c r="C58" s="52">
        <f>IF('EVENT ASSIGNMENT'!C47="","",'EVENT ASSIGNMENT'!C47)</f>
        <v/>
      </c>
      <c r="D58" s="52">
        <f>IF('EVENT ASSIGNMENT'!D47="","",'EVENT ASSIGNMENT'!D47)</f>
        <v/>
      </c>
      <c r="E58" s="52">
        <f>IF('EVENT ASSIGNMENT'!E47="","",'EVENT ASSIGNMENT'!E47)</f>
        <v/>
      </c>
      <c r="F58" s="170">
        <f>IF('EVENT ASSIGNMENT'!G47="","",'EVENT ASSIGNMENT'!G47)</f>
        <v/>
      </c>
      <c r="G58" s="53">
        <f>IF(E58="",0,SUMIFS('MSR DATA'!$I$2:$I$1001,'MSR DATA'!$D$2:$D$1001,E58))</f>
        <v/>
      </c>
      <c r="H58" s="53">
        <f>IF(E58="",0,SUMIFS('MSR DATA'!$I$2:$I$1001,'MSR DATA'!$D$2:$D$1001,E58,'MSR DATA'!$G$2:$G$1001,"ALCOHOL"))</f>
        <v/>
      </c>
      <c r="I58" s="53">
        <f>G58-H58</f>
        <v/>
      </c>
      <c r="J58" s="53">
        <f>G58*IF(F58="",0,F58)</f>
        <v/>
      </c>
      <c r="K58" s="53">
        <f>I58*IF(F58="",0,F58)*$B$4+H58*IF(F58="",0,F58)*$B$5</f>
        <v/>
      </c>
      <c r="L58" s="52">
        <f>IF(B58="","",IF(F58="","MISSING ALLOCATION",IF(ABS(SUMIFS($F$13:$F$112,$A$13:$A$112,A58,$C$13:$C$112,C58)-1)&gt;0.0001,"REVIEW LOCATION ALLOCATION",IF(G58=0,"NO MSR SALES","OK"))))</f>
        <v/>
      </c>
    </row>
    <row r="59" ht="12.75" customHeight="1" s="126">
      <c r="A59" s="169">
        <f>IF('EVENT ASSIGNMENT'!A48="","",'EVENT ASSIGNMENT'!A48)</f>
        <v/>
      </c>
      <c r="B59" s="52">
        <f>IF('EVENT ASSIGNMENT'!F48="","",'EVENT ASSIGNMENT'!F48)</f>
        <v/>
      </c>
      <c r="C59" s="52">
        <f>IF('EVENT ASSIGNMENT'!C48="","",'EVENT ASSIGNMENT'!C48)</f>
        <v/>
      </c>
      <c r="D59" s="52">
        <f>IF('EVENT ASSIGNMENT'!D48="","",'EVENT ASSIGNMENT'!D48)</f>
        <v/>
      </c>
      <c r="E59" s="52">
        <f>IF('EVENT ASSIGNMENT'!E48="","",'EVENT ASSIGNMENT'!E48)</f>
        <v/>
      </c>
      <c r="F59" s="170">
        <f>IF('EVENT ASSIGNMENT'!G48="","",'EVENT ASSIGNMENT'!G48)</f>
        <v/>
      </c>
      <c r="G59" s="53">
        <f>IF(E59="",0,SUMIFS('MSR DATA'!$I$2:$I$1001,'MSR DATA'!$D$2:$D$1001,E59))</f>
        <v/>
      </c>
      <c r="H59" s="53">
        <f>IF(E59="",0,SUMIFS('MSR DATA'!$I$2:$I$1001,'MSR DATA'!$D$2:$D$1001,E59,'MSR DATA'!$G$2:$G$1001,"ALCOHOL"))</f>
        <v/>
      </c>
      <c r="I59" s="53">
        <f>G59-H59</f>
        <v/>
      </c>
      <c r="J59" s="53">
        <f>G59*IF(F59="",0,F59)</f>
        <v/>
      </c>
      <c r="K59" s="53">
        <f>I59*IF(F59="",0,F59)*$B$4+H59*IF(F59="",0,F59)*$B$5</f>
        <v/>
      </c>
      <c r="L59" s="52">
        <f>IF(B59="","",IF(F59="","MISSING ALLOCATION",IF(ABS(SUMIFS($F$13:$F$112,$A$13:$A$112,A59,$C$13:$C$112,C59)-1)&gt;0.0001,"REVIEW LOCATION ALLOCATION",IF(G59=0,"NO MSR SALES","OK"))))</f>
        <v/>
      </c>
    </row>
    <row r="60" ht="12.75" customHeight="1" s="126">
      <c r="A60" s="169">
        <f>IF('EVENT ASSIGNMENT'!A49="","",'EVENT ASSIGNMENT'!A49)</f>
        <v/>
      </c>
      <c r="B60" s="52">
        <f>IF('EVENT ASSIGNMENT'!F49="","",'EVENT ASSIGNMENT'!F49)</f>
        <v/>
      </c>
      <c r="C60" s="52">
        <f>IF('EVENT ASSIGNMENT'!C49="","",'EVENT ASSIGNMENT'!C49)</f>
        <v/>
      </c>
      <c r="D60" s="52">
        <f>IF('EVENT ASSIGNMENT'!D49="","",'EVENT ASSIGNMENT'!D49)</f>
        <v/>
      </c>
      <c r="E60" s="52">
        <f>IF('EVENT ASSIGNMENT'!E49="","",'EVENT ASSIGNMENT'!E49)</f>
        <v/>
      </c>
      <c r="F60" s="170">
        <f>IF('EVENT ASSIGNMENT'!G49="","",'EVENT ASSIGNMENT'!G49)</f>
        <v/>
      </c>
      <c r="G60" s="53">
        <f>IF(E60="",0,SUMIFS('MSR DATA'!$I$2:$I$1001,'MSR DATA'!$D$2:$D$1001,E60))</f>
        <v/>
      </c>
      <c r="H60" s="53">
        <f>IF(E60="",0,SUMIFS('MSR DATA'!$I$2:$I$1001,'MSR DATA'!$D$2:$D$1001,E60,'MSR DATA'!$G$2:$G$1001,"ALCOHOL"))</f>
        <v/>
      </c>
      <c r="I60" s="53">
        <f>G60-H60</f>
        <v/>
      </c>
      <c r="J60" s="53">
        <f>G60*IF(F60="",0,F60)</f>
        <v/>
      </c>
      <c r="K60" s="53">
        <f>I60*IF(F60="",0,F60)*$B$4+H60*IF(F60="",0,F60)*$B$5</f>
        <v/>
      </c>
      <c r="L60" s="52">
        <f>IF(B60="","",IF(F60="","MISSING ALLOCATION",IF(ABS(SUMIFS($F$13:$F$112,$A$13:$A$112,A60,$C$13:$C$112,C60)-1)&gt;0.0001,"REVIEW LOCATION ALLOCATION",IF(G60=0,"NO MSR SALES","OK"))))</f>
        <v/>
      </c>
    </row>
    <row r="61" ht="12.75" customHeight="1" s="126">
      <c r="A61" s="169">
        <f>IF('EVENT ASSIGNMENT'!A50="","",'EVENT ASSIGNMENT'!A50)</f>
        <v/>
      </c>
      <c r="B61" s="52">
        <f>IF('EVENT ASSIGNMENT'!F50="","",'EVENT ASSIGNMENT'!F50)</f>
        <v/>
      </c>
      <c r="C61" s="52">
        <f>IF('EVENT ASSIGNMENT'!C50="","",'EVENT ASSIGNMENT'!C50)</f>
        <v/>
      </c>
      <c r="D61" s="52">
        <f>IF('EVENT ASSIGNMENT'!D50="","",'EVENT ASSIGNMENT'!D50)</f>
        <v/>
      </c>
      <c r="E61" s="52">
        <f>IF('EVENT ASSIGNMENT'!E50="","",'EVENT ASSIGNMENT'!E50)</f>
        <v/>
      </c>
      <c r="F61" s="170">
        <f>IF('EVENT ASSIGNMENT'!G50="","",'EVENT ASSIGNMENT'!G50)</f>
        <v/>
      </c>
      <c r="G61" s="53">
        <f>IF(E61="",0,SUMIFS('MSR DATA'!$I$2:$I$1001,'MSR DATA'!$D$2:$D$1001,E61))</f>
        <v/>
      </c>
      <c r="H61" s="53">
        <f>IF(E61="",0,SUMIFS('MSR DATA'!$I$2:$I$1001,'MSR DATA'!$D$2:$D$1001,E61,'MSR DATA'!$G$2:$G$1001,"ALCOHOL"))</f>
        <v/>
      </c>
      <c r="I61" s="53">
        <f>G61-H61</f>
        <v/>
      </c>
      <c r="J61" s="53">
        <f>G61*IF(F61="",0,F61)</f>
        <v/>
      </c>
      <c r="K61" s="53">
        <f>I61*IF(F61="",0,F61)*$B$4+H61*IF(F61="",0,F61)*$B$5</f>
        <v/>
      </c>
      <c r="L61" s="52">
        <f>IF(B61="","",IF(F61="","MISSING ALLOCATION",IF(ABS(SUMIFS($F$13:$F$112,$A$13:$A$112,A61,$C$13:$C$112,C61)-1)&gt;0.0001,"REVIEW LOCATION ALLOCATION",IF(G61=0,"NO MSR SALES","OK"))))</f>
        <v/>
      </c>
    </row>
    <row r="62" ht="12.75" customHeight="1" s="126">
      <c r="A62" s="169">
        <f>IF('EVENT ASSIGNMENT'!A51="","",'EVENT ASSIGNMENT'!A51)</f>
        <v/>
      </c>
      <c r="B62" s="52">
        <f>IF('EVENT ASSIGNMENT'!F51="","",'EVENT ASSIGNMENT'!F51)</f>
        <v/>
      </c>
      <c r="C62" s="52">
        <f>IF('EVENT ASSIGNMENT'!C51="","",'EVENT ASSIGNMENT'!C51)</f>
        <v/>
      </c>
      <c r="D62" s="52">
        <f>IF('EVENT ASSIGNMENT'!D51="","",'EVENT ASSIGNMENT'!D51)</f>
        <v/>
      </c>
      <c r="E62" s="52">
        <f>IF('EVENT ASSIGNMENT'!E51="","",'EVENT ASSIGNMENT'!E51)</f>
        <v/>
      </c>
      <c r="F62" s="170">
        <f>IF('EVENT ASSIGNMENT'!G51="","",'EVENT ASSIGNMENT'!G51)</f>
        <v/>
      </c>
      <c r="G62" s="53">
        <f>IF(E62="",0,SUMIFS('MSR DATA'!$I$2:$I$1001,'MSR DATA'!$D$2:$D$1001,E62))</f>
        <v/>
      </c>
      <c r="H62" s="53">
        <f>IF(E62="",0,SUMIFS('MSR DATA'!$I$2:$I$1001,'MSR DATA'!$D$2:$D$1001,E62,'MSR DATA'!$G$2:$G$1001,"ALCOHOL"))</f>
        <v/>
      </c>
      <c r="I62" s="53">
        <f>G62-H62</f>
        <v/>
      </c>
      <c r="J62" s="53">
        <f>G62*IF(F62="",0,F62)</f>
        <v/>
      </c>
      <c r="K62" s="53">
        <f>I62*IF(F62="",0,F62)*$B$4+H62*IF(F62="",0,F62)*$B$5</f>
        <v/>
      </c>
      <c r="L62" s="52">
        <f>IF(B62="","",IF(F62="","MISSING ALLOCATION",IF(ABS(SUMIFS($F$13:$F$112,$A$13:$A$112,A62,$C$13:$C$112,C62)-1)&gt;0.0001,"REVIEW LOCATION ALLOCATION",IF(G62=0,"NO MSR SALES","OK"))))</f>
        <v/>
      </c>
    </row>
    <row r="63" ht="12.75" customHeight="1" s="126">
      <c r="A63" s="169">
        <f>IF('EVENT ASSIGNMENT'!A52="","",'EVENT ASSIGNMENT'!A52)</f>
        <v/>
      </c>
      <c r="B63" s="52">
        <f>IF('EVENT ASSIGNMENT'!F52="","",'EVENT ASSIGNMENT'!F52)</f>
        <v/>
      </c>
      <c r="C63" s="52">
        <f>IF('EVENT ASSIGNMENT'!C52="","",'EVENT ASSIGNMENT'!C52)</f>
        <v/>
      </c>
      <c r="D63" s="52">
        <f>IF('EVENT ASSIGNMENT'!D52="","",'EVENT ASSIGNMENT'!D52)</f>
        <v/>
      </c>
      <c r="E63" s="52">
        <f>IF('EVENT ASSIGNMENT'!E52="","",'EVENT ASSIGNMENT'!E52)</f>
        <v/>
      </c>
      <c r="F63" s="170">
        <f>IF('EVENT ASSIGNMENT'!G52="","",'EVENT ASSIGNMENT'!G52)</f>
        <v/>
      </c>
      <c r="G63" s="53">
        <f>IF(E63="",0,SUMIFS('MSR DATA'!$I$2:$I$1001,'MSR DATA'!$D$2:$D$1001,E63))</f>
        <v/>
      </c>
      <c r="H63" s="53">
        <f>IF(E63="",0,SUMIFS('MSR DATA'!$I$2:$I$1001,'MSR DATA'!$D$2:$D$1001,E63,'MSR DATA'!$G$2:$G$1001,"ALCOHOL"))</f>
        <v/>
      </c>
      <c r="I63" s="53">
        <f>G63-H63</f>
        <v/>
      </c>
      <c r="J63" s="53">
        <f>G63*IF(F63="",0,F63)</f>
        <v/>
      </c>
      <c r="K63" s="53">
        <f>I63*IF(F63="",0,F63)*$B$4+H63*IF(F63="",0,F63)*$B$5</f>
        <v/>
      </c>
      <c r="L63" s="52">
        <f>IF(B63="","",IF(F63="","MISSING ALLOCATION",IF(ABS(SUMIFS($F$13:$F$112,$A$13:$A$112,A63,$C$13:$C$112,C63)-1)&gt;0.0001,"REVIEW LOCATION ALLOCATION",IF(G63=0,"NO MSR SALES","OK"))))</f>
        <v/>
      </c>
    </row>
    <row r="64" ht="12.75" customHeight="1" s="126">
      <c r="A64" s="169">
        <f>IF('EVENT ASSIGNMENT'!A53="","",'EVENT ASSIGNMENT'!A53)</f>
        <v/>
      </c>
      <c r="B64" s="52">
        <f>IF('EVENT ASSIGNMENT'!F53="","",'EVENT ASSIGNMENT'!F53)</f>
        <v/>
      </c>
      <c r="C64" s="52">
        <f>IF('EVENT ASSIGNMENT'!C53="","",'EVENT ASSIGNMENT'!C53)</f>
        <v/>
      </c>
      <c r="D64" s="52">
        <f>IF('EVENT ASSIGNMENT'!D53="","",'EVENT ASSIGNMENT'!D53)</f>
        <v/>
      </c>
      <c r="E64" s="52">
        <f>IF('EVENT ASSIGNMENT'!E53="","",'EVENT ASSIGNMENT'!E53)</f>
        <v/>
      </c>
      <c r="F64" s="170">
        <f>IF('EVENT ASSIGNMENT'!G53="","",'EVENT ASSIGNMENT'!G53)</f>
        <v/>
      </c>
      <c r="G64" s="53">
        <f>IF(E64="",0,SUMIFS('MSR DATA'!$I$2:$I$1001,'MSR DATA'!$D$2:$D$1001,E64))</f>
        <v/>
      </c>
      <c r="H64" s="53">
        <f>IF(E64="",0,SUMIFS('MSR DATA'!$I$2:$I$1001,'MSR DATA'!$D$2:$D$1001,E64,'MSR DATA'!$G$2:$G$1001,"ALCOHOL"))</f>
        <v/>
      </c>
      <c r="I64" s="53">
        <f>G64-H64</f>
        <v/>
      </c>
      <c r="J64" s="53">
        <f>G64*IF(F64="",0,F64)</f>
        <v/>
      </c>
      <c r="K64" s="53">
        <f>I64*IF(F64="",0,F64)*$B$4+H64*IF(F64="",0,F64)*$B$5</f>
        <v/>
      </c>
      <c r="L64" s="52">
        <f>IF(B64="","",IF(F64="","MISSING ALLOCATION",IF(ABS(SUMIFS($F$13:$F$112,$A$13:$A$112,A64,$C$13:$C$112,C64)-1)&gt;0.0001,"REVIEW LOCATION ALLOCATION",IF(G64=0,"NO MSR SALES","OK"))))</f>
        <v/>
      </c>
    </row>
    <row r="65" ht="12.75" customHeight="1" s="126">
      <c r="A65" s="169">
        <f>IF('EVENT ASSIGNMENT'!A54="","",'EVENT ASSIGNMENT'!A54)</f>
        <v/>
      </c>
      <c r="B65" s="52">
        <f>IF('EVENT ASSIGNMENT'!F54="","",'EVENT ASSIGNMENT'!F54)</f>
        <v/>
      </c>
      <c r="C65" s="52">
        <f>IF('EVENT ASSIGNMENT'!C54="","",'EVENT ASSIGNMENT'!C54)</f>
        <v/>
      </c>
      <c r="D65" s="52">
        <f>IF('EVENT ASSIGNMENT'!D54="","",'EVENT ASSIGNMENT'!D54)</f>
        <v/>
      </c>
      <c r="E65" s="52">
        <f>IF('EVENT ASSIGNMENT'!E54="","",'EVENT ASSIGNMENT'!E54)</f>
        <v/>
      </c>
      <c r="F65" s="170">
        <f>IF('EVENT ASSIGNMENT'!G54="","",'EVENT ASSIGNMENT'!G54)</f>
        <v/>
      </c>
      <c r="G65" s="53">
        <f>IF(E65="",0,SUMIFS('MSR DATA'!$I$2:$I$1001,'MSR DATA'!$D$2:$D$1001,E65))</f>
        <v/>
      </c>
      <c r="H65" s="53">
        <f>IF(E65="",0,SUMIFS('MSR DATA'!$I$2:$I$1001,'MSR DATA'!$D$2:$D$1001,E65,'MSR DATA'!$G$2:$G$1001,"ALCOHOL"))</f>
        <v/>
      </c>
      <c r="I65" s="53">
        <f>G65-H65</f>
        <v/>
      </c>
      <c r="J65" s="53">
        <f>G65*IF(F65="",0,F65)</f>
        <v/>
      </c>
      <c r="K65" s="53">
        <f>I65*IF(F65="",0,F65)*$B$4+H65*IF(F65="",0,F65)*$B$5</f>
        <v/>
      </c>
      <c r="L65" s="52">
        <f>IF(B65="","",IF(F65="","MISSING ALLOCATION",IF(ABS(SUMIFS($F$13:$F$112,$A$13:$A$112,A65,$C$13:$C$112,C65)-1)&gt;0.0001,"REVIEW LOCATION ALLOCATION",IF(G65=0,"NO MSR SALES","OK"))))</f>
        <v/>
      </c>
    </row>
    <row r="66" ht="12.75" customHeight="1" s="126">
      <c r="A66" s="169">
        <f>IF('EVENT ASSIGNMENT'!A55="","",'EVENT ASSIGNMENT'!A55)</f>
        <v/>
      </c>
      <c r="B66" s="52">
        <f>IF('EVENT ASSIGNMENT'!F55="","",'EVENT ASSIGNMENT'!F55)</f>
        <v/>
      </c>
      <c r="C66" s="52">
        <f>IF('EVENT ASSIGNMENT'!C55="","",'EVENT ASSIGNMENT'!C55)</f>
        <v/>
      </c>
      <c r="D66" s="52">
        <f>IF('EVENT ASSIGNMENT'!D55="","",'EVENT ASSIGNMENT'!D55)</f>
        <v/>
      </c>
      <c r="E66" s="52">
        <f>IF('EVENT ASSIGNMENT'!E55="","",'EVENT ASSIGNMENT'!E55)</f>
        <v/>
      </c>
      <c r="F66" s="170">
        <f>IF('EVENT ASSIGNMENT'!G55="","",'EVENT ASSIGNMENT'!G55)</f>
        <v/>
      </c>
      <c r="G66" s="53">
        <f>IF(E66="",0,SUMIFS('MSR DATA'!$I$2:$I$1001,'MSR DATA'!$D$2:$D$1001,E66))</f>
        <v/>
      </c>
      <c r="H66" s="53">
        <f>IF(E66="",0,SUMIFS('MSR DATA'!$I$2:$I$1001,'MSR DATA'!$D$2:$D$1001,E66,'MSR DATA'!$G$2:$G$1001,"ALCOHOL"))</f>
        <v/>
      </c>
      <c r="I66" s="53">
        <f>G66-H66</f>
        <v/>
      </c>
      <c r="J66" s="53">
        <f>G66*IF(F66="",0,F66)</f>
        <v/>
      </c>
      <c r="K66" s="53">
        <f>I66*IF(F66="",0,F66)*$B$4+H66*IF(F66="",0,F66)*$B$5</f>
        <v/>
      </c>
      <c r="L66" s="52">
        <f>IF(B66="","",IF(F66="","MISSING ALLOCATION",IF(ABS(SUMIFS($F$13:$F$112,$A$13:$A$112,A66,$C$13:$C$112,C66)-1)&gt;0.0001,"REVIEW LOCATION ALLOCATION",IF(G66=0,"NO MSR SALES","OK"))))</f>
        <v/>
      </c>
    </row>
    <row r="67" ht="12.75" customHeight="1" s="126">
      <c r="A67" s="169">
        <f>IF('EVENT ASSIGNMENT'!A56="","",'EVENT ASSIGNMENT'!A56)</f>
        <v/>
      </c>
      <c r="B67" s="52">
        <f>IF('EVENT ASSIGNMENT'!F56="","",'EVENT ASSIGNMENT'!F56)</f>
        <v/>
      </c>
      <c r="C67" s="52">
        <f>IF('EVENT ASSIGNMENT'!C56="","",'EVENT ASSIGNMENT'!C56)</f>
        <v/>
      </c>
      <c r="D67" s="52">
        <f>IF('EVENT ASSIGNMENT'!D56="","",'EVENT ASSIGNMENT'!D56)</f>
        <v/>
      </c>
      <c r="E67" s="52">
        <f>IF('EVENT ASSIGNMENT'!E56="","",'EVENT ASSIGNMENT'!E56)</f>
        <v/>
      </c>
      <c r="F67" s="170">
        <f>IF('EVENT ASSIGNMENT'!G56="","",'EVENT ASSIGNMENT'!G56)</f>
        <v/>
      </c>
      <c r="G67" s="53">
        <f>IF(E67="",0,SUMIFS('MSR DATA'!$I$2:$I$1001,'MSR DATA'!$D$2:$D$1001,E67))</f>
        <v/>
      </c>
      <c r="H67" s="53">
        <f>IF(E67="",0,SUMIFS('MSR DATA'!$I$2:$I$1001,'MSR DATA'!$D$2:$D$1001,E67,'MSR DATA'!$G$2:$G$1001,"ALCOHOL"))</f>
        <v/>
      </c>
      <c r="I67" s="53">
        <f>G67-H67</f>
        <v/>
      </c>
      <c r="J67" s="53">
        <f>G67*IF(F67="",0,F67)</f>
        <v/>
      </c>
      <c r="K67" s="53">
        <f>I67*IF(F67="",0,F67)*$B$4+H67*IF(F67="",0,F67)*$B$5</f>
        <v/>
      </c>
      <c r="L67" s="52">
        <f>IF(B67="","",IF(F67="","MISSING ALLOCATION",IF(ABS(SUMIFS($F$13:$F$112,$A$13:$A$112,A67,$C$13:$C$112,C67)-1)&gt;0.0001,"REVIEW LOCATION ALLOCATION",IF(G67=0,"NO MSR SALES","OK"))))</f>
        <v/>
      </c>
    </row>
    <row r="68" ht="12.75" customHeight="1" s="126">
      <c r="A68" s="169">
        <f>IF('EVENT ASSIGNMENT'!A57="","",'EVENT ASSIGNMENT'!A57)</f>
        <v/>
      </c>
      <c r="B68" s="52">
        <f>IF('EVENT ASSIGNMENT'!F57="","",'EVENT ASSIGNMENT'!F57)</f>
        <v/>
      </c>
      <c r="C68" s="52">
        <f>IF('EVENT ASSIGNMENT'!C57="","",'EVENT ASSIGNMENT'!C57)</f>
        <v/>
      </c>
      <c r="D68" s="52">
        <f>IF('EVENT ASSIGNMENT'!D57="","",'EVENT ASSIGNMENT'!D57)</f>
        <v/>
      </c>
      <c r="E68" s="52">
        <f>IF('EVENT ASSIGNMENT'!E57="","",'EVENT ASSIGNMENT'!E57)</f>
        <v/>
      </c>
      <c r="F68" s="170">
        <f>IF('EVENT ASSIGNMENT'!G57="","",'EVENT ASSIGNMENT'!G57)</f>
        <v/>
      </c>
      <c r="G68" s="53">
        <f>IF(E68="",0,SUMIFS('MSR DATA'!$I$2:$I$1001,'MSR DATA'!$D$2:$D$1001,E68))</f>
        <v/>
      </c>
      <c r="H68" s="53">
        <f>IF(E68="",0,SUMIFS('MSR DATA'!$I$2:$I$1001,'MSR DATA'!$D$2:$D$1001,E68,'MSR DATA'!$G$2:$G$1001,"ALCOHOL"))</f>
        <v/>
      </c>
      <c r="I68" s="53">
        <f>G68-H68</f>
        <v/>
      </c>
      <c r="J68" s="53">
        <f>G68*IF(F68="",0,F68)</f>
        <v/>
      </c>
      <c r="K68" s="53">
        <f>I68*IF(F68="",0,F68)*$B$4+H68*IF(F68="",0,F68)*$B$5</f>
        <v/>
      </c>
      <c r="L68" s="52">
        <f>IF(B68="","",IF(F68="","MISSING ALLOCATION",IF(ABS(SUMIFS($F$13:$F$112,$A$13:$A$112,A68,$C$13:$C$112,C68)-1)&gt;0.0001,"REVIEW LOCATION ALLOCATION",IF(G68=0,"NO MSR SALES","OK"))))</f>
        <v/>
      </c>
    </row>
    <row r="69" ht="12.75" customHeight="1" s="126">
      <c r="A69" s="169">
        <f>IF('EVENT ASSIGNMENT'!A58="","",'EVENT ASSIGNMENT'!A58)</f>
        <v/>
      </c>
      <c r="B69" s="52">
        <f>IF('EVENT ASSIGNMENT'!F58="","",'EVENT ASSIGNMENT'!F58)</f>
        <v/>
      </c>
      <c r="C69" s="52">
        <f>IF('EVENT ASSIGNMENT'!C58="","",'EVENT ASSIGNMENT'!C58)</f>
        <v/>
      </c>
      <c r="D69" s="52">
        <f>IF('EVENT ASSIGNMENT'!D58="","",'EVENT ASSIGNMENT'!D58)</f>
        <v/>
      </c>
      <c r="E69" s="52">
        <f>IF('EVENT ASSIGNMENT'!E58="","",'EVENT ASSIGNMENT'!E58)</f>
        <v/>
      </c>
      <c r="F69" s="170">
        <f>IF('EVENT ASSIGNMENT'!G58="","",'EVENT ASSIGNMENT'!G58)</f>
        <v/>
      </c>
      <c r="G69" s="53">
        <f>IF(E69="",0,SUMIFS('MSR DATA'!$I$2:$I$1001,'MSR DATA'!$D$2:$D$1001,E69))</f>
        <v/>
      </c>
      <c r="H69" s="53">
        <f>IF(E69="",0,SUMIFS('MSR DATA'!$I$2:$I$1001,'MSR DATA'!$D$2:$D$1001,E69,'MSR DATA'!$G$2:$G$1001,"ALCOHOL"))</f>
        <v/>
      </c>
      <c r="I69" s="53">
        <f>G69-H69</f>
        <v/>
      </c>
      <c r="J69" s="53">
        <f>G69*IF(F69="",0,F69)</f>
        <v/>
      </c>
      <c r="K69" s="53">
        <f>I69*IF(F69="",0,F69)*$B$4+H69*IF(F69="",0,F69)*$B$5</f>
        <v/>
      </c>
      <c r="L69" s="52">
        <f>IF(B69="","",IF(F69="","MISSING ALLOCATION",IF(ABS(SUMIFS($F$13:$F$112,$A$13:$A$112,A69,$C$13:$C$112,C69)-1)&gt;0.0001,"REVIEW LOCATION ALLOCATION",IF(G69=0,"NO MSR SALES","OK"))))</f>
        <v/>
      </c>
    </row>
    <row r="70" ht="12.75" customHeight="1" s="126">
      <c r="A70" s="169">
        <f>IF('EVENT ASSIGNMENT'!A59="","",'EVENT ASSIGNMENT'!A59)</f>
        <v/>
      </c>
      <c r="B70" s="52">
        <f>IF('EVENT ASSIGNMENT'!F59="","",'EVENT ASSIGNMENT'!F59)</f>
        <v/>
      </c>
      <c r="C70" s="52">
        <f>IF('EVENT ASSIGNMENT'!C59="","",'EVENT ASSIGNMENT'!C59)</f>
        <v/>
      </c>
      <c r="D70" s="52">
        <f>IF('EVENT ASSIGNMENT'!D59="","",'EVENT ASSIGNMENT'!D59)</f>
        <v/>
      </c>
      <c r="E70" s="52">
        <f>IF('EVENT ASSIGNMENT'!E59="","",'EVENT ASSIGNMENT'!E59)</f>
        <v/>
      </c>
      <c r="F70" s="170">
        <f>IF('EVENT ASSIGNMENT'!G59="","",'EVENT ASSIGNMENT'!G59)</f>
        <v/>
      </c>
      <c r="G70" s="53">
        <f>IF(E70="",0,SUMIFS('MSR DATA'!$I$2:$I$1001,'MSR DATA'!$D$2:$D$1001,E70))</f>
        <v/>
      </c>
      <c r="H70" s="53">
        <f>IF(E70="",0,SUMIFS('MSR DATA'!$I$2:$I$1001,'MSR DATA'!$D$2:$D$1001,E70,'MSR DATA'!$G$2:$G$1001,"ALCOHOL"))</f>
        <v/>
      </c>
      <c r="I70" s="53">
        <f>G70-H70</f>
        <v/>
      </c>
      <c r="J70" s="53">
        <f>G70*IF(F70="",0,F70)</f>
        <v/>
      </c>
      <c r="K70" s="53">
        <f>I70*IF(F70="",0,F70)*$B$4+H70*IF(F70="",0,F70)*$B$5</f>
        <v/>
      </c>
      <c r="L70" s="52">
        <f>IF(B70="","",IF(F70="","MISSING ALLOCATION",IF(ABS(SUMIFS($F$13:$F$112,$A$13:$A$112,A70,$C$13:$C$112,C70)-1)&gt;0.0001,"REVIEW LOCATION ALLOCATION",IF(G70=0,"NO MSR SALES","OK"))))</f>
        <v/>
      </c>
    </row>
    <row r="71" ht="12.75" customHeight="1" s="126">
      <c r="A71" s="169">
        <f>IF('EVENT ASSIGNMENT'!A60="","",'EVENT ASSIGNMENT'!A60)</f>
        <v/>
      </c>
      <c r="B71" s="52">
        <f>IF('EVENT ASSIGNMENT'!F60="","",'EVENT ASSIGNMENT'!F60)</f>
        <v/>
      </c>
      <c r="C71" s="52">
        <f>IF('EVENT ASSIGNMENT'!C60="","",'EVENT ASSIGNMENT'!C60)</f>
        <v/>
      </c>
      <c r="D71" s="52">
        <f>IF('EVENT ASSIGNMENT'!D60="","",'EVENT ASSIGNMENT'!D60)</f>
        <v/>
      </c>
      <c r="E71" s="52">
        <f>IF('EVENT ASSIGNMENT'!E60="","",'EVENT ASSIGNMENT'!E60)</f>
        <v/>
      </c>
      <c r="F71" s="170">
        <f>IF('EVENT ASSIGNMENT'!G60="","",'EVENT ASSIGNMENT'!G60)</f>
        <v/>
      </c>
      <c r="G71" s="53">
        <f>IF(E71="",0,SUMIFS('MSR DATA'!$I$2:$I$1001,'MSR DATA'!$D$2:$D$1001,E71))</f>
        <v/>
      </c>
      <c r="H71" s="53">
        <f>IF(E71="",0,SUMIFS('MSR DATA'!$I$2:$I$1001,'MSR DATA'!$D$2:$D$1001,E71,'MSR DATA'!$G$2:$G$1001,"ALCOHOL"))</f>
        <v/>
      </c>
      <c r="I71" s="53">
        <f>G71-H71</f>
        <v/>
      </c>
      <c r="J71" s="53">
        <f>G71*IF(F71="",0,F71)</f>
        <v/>
      </c>
      <c r="K71" s="53">
        <f>I71*IF(F71="",0,F71)*$B$4+H71*IF(F71="",0,F71)*$B$5</f>
        <v/>
      </c>
      <c r="L71" s="52">
        <f>IF(B71="","",IF(F71="","MISSING ALLOCATION",IF(ABS(SUMIFS($F$13:$F$112,$A$13:$A$112,A71,$C$13:$C$112,C71)-1)&gt;0.0001,"REVIEW LOCATION ALLOCATION",IF(G71=0,"NO MSR SALES","OK"))))</f>
        <v/>
      </c>
    </row>
    <row r="72" ht="12.75" customHeight="1" s="126">
      <c r="A72" s="169">
        <f>IF('EVENT ASSIGNMENT'!A61="","",'EVENT ASSIGNMENT'!A61)</f>
        <v/>
      </c>
      <c r="B72" s="52">
        <f>IF('EVENT ASSIGNMENT'!F61="","",'EVENT ASSIGNMENT'!F61)</f>
        <v/>
      </c>
      <c r="C72" s="52">
        <f>IF('EVENT ASSIGNMENT'!C61="","",'EVENT ASSIGNMENT'!C61)</f>
        <v/>
      </c>
      <c r="D72" s="52">
        <f>IF('EVENT ASSIGNMENT'!D61="","",'EVENT ASSIGNMENT'!D61)</f>
        <v/>
      </c>
      <c r="E72" s="52">
        <f>IF('EVENT ASSIGNMENT'!E61="","",'EVENT ASSIGNMENT'!E61)</f>
        <v/>
      </c>
      <c r="F72" s="170">
        <f>IF('EVENT ASSIGNMENT'!G61="","",'EVENT ASSIGNMENT'!G61)</f>
        <v/>
      </c>
      <c r="G72" s="53">
        <f>IF(E72="",0,SUMIFS('MSR DATA'!$I$2:$I$1001,'MSR DATA'!$D$2:$D$1001,E72))</f>
        <v/>
      </c>
      <c r="H72" s="53">
        <f>IF(E72="",0,SUMIFS('MSR DATA'!$I$2:$I$1001,'MSR DATA'!$D$2:$D$1001,E72,'MSR DATA'!$G$2:$G$1001,"ALCOHOL"))</f>
        <v/>
      </c>
      <c r="I72" s="53">
        <f>G72-H72</f>
        <v/>
      </c>
      <c r="J72" s="53">
        <f>G72*IF(F72="",0,F72)</f>
        <v/>
      </c>
      <c r="K72" s="53">
        <f>I72*IF(F72="",0,F72)*$B$4+H72*IF(F72="",0,F72)*$B$5</f>
        <v/>
      </c>
      <c r="L72" s="52">
        <f>IF(B72="","",IF(F72="","MISSING ALLOCATION",IF(ABS(SUMIFS($F$13:$F$112,$A$13:$A$112,A72,$C$13:$C$112,C72)-1)&gt;0.0001,"REVIEW LOCATION ALLOCATION",IF(G72=0,"NO MSR SALES","OK"))))</f>
        <v/>
      </c>
    </row>
    <row r="73" ht="12.75" customHeight="1" s="126">
      <c r="A73" s="169">
        <f>IF('EVENT ASSIGNMENT'!A62="","",'EVENT ASSIGNMENT'!A62)</f>
        <v/>
      </c>
      <c r="B73" s="52">
        <f>IF('EVENT ASSIGNMENT'!F62="","",'EVENT ASSIGNMENT'!F62)</f>
        <v/>
      </c>
      <c r="C73" s="52">
        <f>IF('EVENT ASSIGNMENT'!C62="","",'EVENT ASSIGNMENT'!C62)</f>
        <v/>
      </c>
      <c r="D73" s="52">
        <f>IF('EVENT ASSIGNMENT'!D62="","",'EVENT ASSIGNMENT'!D62)</f>
        <v/>
      </c>
      <c r="E73" s="52">
        <f>IF('EVENT ASSIGNMENT'!E62="","",'EVENT ASSIGNMENT'!E62)</f>
        <v/>
      </c>
      <c r="F73" s="170">
        <f>IF('EVENT ASSIGNMENT'!G62="","",'EVENT ASSIGNMENT'!G62)</f>
        <v/>
      </c>
      <c r="G73" s="53">
        <f>IF(E73="",0,SUMIFS('MSR DATA'!$I$2:$I$1001,'MSR DATA'!$D$2:$D$1001,E73))</f>
        <v/>
      </c>
      <c r="H73" s="53">
        <f>IF(E73="",0,SUMIFS('MSR DATA'!$I$2:$I$1001,'MSR DATA'!$D$2:$D$1001,E73,'MSR DATA'!$G$2:$G$1001,"ALCOHOL"))</f>
        <v/>
      </c>
      <c r="I73" s="53">
        <f>G73-H73</f>
        <v/>
      </c>
      <c r="J73" s="53">
        <f>G73*IF(F73="",0,F73)</f>
        <v/>
      </c>
      <c r="K73" s="53">
        <f>I73*IF(F73="",0,F73)*$B$4+H73*IF(F73="",0,F73)*$B$5</f>
        <v/>
      </c>
      <c r="L73" s="52">
        <f>IF(B73="","",IF(F73="","MISSING ALLOCATION",IF(ABS(SUMIFS($F$13:$F$112,$A$13:$A$112,A73,$C$13:$C$112,C73)-1)&gt;0.0001,"REVIEW LOCATION ALLOCATION",IF(G73=0,"NO MSR SALES","OK"))))</f>
        <v/>
      </c>
    </row>
    <row r="74" ht="12.75" customHeight="1" s="126">
      <c r="A74" s="169">
        <f>IF('EVENT ASSIGNMENT'!A63="","",'EVENT ASSIGNMENT'!A63)</f>
        <v/>
      </c>
      <c r="B74" s="52">
        <f>IF('EVENT ASSIGNMENT'!F63="","",'EVENT ASSIGNMENT'!F63)</f>
        <v/>
      </c>
      <c r="C74" s="52">
        <f>IF('EVENT ASSIGNMENT'!C63="","",'EVENT ASSIGNMENT'!C63)</f>
        <v/>
      </c>
      <c r="D74" s="52">
        <f>IF('EVENT ASSIGNMENT'!D63="","",'EVENT ASSIGNMENT'!D63)</f>
        <v/>
      </c>
      <c r="E74" s="52">
        <f>IF('EVENT ASSIGNMENT'!E63="","",'EVENT ASSIGNMENT'!E63)</f>
        <v/>
      </c>
      <c r="F74" s="170">
        <f>IF('EVENT ASSIGNMENT'!G63="","",'EVENT ASSIGNMENT'!G63)</f>
        <v/>
      </c>
      <c r="G74" s="53">
        <f>IF(E74="",0,SUMIFS('MSR DATA'!$I$2:$I$1001,'MSR DATA'!$D$2:$D$1001,E74))</f>
        <v/>
      </c>
      <c r="H74" s="53">
        <f>IF(E74="",0,SUMIFS('MSR DATA'!$I$2:$I$1001,'MSR DATA'!$D$2:$D$1001,E74,'MSR DATA'!$G$2:$G$1001,"ALCOHOL"))</f>
        <v/>
      </c>
      <c r="I74" s="53">
        <f>G74-H74</f>
        <v/>
      </c>
      <c r="J74" s="53">
        <f>G74*IF(F74="",0,F74)</f>
        <v/>
      </c>
      <c r="K74" s="53">
        <f>I74*IF(F74="",0,F74)*$B$4+H74*IF(F74="",0,F74)*$B$5</f>
        <v/>
      </c>
      <c r="L74" s="52">
        <f>IF(B74="","",IF(F74="","MISSING ALLOCATION",IF(ABS(SUMIFS($F$13:$F$112,$A$13:$A$112,A74,$C$13:$C$112,C74)-1)&gt;0.0001,"REVIEW LOCATION ALLOCATION",IF(G74=0,"NO MSR SALES","OK"))))</f>
        <v/>
      </c>
    </row>
    <row r="75" ht="12.75" customHeight="1" s="126">
      <c r="A75" s="169">
        <f>IF('EVENT ASSIGNMENT'!A64="","",'EVENT ASSIGNMENT'!A64)</f>
        <v/>
      </c>
      <c r="B75" s="52">
        <f>IF('EVENT ASSIGNMENT'!F64="","",'EVENT ASSIGNMENT'!F64)</f>
        <v/>
      </c>
      <c r="C75" s="52">
        <f>IF('EVENT ASSIGNMENT'!C64="","",'EVENT ASSIGNMENT'!C64)</f>
        <v/>
      </c>
      <c r="D75" s="52">
        <f>IF('EVENT ASSIGNMENT'!D64="","",'EVENT ASSIGNMENT'!D64)</f>
        <v/>
      </c>
      <c r="E75" s="52">
        <f>IF('EVENT ASSIGNMENT'!E64="","",'EVENT ASSIGNMENT'!E64)</f>
        <v/>
      </c>
      <c r="F75" s="170">
        <f>IF('EVENT ASSIGNMENT'!G64="","",'EVENT ASSIGNMENT'!G64)</f>
        <v/>
      </c>
      <c r="G75" s="53">
        <f>IF(E75="",0,SUMIFS('MSR DATA'!$I$2:$I$1001,'MSR DATA'!$D$2:$D$1001,E75))</f>
        <v/>
      </c>
      <c r="H75" s="53">
        <f>IF(E75="",0,SUMIFS('MSR DATA'!$I$2:$I$1001,'MSR DATA'!$D$2:$D$1001,E75,'MSR DATA'!$G$2:$G$1001,"ALCOHOL"))</f>
        <v/>
      </c>
      <c r="I75" s="53">
        <f>G75-H75</f>
        <v/>
      </c>
      <c r="J75" s="53">
        <f>G75*IF(F75="",0,F75)</f>
        <v/>
      </c>
      <c r="K75" s="53">
        <f>I75*IF(F75="",0,F75)*$B$4+H75*IF(F75="",0,F75)*$B$5</f>
        <v/>
      </c>
      <c r="L75" s="52">
        <f>IF(B75="","",IF(F75="","MISSING ALLOCATION",IF(ABS(SUMIFS($F$13:$F$112,$A$13:$A$112,A75,$C$13:$C$112,C75)-1)&gt;0.0001,"REVIEW LOCATION ALLOCATION",IF(G75=0,"NO MSR SALES","OK"))))</f>
        <v/>
      </c>
    </row>
    <row r="76" ht="12.75" customHeight="1" s="126">
      <c r="A76" s="169">
        <f>IF('EVENT ASSIGNMENT'!A65="","",'EVENT ASSIGNMENT'!A65)</f>
        <v/>
      </c>
      <c r="B76" s="52">
        <f>IF('EVENT ASSIGNMENT'!F65="","",'EVENT ASSIGNMENT'!F65)</f>
        <v/>
      </c>
      <c r="C76" s="52">
        <f>IF('EVENT ASSIGNMENT'!C65="","",'EVENT ASSIGNMENT'!C65)</f>
        <v/>
      </c>
      <c r="D76" s="52">
        <f>IF('EVENT ASSIGNMENT'!D65="","",'EVENT ASSIGNMENT'!D65)</f>
        <v/>
      </c>
      <c r="E76" s="52">
        <f>IF('EVENT ASSIGNMENT'!E65="","",'EVENT ASSIGNMENT'!E65)</f>
        <v/>
      </c>
      <c r="F76" s="170">
        <f>IF('EVENT ASSIGNMENT'!G65="","",'EVENT ASSIGNMENT'!G65)</f>
        <v/>
      </c>
      <c r="G76" s="53">
        <f>IF(E76="",0,SUMIFS('MSR DATA'!$I$2:$I$1001,'MSR DATA'!$D$2:$D$1001,E76))</f>
        <v/>
      </c>
      <c r="H76" s="53">
        <f>IF(E76="",0,SUMIFS('MSR DATA'!$I$2:$I$1001,'MSR DATA'!$D$2:$D$1001,E76,'MSR DATA'!$G$2:$G$1001,"ALCOHOL"))</f>
        <v/>
      </c>
      <c r="I76" s="53">
        <f>G76-H76</f>
        <v/>
      </c>
      <c r="J76" s="53">
        <f>G76*IF(F76="",0,F76)</f>
        <v/>
      </c>
      <c r="K76" s="53">
        <f>I76*IF(F76="",0,F76)*$B$4+H76*IF(F76="",0,F76)*$B$5</f>
        <v/>
      </c>
      <c r="L76" s="52">
        <f>IF(B76="","",IF(F76="","MISSING ALLOCATION",IF(ABS(SUMIFS($F$13:$F$112,$A$13:$A$112,A76,$C$13:$C$112,C76)-1)&gt;0.0001,"REVIEW LOCATION ALLOCATION",IF(G76=0,"NO MSR SALES","OK"))))</f>
        <v/>
      </c>
    </row>
    <row r="77" ht="12.75" customHeight="1" s="126">
      <c r="A77" s="169">
        <f>IF('EVENT ASSIGNMENT'!A66="","",'EVENT ASSIGNMENT'!A66)</f>
        <v/>
      </c>
      <c r="B77" s="52">
        <f>IF('EVENT ASSIGNMENT'!F66="","",'EVENT ASSIGNMENT'!F66)</f>
        <v/>
      </c>
      <c r="C77" s="52">
        <f>IF('EVENT ASSIGNMENT'!C66="","",'EVENT ASSIGNMENT'!C66)</f>
        <v/>
      </c>
      <c r="D77" s="52">
        <f>IF('EVENT ASSIGNMENT'!D66="","",'EVENT ASSIGNMENT'!D66)</f>
        <v/>
      </c>
      <c r="E77" s="52">
        <f>IF('EVENT ASSIGNMENT'!E66="","",'EVENT ASSIGNMENT'!E66)</f>
        <v/>
      </c>
      <c r="F77" s="170">
        <f>IF('EVENT ASSIGNMENT'!G66="","",'EVENT ASSIGNMENT'!G66)</f>
        <v/>
      </c>
      <c r="G77" s="53">
        <f>IF(E77="",0,SUMIFS('MSR DATA'!$I$2:$I$1001,'MSR DATA'!$D$2:$D$1001,E77))</f>
        <v/>
      </c>
      <c r="H77" s="53">
        <f>IF(E77="",0,SUMIFS('MSR DATA'!$I$2:$I$1001,'MSR DATA'!$D$2:$D$1001,E77,'MSR DATA'!$G$2:$G$1001,"ALCOHOL"))</f>
        <v/>
      </c>
      <c r="I77" s="53">
        <f>G77-H77</f>
        <v/>
      </c>
      <c r="J77" s="53">
        <f>G77*IF(F77="",0,F77)</f>
        <v/>
      </c>
      <c r="K77" s="53">
        <f>I77*IF(F77="",0,F77)*$B$4+H77*IF(F77="",0,F77)*$B$5</f>
        <v/>
      </c>
      <c r="L77" s="52">
        <f>IF(B77="","",IF(F77="","MISSING ALLOCATION",IF(ABS(SUMIFS($F$13:$F$112,$A$13:$A$112,A77,$C$13:$C$112,C77)-1)&gt;0.0001,"REVIEW LOCATION ALLOCATION",IF(G77=0,"NO MSR SALES","OK"))))</f>
        <v/>
      </c>
    </row>
    <row r="78" ht="12.75" customHeight="1" s="126">
      <c r="A78" s="169">
        <f>IF('EVENT ASSIGNMENT'!A67="","",'EVENT ASSIGNMENT'!A67)</f>
        <v/>
      </c>
      <c r="B78" s="52">
        <f>IF('EVENT ASSIGNMENT'!F67="","",'EVENT ASSIGNMENT'!F67)</f>
        <v/>
      </c>
      <c r="C78" s="52">
        <f>IF('EVENT ASSIGNMENT'!C67="","",'EVENT ASSIGNMENT'!C67)</f>
        <v/>
      </c>
      <c r="D78" s="52">
        <f>IF('EVENT ASSIGNMENT'!D67="","",'EVENT ASSIGNMENT'!D67)</f>
        <v/>
      </c>
      <c r="E78" s="52">
        <f>IF('EVENT ASSIGNMENT'!E67="","",'EVENT ASSIGNMENT'!E67)</f>
        <v/>
      </c>
      <c r="F78" s="170">
        <f>IF('EVENT ASSIGNMENT'!G67="","",'EVENT ASSIGNMENT'!G67)</f>
        <v/>
      </c>
      <c r="G78" s="53">
        <f>IF(E78="",0,SUMIFS('MSR DATA'!$I$2:$I$1001,'MSR DATA'!$D$2:$D$1001,E78))</f>
        <v/>
      </c>
      <c r="H78" s="53">
        <f>IF(E78="",0,SUMIFS('MSR DATA'!$I$2:$I$1001,'MSR DATA'!$D$2:$D$1001,E78,'MSR DATA'!$G$2:$G$1001,"ALCOHOL"))</f>
        <v/>
      </c>
      <c r="I78" s="53">
        <f>G78-H78</f>
        <v/>
      </c>
      <c r="J78" s="53">
        <f>G78*IF(F78="",0,F78)</f>
        <v/>
      </c>
      <c r="K78" s="53">
        <f>I78*IF(F78="",0,F78)*$B$4+H78*IF(F78="",0,F78)*$B$5</f>
        <v/>
      </c>
      <c r="L78" s="52">
        <f>IF(B78="","",IF(F78="","MISSING ALLOCATION",IF(ABS(SUMIFS($F$13:$F$112,$A$13:$A$112,A78,$C$13:$C$112,C78)-1)&gt;0.0001,"REVIEW LOCATION ALLOCATION",IF(G78=0,"NO MSR SALES","OK"))))</f>
        <v/>
      </c>
    </row>
    <row r="79" ht="12.75" customHeight="1" s="126">
      <c r="A79" s="169">
        <f>IF('EVENT ASSIGNMENT'!A68="","",'EVENT ASSIGNMENT'!A68)</f>
        <v/>
      </c>
      <c r="B79" s="52">
        <f>IF('EVENT ASSIGNMENT'!F68="","",'EVENT ASSIGNMENT'!F68)</f>
        <v/>
      </c>
      <c r="C79" s="52">
        <f>IF('EVENT ASSIGNMENT'!C68="","",'EVENT ASSIGNMENT'!C68)</f>
        <v/>
      </c>
      <c r="D79" s="52">
        <f>IF('EVENT ASSIGNMENT'!D68="","",'EVENT ASSIGNMENT'!D68)</f>
        <v/>
      </c>
      <c r="E79" s="52">
        <f>IF('EVENT ASSIGNMENT'!E68="","",'EVENT ASSIGNMENT'!E68)</f>
        <v/>
      </c>
      <c r="F79" s="170">
        <f>IF('EVENT ASSIGNMENT'!G68="","",'EVENT ASSIGNMENT'!G68)</f>
        <v/>
      </c>
      <c r="G79" s="53">
        <f>IF(E79="",0,SUMIFS('MSR DATA'!$I$2:$I$1001,'MSR DATA'!$D$2:$D$1001,E79))</f>
        <v/>
      </c>
      <c r="H79" s="53">
        <f>IF(E79="",0,SUMIFS('MSR DATA'!$I$2:$I$1001,'MSR DATA'!$D$2:$D$1001,E79,'MSR DATA'!$G$2:$G$1001,"ALCOHOL"))</f>
        <v/>
      </c>
      <c r="I79" s="53">
        <f>G79-H79</f>
        <v/>
      </c>
      <c r="J79" s="53">
        <f>G79*IF(F79="",0,F79)</f>
        <v/>
      </c>
      <c r="K79" s="53">
        <f>I79*IF(F79="",0,F79)*$B$4+H79*IF(F79="",0,F79)*$B$5</f>
        <v/>
      </c>
      <c r="L79" s="52">
        <f>IF(B79="","",IF(F79="","MISSING ALLOCATION",IF(ABS(SUMIFS($F$13:$F$112,$A$13:$A$112,A79,$C$13:$C$112,C79)-1)&gt;0.0001,"REVIEW LOCATION ALLOCATION",IF(G79=0,"NO MSR SALES","OK"))))</f>
        <v/>
      </c>
    </row>
    <row r="80" ht="12.75" customHeight="1" s="126">
      <c r="A80" s="169">
        <f>IF('EVENT ASSIGNMENT'!A69="","",'EVENT ASSIGNMENT'!A69)</f>
        <v/>
      </c>
      <c r="B80" s="52">
        <f>IF('EVENT ASSIGNMENT'!F69="","",'EVENT ASSIGNMENT'!F69)</f>
        <v/>
      </c>
      <c r="C80" s="52">
        <f>IF('EVENT ASSIGNMENT'!C69="","",'EVENT ASSIGNMENT'!C69)</f>
        <v/>
      </c>
      <c r="D80" s="52">
        <f>IF('EVENT ASSIGNMENT'!D69="","",'EVENT ASSIGNMENT'!D69)</f>
        <v/>
      </c>
      <c r="E80" s="52">
        <f>IF('EVENT ASSIGNMENT'!E69="","",'EVENT ASSIGNMENT'!E69)</f>
        <v/>
      </c>
      <c r="F80" s="170">
        <f>IF('EVENT ASSIGNMENT'!G69="","",'EVENT ASSIGNMENT'!G69)</f>
        <v/>
      </c>
      <c r="G80" s="53">
        <f>IF(E80="",0,SUMIFS('MSR DATA'!$I$2:$I$1001,'MSR DATA'!$D$2:$D$1001,E80))</f>
        <v/>
      </c>
      <c r="H80" s="53">
        <f>IF(E80="",0,SUMIFS('MSR DATA'!$I$2:$I$1001,'MSR DATA'!$D$2:$D$1001,E80,'MSR DATA'!$G$2:$G$1001,"ALCOHOL"))</f>
        <v/>
      </c>
      <c r="I80" s="53">
        <f>G80-H80</f>
        <v/>
      </c>
      <c r="J80" s="53">
        <f>G80*IF(F80="",0,F80)</f>
        <v/>
      </c>
      <c r="K80" s="53">
        <f>I80*IF(F80="",0,F80)*$B$4+H80*IF(F80="",0,F80)*$B$5</f>
        <v/>
      </c>
      <c r="L80" s="52">
        <f>IF(B80="","",IF(F80="","MISSING ALLOCATION",IF(ABS(SUMIFS($F$13:$F$112,$A$13:$A$112,A80,$C$13:$C$112,C80)-1)&gt;0.0001,"REVIEW LOCATION ALLOCATION",IF(G80=0,"NO MSR SALES","OK"))))</f>
        <v/>
      </c>
    </row>
    <row r="81" ht="12.75" customHeight="1" s="126">
      <c r="A81" s="169">
        <f>IF('EVENT ASSIGNMENT'!A70="","",'EVENT ASSIGNMENT'!A70)</f>
        <v/>
      </c>
      <c r="B81" s="52">
        <f>IF('EVENT ASSIGNMENT'!F70="","",'EVENT ASSIGNMENT'!F70)</f>
        <v/>
      </c>
      <c r="C81" s="52">
        <f>IF('EVENT ASSIGNMENT'!C70="","",'EVENT ASSIGNMENT'!C70)</f>
        <v/>
      </c>
      <c r="D81" s="52">
        <f>IF('EVENT ASSIGNMENT'!D70="","",'EVENT ASSIGNMENT'!D70)</f>
        <v/>
      </c>
      <c r="E81" s="52">
        <f>IF('EVENT ASSIGNMENT'!E70="","",'EVENT ASSIGNMENT'!E70)</f>
        <v/>
      </c>
      <c r="F81" s="170">
        <f>IF('EVENT ASSIGNMENT'!G70="","",'EVENT ASSIGNMENT'!G70)</f>
        <v/>
      </c>
      <c r="G81" s="53">
        <f>IF(E81="",0,SUMIFS('MSR DATA'!$I$2:$I$1001,'MSR DATA'!$D$2:$D$1001,E81))</f>
        <v/>
      </c>
      <c r="H81" s="53">
        <f>IF(E81="",0,SUMIFS('MSR DATA'!$I$2:$I$1001,'MSR DATA'!$D$2:$D$1001,E81,'MSR DATA'!$G$2:$G$1001,"ALCOHOL"))</f>
        <v/>
      </c>
      <c r="I81" s="53">
        <f>G81-H81</f>
        <v/>
      </c>
      <c r="J81" s="53">
        <f>G81*IF(F81="",0,F81)</f>
        <v/>
      </c>
      <c r="K81" s="53">
        <f>I81*IF(F81="",0,F81)*$B$4+H81*IF(F81="",0,F81)*$B$5</f>
        <v/>
      </c>
      <c r="L81" s="52">
        <f>IF(B81="","",IF(F81="","MISSING ALLOCATION",IF(ABS(SUMIFS($F$13:$F$112,$A$13:$A$112,A81,$C$13:$C$112,C81)-1)&gt;0.0001,"REVIEW LOCATION ALLOCATION",IF(G81=0,"NO MSR SALES","OK"))))</f>
        <v/>
      </c>
    </row>
    <row r="82" ht="12.75" customHeight="1" s="126">
      <c r="A82" s="169">
        <f>IF('EVENT ASSIGNMENT'!A71="","",'EVENT ASSIGNMENT'!A71)</f>
        <v/>
      </c>
      <c r="B82" s="52">
        <f>IF('EVENT ASSIGNMENT'!F71="","",'EVENT ASSIGNMENT'!F71)</f>
        <v/>
      </c>
      <c r="C82" s="52">
        <f>IF('EVENT ASSIGNMENT'!C71="","",'EVENT ASSIGNMENT'!C71)</f>
        <v/>
      </c>
      <c r="D82" s="52">
        <f>IF('EVENT ASSIGNMENT'!D71="","",'EVENT ASSIGNMENT'!D71)</f>
        <v/>
      </c>
      <c r="E82" s="52">
        <f>IF('EVENT ASSIGNMENT'!E71="","",'EVENT ASSIGNMENT'!E71)</f>
        <v/>
      </c>
      <c r="F82" s="170">
        <f>IF('EVENT ASSIGNMENT'!G71="","",'EVENT ASSIGNMENT'!G71)</f>
        <v/>
      </c>
      <c r="G82" s="53">
        <f>IF(E82="",0,SUMIFS('MSR DATA'!$I$2:$I$1001,'MSR DATA'!$D$2:$D$1001,E82))</f>
        <v/>
      </c>
      <c r="H82" s="53">
        <f>IF(E82="",0,SUMIFS('MSR DATA'!$I$2:$I$1001,'MSR DATA'!$D$2:$D$1001,E82,'MSR DATA'!$G$2:$G$1001,"ALCOHOL"))</f>
        <v/>
      </c>
      <c r="I82" s="53">
        <f>G82-H82</f>
        <v/>
      </c>
      <c r="J82" s="53">
        <f>G82*IF(F82="",0,F82)</f>
        <v/>
      </c>
      <c r="K82" s="53">
        <f>I82*IF(F82="",0,F82)*$B$4+H82*IF(F82="",0,F82)*$B$5</f>
        <v/>
      </c>
      <c r="L82" s="52">
        <f>IF(B82="","",IF(F82="","MISSING ALLOCATION",IF(ABS(SUMIFS($F$13:$F$112,$A$13:$A$112,A82,$C$13:$C$112,C82)-1)&gt;0.0001,"REVIEW LOCATION ALLOCATION",IF(G82=0,"NO MSR SALES","OK"))))</f>
        <v/>
      </c>
    </row>
    <row r="83" ht="12.75" customHeight="1" s="126">
      <c r="A83" s="169">
        <f>IF('EVENT ASSIGNMENT'!A72="","",'EVENT ASSIGNMENT'!A72)</f>
        <v/>
      </c>
      <c r="B83" s="52">
        <f>IF('EVENT ASSIGNMENT'!F72="","",'EVENT ASSIGNMENT'!F72)</f>
        <v/>
      </c>
      <c r="C83" s="52">
        <f>IF('EVENT ASSIGNMENT'!C72="","",'EVENT ASSIGNMENT'!C72)</f>
        <v/>
      </c>
      <c r="D83" s="52">
        <f>IF('EVENT ASSIGNMENT'!D72="","",'EVENT ASSIGNMENT'!D72)</f>
        <v/>
      </c>
      <c r="E83" s="52">
        <f>IF('EVENT ASSIGNMENT'!E72="","",'EVENT ASSIGNMENT'!E72)</f>
        <v/>
      </c>
      <c r="F83" s="170">
        <f>IF('EVENT ASSIGNMENT'!G72="","",'EVENT ASSIGNMENT'!G72)</f>
        <v/>
      </c>
      <c r="G83" s="53">
        <f>IF(E83="",0,SUMIFS('MSR DATA'!$I$2:$I$1001,'MSR DATA'!$D$2:$D$1001,E83))</f>
        <v/>
      </c>
      <c r="H83" s="53">
        <f>IF(E83="",0,SUMIFS('MSR DATA'!$I$2:$I$1001,'MSR DATA'!$D$2:$D$1001,E83,'MSR DATA'!$G$2:$G$1001,"ALCOHOL"))</f>
        <v/>
      </c>
      <c r="I83" s="53">
        <f>G83-H83</f>
        <v/>
      </c>
      <c r="J83" s="53">
        <f>G83*IF(F83="",0,F83)</f>
        <v/>
      </c>
      <c r="K83" s="53">
        <f>I83*IF(F83="",0,F83)*$B$4+H83*IF(F83="",0,F83)*$B$5</f>
        <v/>
      </c>
      <c r="L83" s="52">
        <f>IF(B83="","",IF(F83="","MISSING ALLOCATION",IF(ABS(SUMIFS($F$13:$F$112,$A$13:$A$112,A83,$C$13:$C$112,C83)-1)&gt;0.0001,"REVIEW LOCATION ALLOCATION",IF(G83=0,"NO MSR SALES","OK"))))</f>
        <v/>
      </c>
    </row>
    <row r="84" ht="12.75" customHeight="1" s="126">
      <c r="A84" s="169">
        <f>IF('EVENT ASSIGNMENT'!A73="","",'EVENT ASSIGNMENT'!A73)</f>
        <v/>
      </c>
      <c r="B84" s="52">
        <f>IF('EVENT ASSIGNMENT'!F73="","",'EVENT ASSIGNMENT'!F73)</f>
        <v/>
      </c>
      <c r="C84" s="52">
        <f>IF('EVENT ASSIGNMENT'!C73="","",'EVENT ASSIGNMENT'!C73)</f>
        <v/>
      </c>
      <c r="D84" s="52">
        <f>IF('EVENT ASSIGNMENT'!D73="","",'EVENT ASSIGNMENT'!D73)</f>
        <v/>
      </c>
      <c r="E84" s="52">
        <f>IF('EVENT ASSIGNMENT'!E73="","",'EVENT ASSIGNMENT'!E73)</f>
        <v/>
      </c>
      <c r="F84" s="170">
        <f>IF('EVENT ASSIGNMENT'!G73="","",'EVENT ASSIGNMENT'!G73)</f>
        <v/>
      </c>
      <c r="G84" s="53">
        <f>IF(E84="",0,SUMIFS('MSR DATA'!$I$2:$I$1001,'MSR DATA'!$D$2:$D$1001,E84))</f>
        <v/>
      </c>
      <c r="H84" s="53">
        <f>IF(E84="",0,SUMIFS('MSR DATA'!$I$2:$I$1001,'MSR DATA'!$D$2:$D$1001,E84,'MSR DATA'!$G$2:$G$1001,"ALCOHOL"))</f>
        <v/>
      </c>
      <c r="I84" s="53">
        <f>G84-H84</f>
        <v/>
      </c>
      <c r="J84" s="53">
        <f>G84*IF(F84="",0,F84)</f>
        <v/>
      </c>
      <c r="K84" s="53">
        <f>I84*IF(F84="",0,F84)*$B$4+H84*IF(F84="",0,F84)*$B$5</f>
        <v/>
      </c>
      <c r="L84" s="52">
        <f>IF(B84="","",IF(F84="","MISSING ALLOCATION",IF(ABS(SUMIFS($F$13:$F$112,$A$13:$A$112,A84,$C$13:$C$112,C84)-1)&gt;0.0001,"REVIEW LOCATION ALLOCATION",IF(G84=0,"NO MSR SALES","OK"))))</f>
        <v/>
      </c>
    </row>
    <row r="85" ht="12.75" customHeight="1" s="126">
      <c r="A85" s="169">
        <f>IF('EVENT ASSIGNMENT'!A74="","",'EVENT ASSIGNMENT'!A74)</f>
        <v/>
      </c>
      <c r="B85" s="52">
        <f>IF('EVENT ASSIGNMENT'!F74="","",'EVENT ASSIGNMENT'!F74)</f>
        <v/>
      </c>
      <c r="C85" s="52">
        <f>IF('EVENT ASSIGNMENT'!C74="","",'EVENT ASSIGNMENT'!C74)</f>
        <v/>
      </c>
      <c r="D85" s="52">
        <f>IF('EVENT ASSIGNMENT'!D74="","",'EVENT ASSIGNMENT'!D74)</f>
        <v/>
      </c>
      <c r="E85" s="52">
        <f>IF('EVENT ASSIGNMENT'!E74="","",'EVENT ASSIGNMENT'!E74)</f>
        <v/>
      </c>
      <c r="F85" s="170">
        <f>IF('EVENT ASSIGNMENT'!G74="","",'EVENT ASSIGNMENT'!G74)</f>
        <v/>
      </c>
      <c r="G85" s="53">
        <f>IF(E85="",0,SUMIFS('MSR DATA'!$I$2:$I$1001,'MSR DATA'!$D$2:$D$1001,E85))</f>
        <v/>
      </c>
      <c r="H85" s="53">
        <f>IF(E85="",0,SUMIFS('MSR DATA'!$I$2:$I$1001,'MSR DATA'!$D$2:$D$1001,E85,'MSR DATA'!$G$2:$G$1001,"ALCOHOL"))</f>
        <v/>
      </c>
      <c r="I85" s="53">
        <f>G85-H85</f>
        <v/>
      </c>
      <c r="J85" s="53">
        <f>G85*IF(F85="",0,F85)</f>
        <v/>
      </c>
      <c r="K85" s="53">
        <f>I85*IF(F85="",0,F85)*$B$4+H85*IF(F85="",0,F85)*$B$5</f>
        <v/>
      </c>
      <c r="L85" s="52">
        <f>IF(B85="","",IF(F85="","MISSING ALLOCATION",IF(ABS(SUMIFS($F$13:$F$112,$A$13:$A$112,A85,$C$13:$C$112,C85)-1)&gt;0.0001,"REVIEW LOCATION ALLOCATION",IF(G85=0,"NO MSR SALES","OK"))))</f>
        <v/>
      </c>
    </row>
    <row r="86" ht="12.75" customHeight="1" s="126">
      <c r="A86" s="169">
        <f>IF('EVENT ASSIGNMENT'!A75="","",'EVENT ASSIGNMENT'!A75)</f>
        <v/>
      </c>
      <c r="B86" s="52">
        <f>IF('EVENT ASSIGNMENT'!F75="","",'EVENT ASSIGNMENT'!F75)</f>
        <v/>
      </c>
      <c r="C86" s="52">
        <f>IF('EVENT ASSIGNMENT'!C75="","",'EVENT ASSIGNMENT'!C75)</f>
        <v/>
      </c>
      <c r="D86" s="52">
        <f>IF('EVENT ASSIGNMENT'!D75="","",'EVENT ASSIGNMENT'!D75)</f>
        <v/>
      </c>
      <c r="E86" s="52">
        <f>IF('EVENT ASSIGNMENT'!E75="","",'EVENT ASSIGNMENT'!E75)</f>
        <v/>
      </c>
      <c r="F86" s="170">
        <f>IF('EVENT ASSIGNMENT'!G75="","",'EVENT ASSIGNMENT'!G75)</f>
        <v/>
      </c>
      <c r="G86" s="53">
        <f>IF(E86="",0,SUMIFS('MSR DATA'!$I$2:$I$1001,'MSR DATA'!$D$2:$D$1001,E86))</f>
        <v/>
      </c>
      <c r="H86" s="53">
        <f>IF(E86="",0,SUMIFS('MSR DATA'!$I$2:$I$1001,'MSR DATA'!$D$2:$D$1001,E86,'MSR DATA'!$G$2:$G$1001,"ALCOHOL"))</f>
        <v/>
      </c>
      <c r="I86" s="53">
        <f>G86-H86</f>
        <v/>
      </c>
      <c r="J86" s="53">
        <f>G86*IF(F86="",0,F86)</f>
        <v/>
      </c>
      <c r="K86" s="53">
        <f>I86*IF(F86="",0,F86)*$B$4+H86*IF(F86="",0,F86)*$B$5</f>
        <v/>
      </c>
      <c r="L86" s="52">
        <f>IF(B86="","",IF(F86="","MISSING ALLOCATION",IF(ABS(SUMIFS($F$13:$F$112,$A$13:$A$112,A86,$C$13:$C$112,C86)-1)&gt;0.0001,"REVIEW LOCATION ALLOCATION",IF(G86=0,"NO MSR SALES","OK"))))</f>
        <v/>
      </c>
    </row>
    <row r="87" ht="12.75" customHeight="1" s="126">
      <c r="A87" s="169">
        <f>IF('EVENT ASSIGNMENT'!A76="","",'EVENT ASSIGNMENT'!A76)</f>
        <v/>
      </c>
      <c r="B87" s="52">
        <f>IF('EVENT ASSIGNMENT'!F76="","",'EVENT ASSIGNMENT'!F76)</f>
        <v/>
      </c>
      <c r="C87" s="52">
        <f>IF('EVENT ASSIGNMENT'!C76="","",'EVENT ASSIGNMENT'!C76)</f>
        <v/>
      </c>
      <c r="D87" s="52">
        <f>IF('EVENT ASSIGNMENT'!D76="","",'EVENT ASSIGNMENT'!D76)</f>
        <v/>
      </c>
      <c r="E87" s="52">
        <f>IF('EVENT ASSIGNMENT'!E76="","",'EVENT ASSIGNMENT'!E76)</f>
        <v/>
      </c>
      <c r="F87" s="170">
        <f>IF('EVENT ASSIGNMENT'!G76="","",'EVENT ASSIGNMENT'!G76)</f>
        <v/>
      </c>
      <c r="G87" s="53">
        <f>IF(E87="",0,SUMIFS('MSR DATA'!$I$2:$I$1001,'MSR DATA'!$D$2:$D$1001,E87))</f>
        <v/>
      </c>
      <c r="H87" s="53">
        <f>IF(E87="",0,SUMIFS('MSR DATA'!$I$2:$I$1001,'MSR DATA'!$D$2:$D$1001,E87,'MSR DATA'!$G$2:$G$1001,"ALCOHOL"))</f>
        <v/>
      </c>
      <c r="I87" s="53">
        <f>G87-H87</f>
        <v/>
      </c>
      <c r="J87" s="53">
        <f>G87*IF(F87="",0,F87)</f>
        <v/>
      </c>
      <c r="K87" s="53">
        <f>I87*IF(F87="",0,F87)*$B$4+H87*IF(F87="",0,F87)*$B$5</f>
        <v/>
      </c>
      <c r="L87" s="52">
        <f>IF(B87="","",IF(F87="","MISSING ALLOCATION",IF(ABS(SUMIFS($F$13:$F$112,$A$13:$A$112,A87,$C$13:$C$112,C87)-1)&gt;0.0001,"REVIEW LOCATION ALLOCATION",IF(G87=0,"NO MSR SALES","OK"))))</f>
        <v/>
      </c>
    </row>
    <row r="88" ht="12.75" customHeight="1" s="126">
      <c r="A88" s="169">
        <f>IF('EVENT ASSIGNMENT'!A77="","",'EVENT ASSIGNMENT'!A77)</f>
        <v/>
      </c>
      <c r="B88" s="52">
        <f>IF('EVENT ASSIGNMENT'!F77="","",'EVENT ASSIGNMENT'!F77)</f>
        <v/>
      </c>
      <c r="C88" s="52">
        <f>IF('EVENT ASSIGNMENT'!C77="","",'EVENT ASSIGNMENT'!C77)</f>
        <v/>
      </c>
      <c r="D88" s="52">
        <f>IF('EVENT ASSIGNMENT'!D77="","",'EVENT ASSIGNMENT'!D77)</f>
        <v/>
      </c>
      <c r="E88" s="52">
        <f>IF('EVENT ASSIGNMENT'!E77="","",'EVENT ASSIGNMENT'!E77)</f>
        <v/>
      </c>
      <c r="F88" s="170">
        <f>IF('EVENT ASSIGNMENT'!G77="","",'EVENT ASSIGNMENT'!G77)</f>
        <v/>
      </c>
      <c r="G88" s="53">
        <f>IF(E88="",0,SUMIFS('MSR DATA'!$I$2:$I$1001,'MSR DATA'!$D$2:$D$1001,E88))</f>
        <v/>
      </c>
      <c r="H88" s="53">
        <f>IF(E88="",0,SUMIFS('MSR DATA'!$I$2:$I$1001,'MSR DATA'!$D$2:$D$1001,E88,'MSR DATA'!$G$2:$G$1001,"ALCOHOL"))</f>
        <v/>
      </c>
      <c r="I88" s="53">
        <f>G88-H88</f>
        <v/>
      </c>
      <c r="J88" s="53">
        <f>G88*IF(F88="",0,F88)</f>
        <v/>
      </c>
      <c r="K88" s="53">
        <f>I88*IF(F88="",0,F88)*$B$4+H88*IF(F88="",0,F88)*$B$5</f>
        <v/>
      </c>
      <c r="L88" s="52">
        <f>IF(B88="","",IF(F88="","MISSING ALLOCATION",IF(ABS(SUMIFS($F$13:$F$112,$A$13:$A$112,A88,$C$13:$C$112,C88)-1)&gt;0.0001,"REVIEW LOCATION ALLOCATION",IF(G88=0,"NO MSR SALES","OK"))))</f>
        <v/>
      </c>
    </row>
    <row r="89" ht="12.75" customHeight="1" s="126">
      <c r="A89" s="169">
        <f>IF('EVENT ASSIGNMENT'!A78="","",'EVENT ASSIGNMENT'!A78)</f>
        <v/>
      </c>
      <c r="B89" s="52">
        <f>IF('EVENT ASSIGNMENT'!F78="","",'EVENT ASSIGNMENT'!F78)</f>
        <v/>
      </c>
      <c r="C89" s="52">
        <f>IF('EVENT ASSIGNMENT'!C78="","",'EVENT ASSIGNMENT'!C78)</f>
        <v/>
      </c>
      <c r="D89" s="52">
        <f>IF('EVENT ASSIGNMENT'!D78="","",'EVENT ASSIGNMENT'!D78)</f>
        <v/>
      </c>
      <c r="E89" s="52">
        <f>IF('EVENT ASSIGNMENT'!E78="","",'EVENT ASSIGNMENT'!E78)</f>
        <v/>
      </c>
      <c r="F89" s="170">
        <f>IF('EVENT ASSIGNMENT'!G78="","",'EVENT ASSIGNMENT'!G78)</f>
        <v/>
      </c>
      <c r="G89" s="53">
        <f>IF(E89="",0,SUMIFS('MSR DATA'!$I$2:$I$1001,'MSR DATA'!$D$2:$D$1001,E89))</f>
        <v/>
      </c>
      <c r="H89" s="53">
        <f>IF(E89="",0,SUMIFS('MSR DATA'!$I$2:$I$1001,'MSR DATA'!$D$2:$D$1001,E89,'MSR DATA'!$G$2:$G$1001,"ALCOHOL"))</f>
        <v/>
      </c>
      <c r="I89" s="53">
        <f>G89-H89</f>
        <v/>
      </c>
      <c r="J89" s="53">
        <f>G89*IF(F89="",0,F89)</f>
        <v/>
      </c>
      <c r="K89" s="53">
        <f>I89*IF(F89="",0,F89)*$B$4+H89*IF(F89="",0,F89)*$B$5</f>
        <v/>
      </c>
      <c r="L89" s="52">
        <f>IF(B89="","",IF(F89="","MISSING ALLOCATION",IF(ABS(SUMIFS($F$13:$F$112,$A$13:$A$112,A89,$C$13:$C$112,C89)-1)&gt;0.0001,"REVIEW LOCATION ALLOCATION",IF(G89=0,"NO MSR SALES","OK"))))</f>
        <v/>
      </c>
    </row>
    <row r="90" ht="12.75" customHeight="1" s="126">
      <c r="A90" s="169">
        <f>IF('EVENT ASSIGNMENT'!A79="","",'EVENT ASSIGNMENT'!A79)</f>
        <v/>
      </c>
      <c r="B90" s="52">
        <f>IF('EVENT ASSIGNMENT'!F79="","",'EVENT ASSIGNMENT'!F79)</f>
        <v/>
      </c>
      <c r="C90" s="52">
        <f>IF('EVENT ASSIGNMENT'!C79="","",'EVENT ASSIGNMENT'!C79)</f>
        <v/>
      </c>
      <c r="D90" s="52">
        <f>IF('EVENT ASSIGNMENT'!D79="","",'EVENT ASSIGNMENT'!D79)</f>
        <v/>
      </c>
      <c r="E90" s="52">
        <f>IF('EVENT ASSIGNMENT'!E79="","",'EVENT ASSIGNMENT'!E79)</f>
        <v/>
      </c>
      <c r="F90" s="170">
        <f>IF('EVENT ASSIGNMENT'!G79="","",'EVENT ASSIGNMENT'!G79)</f>
        <v/>
      </c>
      <c r="G90" s="53">
        <f>IF(E90="",0,SUMIFS('MSR DATA'!$I$2:$I$1001,'MSR DATA'!$D$2:$D$1001,E90))</f>
        <v/>
      </c>
      <c r="H90" s="53">
        <f>IF(E90="",0,SUMIFS('MSR DATA'!$I$2:$I$1001,'MSR DATA'!$D$2:$D$1001,E90,'MSR DATA'!$G$2:$G$1001,"ALCOHOL"))</f>
        <v/>
      </c>
      <c r="I90" s="53">
        <f>G90-H90</f>
        <v/>
      </c>
      <c r="J90" s="53">
        <f>G90*IF(F90="",0,F90)</f>
        <v/>
      </c>
      <c r="K90" s="53">
        <f>I90*IF(F90="",0,F90)*$B$4+H90*IF(F90="",0,F90)*$B$5</f>
        <v/>
      </c>
      <c r="L90" s="52">
        <f>IF(B90="","",IF(F90="","MISSING ALLOCATION",IF(ABS(SUMIFS($F$13:$F$112,$A$13:$A$112,A90,$C$13:$C$112,C90)-1)&gt;0.0001,"REVIEW LOCATION ALLOCATION",IF(G90=0,"NO MSR SALES","OK"))))</f>
        <v/>
      </c>
    </row>
    <row r="91" ht="12.75" customHeight="1" s="126">
      <c r="A91" s="169">
        <f>IF('EVENT ASSIGNMENT'!A80="","",'EVENT ASSIGNMENT'!A80)</f>
        <v/>
      </c>
      <c r="B91" s="52">
        <f>IF('EVENT ASSIGNMENT'!F80="","",'EVENT ASSIGNMENT'!F80)</f>
        <v/>
      </c>
      <c r="C91" s="52">
        <f>IF('EVENT ASSIGNMENT'!C80="","",'EVENT ASSIGNMENT'!C80)</f>
        <v/>
      </c>
      <c r="D91" s="52">
        <f>IF('EVENT ASSIGNMENT'!D80="","",'EVENT ASSIGNMENT'!D80)</f>
        <v/>
      </c>
      <c r="E91" s="52">
        <f>IF('EVENT ASSIGNMENT'!E80="","",'EVENT ASSIGNMENT'!E80)</f>
        <v/>
      </c>
      <c r="F91" s="170">
        <f>IF('EVENT ASSIGNMENT'!G80="","",'EVENT ASSIGNMENT'!G80)</f>
        <v/>
      </c>
      <c r="G91" s="53">
        <f>IF(E91="",0,SUMIFS('MSR DATA'!$I$2:$I$1001,'MSR DATA'!$D$2:$D$1001,E91))</f>
        <v/>
      </c>
      <c r="H91" s="53">
        <f>IF(E91="",0,SUMIFS('MSR DATA'!$I$2:$I$1001,'MSR DATA'!$D$2:$D$1001,E91,'MSR DATA'!$G$2:$G$1001,"ALCOHOL"))</f>
        <v/>
      </c>
      <c r="I91" s="53">
        <f>G91-H91</f>
        <v/>
      </c>
      <c r="J91" s="53">
        <f>G91*IF(F91="",0,F91)</f>
        <v/>
      </c>
      <c r="K91" s="53">
        <f>I91*IF(F91="",0,F91)*$B$4+H91*IF(F91="",0,F91)*$B$5</f>
        <v/>
      </c>
      <c r="L91" s="52">
        <f>IF(B91="","",IF(F91="","MISSING ALLOCATION",IF(ABS(SUMIFS($F$13:$F$112,$A$13:$A$112,A91,$C$13:$C$112,C91)-1)&gt;0.0001,"REVIEW LOCATION ALLOCATION",IF(G91=0,"NO MSR SALES","OK"))))</f>
        <v/>
      </c>
    </row>
    <row r="92" ht="12.75" customHeight="1" s="126">
      <c r="A92" s="169">
        <f>IF('EVENT ASSIGNMENT'!A81="","",'EVENT ASSIGNMENT'!A81)</f>
        <v/>
      </c>
      <c r="B92" s="52">
        <f>IF('EVENT ASSIGNMENT'!F81="","",'EVENT ASSIGNMENT'!F81)</f>
        <v/>
      </c>
      <c r="C92" s="52">
        <f>IF('EVENT ASSIGNMENT'!C81="","",'EVENT ASSIGNMENT'!C81)</f>
        <v/>
      </c>
      <c r="D92" s="52">
        <f>IF('EVENT ASSIGNMENT'!D81="","",'EVENT ASSIGNMENT'!D81)</f>
        <v/>
      </c>
      <c r="E92" s="52">
        <f>IF('EVENT ASSIGNMENT'!E81="","",'EVENT ASSIGNMENT'!E81)</f>
        <v/>
      </c>
      <c r="F92" s="170">
        <f>IF('EVENT ASSIGNMENT'!G81="","",'EVENT ASSIGNMENT'!G81)</f>
        <v/>
      </c>
      <c r="G92" s="53">
        <f>IF(E92="",0,SUMIFS('MSR DATA'!$I$2:$I$1001,'MSR DATA'!$D$2:$D$1001,E92))</f>
        <v/>
      </c>
      <c r="H92" s="53">
        <f>IF(E92="",0,SUMIFS('MSR DATA'!$I$2:$I$1001,'MSR DATA'!$D$2:$D$1001,E92,'MSR DATA'!$G$2:$G$1001,"ALCOHOL"))</f>
        <v/>
      </c>
      <c r="I92" s="53">
        <f>G92-H92</f>
        <v/>
      </c>
      <c r="J92" s="53">
        <f>G92*IF(F92="",0,F92)</f>
        <v/>
      </c>
      <c r="K92" s="53">
        <f>I92*IF(F92="",0,F92)*$B$4+H92*IF(F92="",0,F92)*$B$5</f>
        <v/>
      </c>
      <c r="L92" s="52">
        <f>IF(B92="","",IF(F92="","MISSING ALLOCATION",IF(ABS(SUMIFS($F$13:$F$112,$A$13:$A$112,A92,$C$13:$C$112,C92)-1)&gt;0.0001,"REVIEW LOCATION ALLOCATION",IF(G92=0,"NO MSR SALES","OK"))))</f>
        <v/>
      </c>
    </row>
    <row r="93" ht="12.75" customHeight="1" s="126">
      <c r="A93" s="169">
        <f>IF('EVENT ASSIGNMENT'!A82="","",'EVENT ASSIGNMENT'!A82)</f>
        <v/>
      </c>
      <c r="B93" s="52">
        <f>IF('EVENT ASSIGNMENT'!F82="","",'EVENT ASSIGNMENT'!F82)</f>
        <v/>
      </c>
      <c r="C93" s="52">
        <f>IF('EVENT ASSIGNMENT'!C82="","",'EVENT ASSIGNMENT'!C82)</f>
        <v/>
      </c>
      <c r="D93" s="52">
        <f>IF('EVENT ASSIGNMENT'!D82="","",'EVENT ASSIGNMENT'!D82)</f>
        <v/>
      </c>
      <c r="E93" s="52">
        <f>IF('EVENT ASSIGNMENT'!E82="","",'EVENT ASSIGNMENT'!E82)</f>
        <v/>
      </c>
      <c r="F93" s="170">
        <f>IF('EVENT ASSIGNMENT'!G82="","",'EVENT ASSIGNMENT'!G82)</f>
        <v/>
      </c>
      <c r="G93" s="53">
        <f>IF(E93="",0,SUMIFS('MSR DATA'!$I$2:$I$1001,'MSR DATA'!$D$2:$D$1001,E93))</f>
        <v/>
      </c>
      <c r="H93" s="53">
        <f>IF(E93="",0,SUMIFS('MSR DATA'!$I$2:$I$1001,'MSR DATA'!$D$2:$D$1001,E93,'MSR DATA'!$G$2:$G$1001,"ALCOHOL"))</f>
        <v/>
      </c>
      <c r="I93" s="53">
        <f>G93-H93</f>
        <v/>
      </c>
      <c r="J93" s="53">
        <f>G93*IF(F93="",0,F93)</f>
        <v/>
      </c>
      <c r="K93" s="53">
        <f>I93*IF(F93="",0,F93)*$B$4+H93*IF(F93="",0,F93)*$B$5</f>
        <v/>
      </c>
      <c r="L93" s="52">
        <f>IF(B93="","",IF(F93="","MISSING ALLOCATION",IF(ABS(SUMIFS($F$13:$F$112,$A$13:$A$112,A93,$C$13:$C$112,C93)-1)&gt;0.0001,"REVIEW LOCATION ALLOCATION",IF(G93=0,"NO MSR SALES","OK"))))</f>
        <v/>
      </c>
    </row>
    <row r="94" ht="12.75" customHeight="1" s="126">
      <c r="A94" s="169">
        <f>IF('EVENT ASSIGNMENT'!A83="","",'EVENT ASSIGNMENT'!A83)</f>
        <v/>
      </c>
      <c r="B94" s="52">
        <f>IF('EVENT ASSIGNMENT'!F83="","",'EVENT ASSIGNMENT'!F83)</f>
        <v/>
      </c>
      <c r="C94" s="52">
        <f>IF('EVENT ASSIGNMENT'!C83="","",'EVENT ASSIGNMENT'!C83)</f>
        <v/>
      </c>
      <c r="D94" s="52">
        <f>IF('EVENT ASSIGNMENT'!D83="","",'EVENT ASSIGNMENT'!D83)</f>
        <v/>
      </c>
      <c r="E94" s="52">
        <f>IF('EVENT ASSIGNMENT'!E83="","",'EVENT ASSIGNMENT'!E83)</f>
        <v/>
      </c>
      <c r="F94" s="170">
        <f>IF('EVENT ASSIGNMENT'!G83="","",'EVENT ASSIGNMENT'!G83)</f>
        <v/>
      </c>
      <c r="G94" s="53">
        <f>IF(E94="",0,SUMIFS('MSR DATA'!$I$2:$I$1001,'MSR DATA'!$D$2:$D$1001,E94))</f>
        <v/>
      </c>
      <c r="H94" s="53">
        <f>IF(E94="",0,SUMIFS('MSR DATA'!$I$2:$I$1001,'MSR DATA'!$D$2:$D$1001,E94,'MSR DATA'!$G$2:$G$1001,"ALCOHOL"))</f>
        <v/>
      </c>
      <c r="I94" s="53">
        <f>G94-H94</f>
        <v/>
      </c>
      <c r="J94" s="53">
        <f>G94*IF(F94="",0,F94)</f>
        <v/>
      </c>
      <c r="K94" s="53">
        <f>I94*IF(F94="",0,F94)*$B$4+H94*IF(F94="",0,F94)*$B$5</f>
        <v/>
      </c>
      <c r="L94" s="52">
        <f>IF(B94="","",IF(F94="","MISSING ALLOCATION",IF(ABS(SUMIFS($F$13:$F$112,$A$13:$A$112,A94,$C$13:$C$112,C94)-1)&gt;0.0001,"REVIEW LOCATION ALLOCATION",IF(G94=0,"NO MSR SALES","OK"))))</f>
        <v/>
      </c>
    </row>
    <row r="95" ht="12.75" customHeight="1" s="126">
      <c r="A95" s="169">
        <f>IF('EVENT ASSIGNMENT'!A84="","",'EVENT ASSIGNMENT'!A84)</f>
        <v/>
      </c>
      <c r="B95" s="52">
        <f>IF('EVENT ASSIGNMENT'!F84="","",'EVENT ASSIGNMENT'!F84)</f>
        <v/>
      </c>
      <c r="C95" s="52">
        <f>IF('EVENT ASSIGNMENT'!C84="","",'EVENT ASSIGNMENT'!C84)</f>
        <v/>
      </c>
      <c r="D95" s="52">
        <f>IF('EVENT ASSIGNMENT'!D84="","",'EVENT ASSIGNMENT'!D84)</f>
        <v/>
      </c>
      <c r="E95" s="52">
        <f>IF('EVENT ASSIGNMENT'!E84="","",'EVENT ASSIGNMENT'!E84)</f>
        <v/>
      </c>
      <c r="F95" s="170">
        <f>IF('EVENT ASSIGNMENT'!G84="","",'EVENT ASSIGNMENT'!G84)</f>
        <v/>
      </c>
      <c r="G95" s="53">
        <f>IF(E95="",0,SUMIFS('MSR DATA'!$I$2:$I$1001,'MSR DATA'!$D$2:$D$1001,E95))</f>
        <v/>
      </c>
      <c r="H95" s="53">
        <f>IF(E95="",0,SUMIFS('MSR DATA'!$I$2:$I$1001,'MSR DATA'!$D$2:$D$1001,E95,'MSR DATA'!$G$2:$G$1001,"ALCOHOL"))</f>
        <v/>
      </c>
      <c r="I95" s="53">
        <f>G95-H95</f>
        <v/>
      </c>
      <c r="J95" s="53">
        <f>G95*IF(F95="",0,F95)</f>
        <v/>
      </c>
      <c r="K95" s="53">
        <f>I95*IF(F95="",0,F95)*$B$4+H95*IF(F95="",0,F95)*$B$5</f>
        <v/>
      </c>
      <c r="L95" s="52">
        <f>IF(B95="","",IF(F95="","MISSING ALLOCATION",IF(ABS(SUMIFS($F$13:$F$112,$A$13:$A$112,A95,$C$13:$C$112,C95)-1)&gt;0.0001,"REVIEW LOCATION ALLOCATION",IF(G95=0,"NO MSR SALES","OK"))))</f>
        <v/>
      </c>
    </row>
    <row r="96" ht="12.75" customHeight="1" s="126">
      <c r="A96" s="169">
        <f>IF('EVENT ASSIGNMENT'!A85="","",'EVENT ASSIGNMENT'!A85)</f>
        <v/>
      </c>
      <c r="B96" s="52">
        <f>IF('EVENT ASSIGNMENT'!F85="","",'EVENT ASSIGNMENT'!F85)</f>
        <v/>
      </c>
      <c r="C96" s="52">
        <f>IF('EVENT ASSIGNMENT'!C85="","",'EVENT ASSIGNMENT'!C85)</f>
        <v/>
      </c>
      <c r="D96" s="52">
        <f>IF('EVENT ASSIGNMENT'!D85="","",'EVENT ASSIGNMENT'!D85)</f>
        <v/>
      </c>
      <c r="E96" s="52">
        <f>IF('EVENT ASSIGNMENT'!E85="","",'EVENT ASSIGNMENT'!E85)</f>
        <v/>
      </c>
      <c r="F96" s="170">
        <f>IF('EVENT ASSIGNMENT'!G85="","",'EVENT ASSIGNMENT'!G85)</f>
        <v/>
      </c>
      <c r="G96" s="53">
        <f>IF(E96="",0,SUMIFS('MSR DATA'!$I$2:$I$1001,'MSR DATA'!$D$2:$D$1001,E96))</f>
        <v/>
      </c>
      <c r="H96" s="53">
        <f>IF(E96="",0,SUMIFS('MSR DATA'!$I$2:$I$1001,'MSR DATA'!$D$2:$D$1001,E96,'MSR DATA'!$G$2:$G$1001,"ALCOHOL"))</f>
        <v/>
      </c>
      <c r="I96" s="53">
        <f>G96-H96</f>
        <v/>
      </c>
      <c r="J96" s="53">
        <f>G96*IF(F96="",0,F96)</f>
        <v/>
      </c>
      <c r="K96" s="53">
        <f>I96*IF(F96="",0,F96)*$B$4+H96*IF(F96="",0,F96)*$B$5</f>
        <v/>
      </c>
      <c r="L96" s="52">
        <f>IF(B96="","",IF(F96="","MISSING ALLOCATION",IF(ABS(SUMIFS($F$13:$F$112,$A$13:$A$112,A96,$C$13:$C$112,C96)-1)&gt;0.0001,"REVIEW LOCATION ALLOCATION",IF(G96=0,"NO MSR SALES","OK"))))</f>
        <v/>
      </c>
    </row>
    <row r="97" ht="12.75" customHeight="1" s="126">
      <c r="A97" s="169">
        <f>IF('EVENT ASSIGNMENT'!A86="","",'EVENT ASSIGNMENT'!A86)</f>
        <v/>
      </c>
      <c r="B97" s="52">
        <f>IF('EVENT ASSIGNMENT'!F86="","",'EVENT ASSIGNMENT'!F86)</f>
        <v/>
      </c>
      <c r="C97" s="52">
        <f>IF('EVENT ASSIGNMENT'!C86="","",'EVENT ASSIGNMENT'!C86)</f>
        <v/>
      </c>
      <c r="D97" s="52">
        <f>IF('EVENT ASSIGNMENT'!D86="","",'EVENT ASSIGNMENT'!D86)</f>
        <v/>
      </c>
      <c r="E97" s="52">
        <f>IF('EVENT ASSIGNMENT'!E86="","",'EVENT ASSIGNMENT'!E86)</f>
        <v/>
      </c>
      <c r="F97" s="170">
        <f>IF('EVENT ASSIGNMENT'!G86="","",'EVENT ASSIGNMENT'!G86)</f>
        <v/>
      </c>
      <c r="G97" s="53">
        <f>IF(E97="",0,SUMIFS('MSR DATA'!$I$2:$I$1001,'MSR DATA'!$D$2:$D$1001,E97))</f>
        <v/>
      </c>
      <c r="H97" s="53">
        <f>IF(E97="",0,SUMIFS('MSR DATA'!$I$2:$I$1001,'MSR DATA'!$D$2:$D$1001,E97,'MSR DATA'!$G$2:$G$1001,"ALCOHOL"))</f>
        <v/>
      </c>
      <c r="I97" s="53">
        <f>G97-H97</f>
        <v/>
      </c>
      <c r="J97" s="53">
        <f>G97*IF(F97="",0,F97)</f>
        <v/>
      </c>
      <c r="K97" s="53">
        <f>I97*IF(F97="",0,F97)*$B$4+H97*IF(F97="",0,F97)*$B$5</f>
        <v/>
      </c>
      <c r="L97" s="52">
        <f>IF(B97="","",IF(F97="","MISSING ALLOCATION",IF(ABS(SUMIFS($F$13:$F$112,$A$13:$A$112,A97,$C$13:$C$112,C97)-1)&gt;0.0001,"REVIEW LOCATION ALLOCATION",IF(G97=0,"NO MSR SALES","OK"))))</f>
        <v/>
      </c>
    </row>
    <row r="98" ht="12.75" customHeight="1" s="126">
      <c r="A98" s="169">
        <f>IF('EVENT ASSIGNMENT'!A87="","",'EVENT ASSIGNMENT'!A87)</f>
        <v/>
      </c>
      <c r="B98" s="52">
        <f>IF('EVENT ASSIGNMENT'!F87="","",'EVENT ASSIGNMENT'!F87)</f>
        <v/>
      </c>
      <c r="C98" s="52">
        <f>IF('EVENT ASSIGNMENT'!C87="","",'EVENT ASSIGNMENT'!C87)</f>
        <v/>
      </c>
      <c r="D98" s="52">
        <f>IF('EVENT ASSIGNMENT'!D87="","",'EVENT ASSIGNMENT'!D87)</f>
        <v/>
      </c>
      <c r="E98" s="52">
        <f>IF('EVENT ASSIGNMENT'!E87="","",'EVENT ASSIGNMENT'!E87)</f>
        <v/>
      </c>
      <c r="F98" s="170">
        <f>IF('EVENT ASSIGNMENT'!G87="","",'EVENT ASSIGNMENT'!G87)</f>
        <v/>
      </c>
      <c r="G98" s="53">
        <f>IF(E98="",0,SUMIFS('MSR DATA'!$I$2:$I$1001,'MSR DATA'!$D$2:$D$1001,E98))</f>
        <v/>
      </c>
      <c r="H98" s="53">
        <f>IF(E98="",0,SUMIFS('MSR DATA'!$I$2:$I$1001,'MSR DATA'!$D$2:$D$1001,E98,'MSR DATA'!$G$2:$G$1001,"ALCOHOL"))</f>
        <v/>
      </c>
      <c r="I98" s="53">
        <f>G98-H98</f>
        <v/>
      </c>
      <c r="J98" s="53">
        <f>G98*IF(F98="",0,F98)</f>
        <v/>
      </c>
      <c r="K98" s="53">
        <f>I98*IF(F98="",0,F98)*$B$4+H98*IF(F98="",0,F98)*$B$5</f>
        <v/>
      </c>
      <c r="L98" s="52">
        <f>IF(B98="","",IF(F98="","MISSING ALLOCATION",IF(ABS(SUMIFS($F$13:$F$112,$A$13:$A$112,A98,$C$13:$C$112,C98)-1)&gt;0.0001,"REVIEW LOCATION ALLOCATION",IF(G98=0,"NO MSR SALES","OK"))))</f>
        <v/>
      </c>
    </row>
    <row r="99" ht="12.75" customHeight="1" s="126">
      <c r="A99" s="169">
        <f>IF('EVENT ASSIGNMENT'!A88="","",'EVENT ASSIGNMENT'!A88)</f>
        <v/>
      </c>
      <c r="B99" s="52">
        <f>IF('EVENT ASSIGNMENT'!F88="","",'EVENT ASSIGNMENT'!F88)</f>
        <v/>
      </c>
      <c r="C99" s="52">
        <f>IF('EVENT ASSIGNMENT'!C88="","",'EVENT ASSIGNMENT'!C88)</f>
        <v/>
      </c>
      <c r="D99" s="52">
        <f>IF('EVENT ASSIGNMENT'!D88="","",'EVENT ASSIGNMENT'!D88)</f>
        <v/>
      </c>
      <c r="E99" s="52">
        <f>IF('EVENT ASSIGNMENT'!E88="","",'EVENT ASSIGNMENT'!E88)</f>
        <v/>
      </c>
      <c r="F99" s="170">
        <f>IF('EVENT ASSIGNMENT'!G88="","",'EVENT ASSIGNMENT'!G88)</f>
        <v/>
      </c>
      <c r="G99" s="53">
        <f>IF(E99="",0,SUMIFS('MSR DATA'!$I$2:$I$1001,'MSR DATA'!$D$2:$D$1001,E99))</f>
        <v/>
      </c>
      <c r="H99" s="53">
        <f>IF(E99="",0,SUMIFS('MSR DATA'!$I$2:$I$1001,'MSR DATA'!$D$2:$D$1001,E99,'MSR DATA'!$G$2:$G$1001,"ALCOHOL"))</f>
        <v/>
      </c>
      <c r="I99" s="53">
        <f>G99-H99</f>
        <v/>
      </c>
      <c r="J99" s="53">
        <f>G99*IF(F99="",0,F99)</f>
        <v/>
      </c>
      <c r="K99" s="53">
        <f>I99*IF(F99="",0,F99)*$B$4+H99*IF(F99="",0,F99)*$B$5</f>
        <v/>
      </c>
      <c r="L99" s="52">
        <f>IF(B99="","",IF(F99="","MISSING ALLOCATION",IF(ABS(SUMIFS($F$13:$F$112,$A$13:$A$112,A99,$C$13:$C$112,C99)-1)&gt;0.0001,"REVIEW LOCATION ALLOCATION",IF(G99=0,"NO MSR SALES","OK"))))</f>
        <v/>
      </c>
    </row>
    <row r="100" ht="12.75" customHeight="1" s="126">
      <c r="A100" s="169">
        <f>IF('EVENT ASSIGNMENT'!A89="","",'EVENT ASSIGNMENT'!A89)</f>
        <v/>
      </c>
      <c r="B100" s="52">
        <f>IF('EVENT ASSIGNMENT'!F89="","",'EVENT ASSIGNMENT'!F89)</f>
        <v/>
      </c>
      <c r="C100" s="52">
        <f>IF('EVENT ASSIGNMENT'!C89="","",'EVENT ASSIGNMENT'!C89)</f>
        <v/>
      </c>
      <c r="D100" s="52">
        <f>IF('EVENT ASSIGNMENT'!D89="","",'EVENT ASSIGNMENT'!D89)</f>
        <v/>
      </c>
      <c r="E100" s="52">
        <f>IF('EVENT ASSIGNMENT'!E89="","",'EVENT ASSIGNMENT'!E89)</f>
        <v/>
      </c>
      <c r="F100" s="170">
        <f>IF('EVENT ASSIGNMENT'!G89="","",'EVENT ASSIGNMENT'!G89)</f>
        <v/>
      </c>
      <c r="G100" s="53">
        <f>IF(E100="",0,SUMIFS('MSR DATA'!$I$2:$I$1001,'MSR DATA'!$D$2:$D$1001,E100))</f>
        <v/>
      </c>
      <c r="H100" s="53">
        <f>IF(E100="",0,SUMIFS('MSR DATA'!$I$2:$I$1001,'MSR DATA'!$D$2:$D$1001,E100,'MSR DATA'!$G$2:$G$1001,"ALCOHOL"))</f>
        <v/>
      </c>
      <c r="I100" s="53">
        <f>G100-H100</f>
        <v/>
      </c>
      <c r="J100" s="53">
        <f>G100*IF(F100="",0,F100)</f>
        <v/>
      </c>
      <c r="K100" s="53">
        <f>I100*IF(F100="",0,F100)*$B$4+H100*IF(F100="",0,F100)*$B$5</f>
        <v/>
      </c>
      <c r="L100" s="52">
        <f>IF(B100="","",IF(F100="","MISSING ALLOCATION",IF(ABS(SUMIFS($F$13:$F$112,$A$13:$A$112,A100,$C$13:$C$112,C100)-1)&gt;0.0001,"REVIEW LOCATION ALLOCATION",IF(G100=0,"NO MSR SALES","OK"))))</f>
        <v/>
      </c>
    </row>
    <row r="101" ht="12.75" customHeight="1" s="126">
      <c r="A101" s="169">
        <f>IF('EVENT ASSIGNMENT'!A90="","",'EVENT ASSIGNMENT'!A90)</f>
        <v/>
      </c>
      <c r="B101" s="52">
        <f>IF('EVENT ASSIGNMENT'!F90="","",'EVENT ASSIGNMENT'!F90)</f>
        <v/>
      </c>
      <c r="C101" s="52">
        <f>IF('EVENT ASSIGNMENT'!C90="","",'EVENT ASSIGNMENT'!C90)</f>
        <v/>
      </c>
      <c r="D101" s="52">
        <f>IF('EVENT ASSIGNMENT'!D90="","",'EVENT ASSIGNMENT'!D90)</f>
        <v/>
      </c>
      <c r="E101" s="52">
        <f>IF('EVENT ASSIGNMENT'!E90="","",'EVENT ASSIGNMENT'!E90)</f>
        <v/>
      </c>
      <c r="F101" s="170">
        <f>IF('EVENT ASSIGNMENT'!G90="","",'EVENT ASSIGNMENT'!G90)</f>
        <v/>
      </c>
      <c r="G101" s="53">
        <f>IF(E101="",0,SUMIFS('MSR DATA'!$I$2:$I$1001,'MSR DATA'!$D$2:$D$1001,E101))</f>
        <v/>
      </c>
      <c r="H101" s="53">
        <f>IF(E101="",0,SUMIFS('MSR DATA'!$I$2:$I$1001,'MSR DATA'!$D$2:$D$1001,E101,'MSR DATA'!$G$2:$G$1001,"ALCOHOL"))</f>
        <v/>
      </c>
      <c r="I101" s="53">
        <f>G101-H101</f>
        <v/>
      </c>
      <c r="J101" s="53">
        <f>G101*IF(F101="",0,F101)</f>
        <v/>
      </c>
      <c r="K101" s="53">
        <f>I101*IF(F101="",0,F101)*$B$4+H101*IF(F101="",0,F101)*$B$5</f>
        <v/>
      </c>
      <c r="L101" s="52">
        <f>IF(B101="","",IF(F101="","MISSING ALLOCATION",IF(ABS(SUMIFS($F$13:$F$112,$A$13:$A$112,A101,$C$13:$C$112,C101)-1)&gt;0.0001,"REVIEW LOCATION ALLOCATION",IF(G101=0,"NO MSR SALES","OK"))))</f>
        <v/>
      </c>
    </row>
    <row r="102" ht="12.75" customHeight="1" s="126">
      <c r="A102" s="169">
        <f>IF('EVENT ASSIGNMENT'!A91="","",'EVENT ASSIGNMENT'!A91)</f>
        <v/>
      </c>
      <c r="B102" s="52">
        <f>IF('EVENT ASSIGNMENT'!F91="","",'EVENT ASSIGNMENT'!F91)</f>
        <v/>
      </c>
      <c r="C102" s="52">
        <f>IF('EVENT ASSIGNMENT'!C91="","",'EVENT ASSIGNMENT'!C91)</f>
        <v/>
      </c>
      <c r="D102" s="52">
        <f>IF('EVENT ASSIGNMENT'!D91="","",'EVENT ASSIGNMENT'!D91)</f>
        <v/>
      </c>
      <c r="E102" s="52">
        <f>IF('EVENT ASSIGNMENT'!E91="","",'EVENT ASSIGNMENT'!E91)</f>
        <v/>
      </c>
      <c r="F102" s="170">
        <f>IF('EVENT ASSIGNMENT'!G91="","",'EVENT ASSIGNMENT'!G91)</f>
        <v/>
      </c>
      <c r="G102" s="53">
        <f>IF(E102="",0,SUMIFS('MSR DATA'!$I$2:$I$1001,'MSR DATA'!$D$2:$D$1001,E102))</f>
        <v/>
      </c>
      <c r="H102" s="53">
        <f>IF(E102="",0,SUMIFS('MSR DATA'!$I$2:$I$1001,'MSR DATA'!$D$2:$D$1001,E102,'MSR DATA'!$G$2:$G$1001,"ALCOHOL"))</f>
        <v/>
      </c>
      <c r="I102" s="53">
        <f>G102-H102</f>
        <v/>
      </c>
      <c r="J102" s="53">
        <f>G102*IF(F102="",0,F102)</f>
        <v/>
      </c>
      <c r="K102" s="53">
        <f>I102*IF(F102="",0,F102)*$B$4+H102*IF(F102="",0,F102)*$B$5</f>
        <v/>
      </c>
      <c r="L102" s="52">
        <f>IF(B102="","",IF(F102="","MISSING ALLOCATION",IF(ABS(SUMIFS($F$13:$F$112,$A$13:$A$112,A102,$C$13:$C$112,C102)-1)&gt;0.0001,"REVIEW LOCATION ALLOCATION",IF(G102=0,"NO MSR SALES","OK"))))</f>
        <v/>
      </c>
    </row>
    <row r="103" ht="12.75" customHeight="1" s="126">
      <c r="A103" s="169">
        <f>IF('EVENT ASSIGNMENT'!A92="","",'EVENT ASSIGNMENT'!A92)</f>
        <v/>
      </c>
      <c r="B103" s="52">
        <f>IF('EVENT ASSIGNMENT'!F92="","",'EVENT ASSIGNMENT'!F92)</f>
        <v/>
      </c>
      <c r="C103" s="52">
        <f>IF('EVENT ASSIGNMENT'!C92="","",'EVENT ASSIGNMENT'!C92)</f>
        <v/>
      </c>
      <c r="D103" s="52">
        <f>IF('EVENT ASSIGNMENT'!D92="","",'EVENT ASSIGNMENT'!D92)</f>
        <v/>
      </c>
      <c r="E103" s="52">
        <f>IF('EVENT ASSIGNMENT'!E92="","",'EVENT ASSIGNMENT'!E92)</f>
        <v/>
      </c>
      <c r="F103" s="170">
        <f>IF('EVENT ASSIGNMENT'!G92="","",'EVENT ASSIGNMENT'!G92)</f>
        <v/>
      </c>
      <c r="G103" s="53">
        <f>IF(E103="",0,SUMIFS('MSR DATA'!$I$2:$I$1001,'MSR DATA'!$D$2:$D$1001,E103))</f>
        <v/>
      </c>
      <c r="H103" s="53">
        <f>IF(E103="",0,SUMIFS('MSR DATA'!$I$2:$I$1001,'MSR DATA'!$D$2:$D$1001,E103,'MSR DATA'!$G$2:$G$1001,"ALCOHOL"))</f>
        <v/>
      </c>
      <c r="I103" s="53">
        <f>G103-H103</f>
        <v/>
      </c>
      <c r="J103" s="53">
        <f>G103*IF(F103="",0,F103)</f>
        <v/>
      </c>
      <c r="K103" s="53">
        <f>I103*IF(F103="",0,F103)*$B$4+H103*IF(F103="",0,F103)*$B$5</f>
        <v/>
      </c>
      <c r="L103" s="52">
        <f>IF(B103="","",IF(F103="","MISSING ALLOCATION",IF(ABS(SUMIFS($F$13:$F$112,$A$13:$A$112,A103,$C$13:$C$112,C103)-1)&gt;0.0001,"REVIEW LOCATION ALLOCATION",IF(G103=0,"NO MSR SALES","OK"))))</f>
        <v/>
      </c>
    </row>
    <row r="104" ht="12.75" customHeight="1" s="126">
      <c r="A104" s="169">
        <f>IF('EVENT ASSIGNMENT'!A93="","",'EVENT ASSIGNMENT'!A93)</f>
        <v/>
      </c>
      <c r="B104" s="52">
        <f>IF('EVENT ASSIGNMENT'!F93="","",'EVENT ASSIGNMENT'!F93)</f>
        <v/>
      </c>
      <c r="C104" s="52">
        <f>IF('EVENT ASSIGNMENT'!C93="","",'EVENT ASSIGNMENT'!C93)</f>
        <v/>
      </c>
      <c r="D104" s="52">
        <f>IF('EVENT ASSIGNMENT'!D93="","",'EVENT ASSIGNMENT'!D93)</f>
        <v/>
      </c>
      <c r="E104" s="52">
        <f>IF('EVENT ASSIGNMENT'!E93="","",'EVENT ASSIGNMENT'!E93)</f>
        <v/>
      </c>
      <c r="F104" s="170">
        <f>IF('EVENT ASSIGNMENT'!G93="","",'EVENT ASSIGNMENT'!G93)</f>
        <v/>
      </c>
      <c r="G104" s="53">
        <f>IF(E104="",0,SUMIFS('MSR DATA'!$I$2:$I$1001,'MSR DATA'!$D$2:$D$1001,E104))</f>
        <v/>
      </c>
      <c r="H104" s="53">
        <f>IF(E104="",0,SUMIFS('MSR DATA'!$I$2:$I$1001,'MSR DATA'!$D$2:$D$1001,E104,'MSR DATA'!$G$2:$G$1001,"ALCOHOL"))</f>
        <v/>
      </c>
      <c r="I104" s="53">
        <f>G104-H104</f>
        <v/>
      </c>
      <c r="J104" s="53">
        <f>G104*IF(F104="",0,F104)</f>
        <v/>
      </c>
      <c r="K104" s="53">
        <f>I104*IF(F104="",0,F104)*$B$4+H104*IF(F104="",0,F104)*$B$5</f>
        <v/>
      </c>
      <c r="L104" s="52">
        <f>IF(B104="","",IF(F104="","MISSING ALLOCATION",IF(ABS(SUMIFS($F$13:$F$112,$A$13:$A$112,A104,$C$13:$C$112,C104)-1)&gt;0.0001,"REVIEW LOCATION ALLOCATION",IF(G104=0,"NO MSR SALES","OK"))))</f>
        <v/>
      </c>
    </row>
    <row r="105" ht="12.75" customHeight="1" s="126">
      <c r="A105" s="169">
        <f>IF('EVENT ASSIGNMENT'!A94="","",'EVENT ASSIGNMENT'!A94)</f>
        <v/>
      </c>
      <c r="B105" s="52">
        <f>IF('EVENT ASSIGNMENT'!F94="","",'EVENT ASSIGNMENT'!F94)</f>
        <v/>
      </c>
      <c r="C105" s="52">
        <f>IF('EVENT ASSIGNMENT'!C94="","",'EVENT ASSIGNMENT'!C94)</f>
        <v/>
      </c>
      <c r="D105" s="52">
        <f>IF('EVENT ASSIGNMENT'!D94="","",'EVENT ASSIGNMENT'!D94)</f>
        <v/>
      </c>
      <c r="E105" s="52">
        <f>IF('EVENT ASSIGNMENT'!E94="","",'EVENT ASSIGNMENT'!E94)</f>
        <v/>
      </c>
      <c r="F105" s="170">
        <f>IF('EVENT ASSIGNMENT'!G94="","",'EVENT ASSIGNMENT'!G94)</f>
        <v/>
      </c>
      <c r="G105" s="53">
        <f>IF(E105="",0,SUMIFS('MSR DATA'!$I$2:$I$1001,'MSR DATA'!$D$2:$D$1001,E105))</f>
        <v/>
      </c>
      <c r="H105" s="53">
        <f>IF(E105="",0,SUMIFS('MSR DATA'!$I$2:$I$1001,'MSR DATA'!$D$2:$D$1001,E105,'MSR DATA'!$G$2:$G$1001,"ALCOHOL"))</f>
        <v/>
      </c>
      <c r="I105" s="53">
        <f>G105-H105</f>
        <v/>
      </c>
      <c r="J105" s="53">
        <f>G105*IF(F105="",0,F105)</f>
        <v/>
      </c>
      <c r="K105" s="53">
        <f>I105*IF(F105="",0,F105)*$B$4+H105*IF(F105="",0,F105)*$B$5</f>
        <v/>
      </c>
      <c r="L105" s="52">
        <f>IF(B105="","",IF(F105="","MISSING ALLOCATION",IF(ABS(SUMIFS($F$13:$F$112,$A$13:$A$112,A105,$C$13:$C$112,C105)-1)&gt;0.0001,"REVIEW LOCATION ALLOCATION",IF(G105=0,"NO MSR SALES","OK"))))</f>
        <v/>
      </c>
    </row>
    <row r="106" ht="12.75" customHeight="1" s="126">
      <c r="A106" s="169">
        <f>IF('EVENT ASSIGNMENT'!A95="","",'EVENT ASSIGNMENT'!A95)</f>
        <v/>
      </c>
      <c r="B106" s="52">
        <f>IF('EVENT ASSIGNMENT'!F95="","",'EVENT ASSIGNMENT'!F95)</f>
        <v/>
      </c>
      <c r="C106" s="52">
        <f>IF('EVENT ASSIGNMENT'!C95="","",'EVENT ASSIGNMENT'!C95)</f>
        <v/>
      </c>
      <c r="D106" s="52">
        <f>IF('EVENT ASSIGNMENT'!D95="","",'EVENT ASSIGNMENT'!D95)</f>
        <v/>
      </c>
      <c r="E106" s="52">
        <f>IF('EVENT ASSIGNMENT'!E95="","",'EVENT ASSIGNMENT'!E95)</f>
        <v/>
      </c>
      <c r="F106" s="170">
        <f>IF('EVENT ASSIGNMENT'!G95="","",'EVENT ASSIGNMENT'!G95)</f>
        <v/>
      </c>
      <c r="G106" s="53">
        <f>IF(E106="",0,SUMIFS('MSR DATA'!$I$2:$I$1001,'MSR DATA'!$D$2:$D$1001,E106))</f>
        <v/>
      </c>
      <c r="H106" s="53">
        <f>IF(E106="",0,SUMIFS('MSR DATA'!$I$2:$I$1001,'MSR DATA'!$D$2:$D$1001,E106,'MSR DATA'!$G$2:$G$1001,"ALCOHOL"))</f>
        <v/>
      </c>
      <c r="I106" s="53">
        <f>G106-H106</f>
        <v/>
      </c>
      <c r="J106" s="53">
        <f>G106*IF(F106="",0,F106)</f>
        <v/>
      </c>
      <c r="K106" s="53">
        <f>I106*IF(F106="",0,F106)*$B$4+H106*IF(F106="",0,F106)*$B$5</f>
        <v/>
      </c>
      <c r="L106" s="52">
        <f>IF(B106="","",IF(F106="","MISSING ALLOCATION",IF(ABS(SUMIFS($F$13:$F$112,$A$13:$A$112,A106,$C$13:$C$112,C106)-1)&gt;0.0001,"REVIEW LOCATION ALLOCATION",IF(G106=0,"NO MSR SALES","OK"))))</f>
        <v/>
      </c>
    </row>
    <row r="107" ht="12.75" customHeight="1" s="126">
      <c r="A107" s="169">
        <f>IF('EVENT ASSIGNMENT'!A96="","",'EVENT ASSIGNMENT'!A96)</f>
        <v/>
      </c>
      <c r="B107" s="52">
        <f>IF('EVENT ASSIGNMENT'!F96="","",'EVENT ASSIGNMENT'!F96)</f>
        <v/>
      </c>
      <c r="C107" s="52">
        <f>IF('EVENT ASSIGNMENT'!C96="","",'EVENT ASSIGNMENT'!C96)</f>
        <v/>
      </c>
      <c r="D107" s="52">
        <f>IF('EVENT ASSIGNMENT'!D96="","",'EVENT ASSIGNMENT'!D96)</f>
        <v/>
      </c>
      <c r="E107" s="52">
        <f>IF('EVENT ASSIGNMENT'!E96="","",'EVENT ASSIGNMENT'!E96)</f>
        <v/>
      </c>
      <c r="F107" s="170">
        <f>IF('EVENT ASSIGNMENT'!G96="","",'EVENT ASSIGNMENT'!G96)</f>
        <v/>
      </c>
      <c r="G107" s="53">
        <f>IF(E107="",0,SUMIFS('MSR DATA'!$I$2:$I$1001,'MSR DATA'!$D$2:$D$1001,E107))</f>
        <v/>
      </c>
      <c r="H107" s="53">
        <f>IF(E107="",0,SUMIFS('MSR DATA'!$I$2:$I$1001,'MSR DATA'!$D$2:$D$1001,E107,'MSR DATA'!$G$2:$G$1001,"ALCOHOL"))</f>
        <v/>
      </c>
      <c r="I107" s="53">
        <f>G107-H107</f>
        <v/>
      </c>
      <c r="J107" s="53">
        <f>G107*IF(F107="",0,F107)</f>
        <v/>
      </c>
      <c r="K107" s="53">
        <f>I107*IF(F107="",0,F107)*$B$4+H107*IF(F107="",0,F107)*$B$5</f>
        <v/>
      </c>
      <c r="L107" s="52">
        <f>IF(B107="","",IF(F107="","MISSING ALLOCATION",IF(ABS(SUMIFS($F$13:$F$112,$A$13:$A$112,A107,$C$13:$C$112,C107)-1)&gt;0.0001,"REVIEW LOCATION ALLOCATION",IF(G107=0,"NO MSR SALES","OK"))))</f>
        <v/>
      </c>
    </row>
    <row r="108" ht="12.75" customHeight="1" s="126">
      <c r="A108" s="169">
        <f>IF('EVENT ASSIGNMENT'!A97="","",'EVENT ASSIGNMENT'!A97)</f>
        <v/>
      </c>
      <c r="B108" s="52">
        <f>IF('EVENT ASSIGNMENT'!F97="","",'EVENT ASSIGNMENT'!F97)</f>
        <v/>
      </c>
      <c r="C108" s="52">
        <f>IF('EVENT ASSIGNMENT'!C97="","",'EVENT ASSIGNMENT'!C97)</f>
        <v/>
      </c>
      <c r="D108" s="52">
        <f>IF('EVENT ASSIGNMENT'!D97="","",'EVENT ASSIGNMENT'!D97)</f>
        <v/>
      </c>
      <c r="E108" s="52">
        <f>IF('EVENT ASSIGNMENT'!E97="","",'EVENT ASSIGNMENT'!E97)</f>
        <v/>
      </c>
      <c r="F108" s="170">
        <f>IF('EVENT ASSIGNMENT'!G97="","",'EVENT ASSIGNMENT'!G97)</f>
        <v/>
      </c>
      <c r="G108" s="53">
        <f>IF(E108="",0,SUMIFS('MSR DATA'!$I$2:$I$1001,'MSR DATA'!$D$2:$D$1001,E108))</f>
        <v/>
      </c>
      <c r="H108" s="53">
        <f>IF(E108="",0,SUMIFS('MSR DATA'!$I$2:$I$1001,'MSR DATA'!$D$2:$D$1001,E108,'MSR DATA'!$G$2:$G$1001,"ALCOHOL"))</f>
        <v/>
      </c>
      <c r="I108" s="53">
        <f>G108-H108</f>
        <v/>
      </c>
      <c r="J108" s="53">
        <f>G108*IF(F108="",0,F108)</f>
        <v/>
      </c>
      <c r="K108" s="53">
        <f>I108*IF(F108="",0,F108)*$B$4+H108*IF(F108="",0,F108)*$B$5</f>
        <v/>
      </c>
      <c r="L108" s="52">
        <f>IF(B108="","",IF(F108="","MISSING ALLOCATION",IF(ABS(SUMIFS($F$13:$F$112,$A$13:$A$112,A108,$C$13:$C$112,C108)-1)&gt;0.0001,"REVIEW LOCATION ALLOCATION",IF(G108=0,"NO MSR SALES","OK"))))</f>
        <v/>
      </c>
    </row>
    <row r="109" ht="12.75" customHeight="1" s="126">
      <c r="A109" s="169">
        <f>IF('EVENT ASSIGNMENT'!A98="","",'EVENT ASSIGNMENT'!A98)</f>
        <v/>
      </c>
      <c r="B109" s="52">
        <f>IF('EVENT ASSIGNMENT'!F98="","",'EVENT ASSIGNMENT'!F98)</f>
        <v/>
      </c>
      <c r="C109" s="52">
        <f>IF('EVENT ASSIGNMENT'!C98="","",'EVENT ASSIGNMENT'!C98)</f>
        <v/>
      </c>
      <c r="D109" s="52">
        <f>IF('EVENT ASSIGNMENT'!D98="","",'EVENT ASSIGNMENT'!D98)</f>
        <v/>
      </c>
      <c r="E109" s="52">
        <f>IF('EVENT ASSIGNMENT'!E98="","",'EVENT ASSIGNMENT'!E98)</f>
        <v/>
      </c>
      <c r="F109" s="170">
        <f>IF('EVENT ASSIGNMENT'!G98="","",'EVENT ASSIGNMENT'!G98)</f>
        <v/>
      </c>
      <c r="G109" s="53">
        <f>IF(E109="",0,SUMIFS('MSR DATA'!$I$2:$I$1001,'MSR DATA'!$D$2:$D$1001,E109))</f>
        <v/>
      </c>
      <c r="H109" s="53">
        <f>IF(E109="",0,SUMIFS('MSR DATA'!$I$2:$I$1001,'MSR DATA'!$D$2:$D$1001,E109,'MSR DATA'!$G$2:$G$1001,"ALCOHOL"))</f>
        <v/>
      </c>
      <c r="I109" s="53">
        <f>G109-H109</f>
        <v/>
      </c>
      <c r="J109" s="53">
        <f>G109*IF(F109="",0,F109)</f>
        <v/>
      </c>
      <c r="K109" s="53">
        <f>I109*IF(F109="",0,F109)*$B$4+H109*IF(F109="",0,F109)*$B$5</f>
        <v/>
      </c>
      <c r="L109" s="52">
        <f>IF(B109="","",IF(F109="","MISSING ALLOCATION",IF(ABS(SUMIFS($F$13:$F$112,$A$13:$A$112,A109,$C$13:$C$112,C109)-1)&gt;0.0001,"REVIEW LOCATION ALLOCATION",IF(G109=0,"NO MSR SALES","OK"))))</f>
        <v/>
      </c>
    </row>
    <row r="110" ht="12.75" customHeight="1" s="126">
      <c r="A110" s="169">
        <f>IF('EVENT ASSIGNMENT'!A99="","",'EVENT ASSIGNMENT'!A99)</f>
        <v/>
      </c>
      <c r="B110" s="52">
        <f>IF('EVENT ASSIGNMENT'!F99="","",'EVENT ASSIGNMENT'!F99)</f>
        <v/>
      </c>
      <c r="C110" s="52">
        <f>IF('EVENT ASSIGNMENT'!C99="","",'EVENT ASSIGNMENT'!C99)</f>
        <v/>
      </c>
      <c r="D110" s="52">
        <f>IF('EVENT ASSIGNMENT'!D99="","",'EVENT ASSIGNMENT'!D99)</f>
        <v/>
      </c>
      <c r="E110" s="52">
        <f>IF('EVENT ASSIGNMENT'!E99="","",'EVENT ASSIGNMENT'!E99)</f>
        <v/>
      </c>
      <c r="F110" s="170">
        <f>IF('EVENT ASSIGNMENT'!G99="","",'EVENT ASSIGNMENT'!G99)</f>
        <v/>
      </c>
      <c r="G110" s="53">
        <f>IF(E110="",0,SUMIFS('MSR DATA'!$I$2:$I$1001,'MSR DATA'!$D$2:$D$1001,E110))</f>
        <v/>
      </c>
      <c r="H110" s="53">
        <f>IF(E110="",0,SUMIFS('MSR DATA'!$I$2:$I$1001,'MSR DATA'!$D$2:$D$1001,E110,'MSR DATA'!$G$2:$G$1001,"ALCOHOL"))</f>
        <v/>
      </c>
      <c r="I110" s="53">
        <f>G110-H110</f>
        <v/>
      </c>
      <c r="J110" s="53">
        <f>G110*IF(F110="",0,F110)</f>
        <v/>
      </c>
      <c r="K110" s="53">
        <f>I110*IF(F110="",0,F110)*$B$4+H110*IF(F110="",0,F110)*$B$5</f>
        <v/>
      </c>
      <c r="L110" s="52">
        <f>IF(B110="","",IF(F110="","MISSING ALLOCATION",IF(ABS(SUMIFS($F$13:$F$112,$A$13:$A$112,A110,$C$13:$C$112,C110)-1)&gt;0.0001,"REVIEW LOCATION ALLOCATION",IF(G110=0,"NO MSR SALES","OK"))))</f>
        <v/>
      </c>
    </row>
    <row r="111" ht="12.75" customHeight="1" s="126">
      <c r="A111" s="169">
        <f>IF('EVENT ASSIGNMENT'!A100="","",'EVENT ASSIGNMENT'!A100)</f>
        <v/>
      </c>
      <c r="B111" s="52">
        <f>IF('EVENT ASSIGNMENT'!F100="","",'EVENT ASSIGNMENT'!F100)</f>
        <v/>
      </c>
      <c r="C111" s="52">
        <f>IF('EVENT ASSIGNMENT'!C100="","",'EVENT ASSIGNMENT'!C100)</f>
        <v/>
      </c>
      <c r="D111" s="52">
        <f>IF('EVENT ASSIGNMENT'!D100="","",'EVENT ASSIGNMENT'!D100)</f>
        <v/>
      </c>
      <c r="E111" s="52">
        <f>IF('EVENT ASSIGNMENT'!E100="","",'EVENT ASSIGNMENT'!E100)</f>
        <v/>
      </c>
      <c r="F111" s="170">
        <f>IF('EVENT ASSIGNMENT'!G100="","",'EVENT ASSIGNMENT'!G100)</f>
        <v/>
      </c>
      <c r="G111" s="53">
        <f>IF(E111="",0,SUMIFS('MSR DATA'!$I$2:$I$1001,'MSR DATA'!$D$2:$D$1001,E111))</f>
        <v/>
      </c>
      <c r="H111" s="53">
        <f>IF(E111="",0,SUMIFS('MSR DATA'!$I$2:$I$1001,'MSR DATA'!$D$2:$D$1001,E111,'MSR DATA'!$G$2:$G$1001,"ALCOHOL"))</f>
        <v/>
      </c>
      <c r="I111" s="53">
        <f>G111-H111</f>
        <v/>
      </c>
      <c r="J111" s="53">
        <f>G111*IF(F111="",0,F111)</f>
        <v/>
      </c>
      <c r="K111" s="53">
        <f>I111*IF(F111="",0,F111)*$B$4+H111*IF(F111="",0,F111)*$B$5</f>
        <v/>
      </c>
      <c r="L111" s="52">
        <f>IF(B111="","",IF(F111="","MISSING ALLOCATION",IF(ABS(SUMIFS($F$13:$F$112,$A$13:$A$112,A111,$C$13:$C$112,C111)-1)&gt;0.0001,"REVIEW LOCATION ALLOCATION",IF(G111=0,"NO MSR SALES","OK"))))</f>
        <v/>
      </c>
    </row>
    <row r="112" ht="12.75" customHeight="1" s="126">
      <c r="A112" s="169">
        <f>IF('EVENT ASSIGNMENT'!A101="","",'EVENT ASSIGNMENT'!A101)</f>
        <v/>
      </c>
      <c r="B112" s="52">
        <f>IF('EVENT ASSIGNMENT'!F101="","",'EVENT ASSIGNMENT'!F101)</f>
        <v/>
      </c>
      <c r="C112" s="52">
        <f>IF('EVENT ASSIGNMENT'!C101="","",'EVENT ASSIGNMENT'!C101)</f>
        <v/>
      </c>
      <c r="D112" s="52">
        <f>IF('EVENT ASSIGNMENT'!D101="","",'EVENT ASSIGNMENT'!D101)</f>
        <v/>
      </c>
      <c r="E112" s="52">
        <f>IF('EVENT ASSIGNMENT'!E101="","",'EVENT ASSIGNMENT'!E101)</f>
        <v/>
      </c>
      <c r="F112" s="170">
        <f>IF('EVENT ASSIGNMENT'!G101="","",'EVENT ASSIGNMENT'!G101)</f>
        <v/>
      </c>
      <c r="G112" s="53">
        <f>IF(E112="",0,SUMIFS('MSR DATA'!$I$2:$I$1001,'MSR DATA'!$D$2:$D$1001,E112))</f>
        <v/>
      </c>
      <c r="H112" s="53">
        <f>IF(E112="",0,SUMIFS('MSR DATA'!$I$2:$I$1001,'MSR DATA'!$D$2:$D$1001,E112,'MSR DATA'!$G$2:$G$1001,"ALCOHOL"))</f>
        <v/>
      </c>
      <c r="I112" s="53">
        <f>G112-H112</f>
        <v/>
      </c>
      <c r="J112" s="53">
        <f>G112*IF(F112="",0,F112)</f>
        <v/>
      </c>
      <c r="K112" s="53">
        <f>I112*IF(F112="",0,F112)*$B$4+H112*IF(F112="",0,F112)*$B$5</f>
        <v/>
      </c>
      <c r="L112" s="52">
        <f>IF(B112="","",IF(F112="","MISSING ALLOCATION",IF(ABS(SUMIFS($F$13:$F$112,$A$13:$A$112,A112,$C$13:$C$112,C112)-1)&gt;0.0001,"REVIEW LOCATION ALLOCATION",IF(G112=0,"NO MSR SALES","OK"))))</f>
        <v/>
      </c>
    </row>
    <row r="113" ht="12.75" customHeight="1" s="126">
      <c r="A113" s="60" t="n"/>
      <c r="B113" s="60" t="inlineStr">
        <is>
          <t>TOTAL</t>
        </is>
      </c>
      <c r="C113" s="60" t="n"/>
      <c r="D113" s="60" t="n"/>
      <c r="E113" s="60" t="n"/>
      <c r="F113" s="60" t="n"/>
      <c r="G113" s="61">
        <f>SUM(G13:G112)</f>
        <v/>
      </c>
      <c r="H113" s="61">
        <f>SUM(H13:H112)</f>
        <v/>
      </c>
      <c r="I113" s="61">
        <f>SUM(I13:I112)</f>
        <v/>
      </c>
      <c r="J113" s="61">
        <f>SUM(J13:J112)</f>
        <v/>
      </c>
      <c r="K113" s="61">
        <f>SUM(K13:K112)</f>
        <v/>
      </c>
      <c r="L113" s="60" t="n"/>
    </row>
  </sheetData>
  <autoFilter ref="A12:L112"/>
  <mergeCells count="2">
    <mergeCell ref="A2:L2"/>
    <mergeCell ref="A1:L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D17" sqref="D17"/>
    </sheetView>
  </sheetViews>
  <sheetFormatPr baseColWidth="8" defaultRowHeight="12.75"/>
  <cols>
    <col width="14" customWidth="1" style="126" min="1" max="1"/>
    <col width="24" customWidth="1" style="126" min="2" max="2"/>
    <col width="14" customWidth="1" style="126" min="3" max="3"/>
    <col width="32" customWidth="1" style="126" min="4" max="4"/>
    <col width="38" customWidth="1" style="126" min="5" max="5"/>
    <col width="20" customWidth="1" style="126" min="6" max="6"/>
    <col width="14" customWidth="1" style="126" min="7" max="7"/>
    <col width="20" customWidth="1" style="126" min="8" max="8"/>
    <col width="42" customWidth="1" style="126" min="9" max="9"/>
  </cols>
  <sheetData>
    <row r="1" ht="13.5" customHeight="1" s="126">
      <c r="A1" s="38" t="inlineStr">
        <is>
          <t>Event Date</t>
        </is>
      </c>
      <c r="B1" s="38" t="inlineStr">
        <is>
          <t>Event Description</t>
        </is>
      </c>
      <c r="C1" s="38" t="inlineStr">
        <is>
          <t>Location ID</t>
        </is>
      </c>
      <c r="D1" s="38" t="inlineStr">
        <is>
          <t>Location Description</t>
        </is>
      </c>
      <c r="E1" s="38" t="inlineStr">
        <is>
          <t>MSR Location</t>
        </is>
      </c>
      <c r="F1" s="38" t="inlineStr">
        <is>
          <t>NPO</t>
        </is>
      </c>
      <c r="G1" s="38" t="inlineStr">
        <is>
          <t>Allocation %</t>
        </is>
      </c>
      <c r="H1" s="38" t="inlineStr">
        <is>
          <t>Assignment Status</t>
        </is>
      </c>
      <c r="I1" s="38" t="inlineStr">
        <is>
          <t>Notes</t>
        </is>
      </c>
      <c r="J1" s="87" t="inlineStr">
        <is>
          <t>Payee Seq</t>
        </is>
      </c>
      <c r="K1" s="87" t="inlineStr">
        <is>
          <t>Payout Lookup Key</t>
        </is>
      </c>
    </row>
    <row r="2" ht="25.5" customHeight="1" s="126">
      <c r="A2" s="174" t="n">
        <v>46270</v>
      </c>
      <c r="B2" s="63" t="inlineStr">
        <is>
          <t>Football</t>
        </is>
      </c>
      <c r="C2" s="63" t="inlineStr">
        <is>
          <t>FB 106</t>
        </is>
      </c>
      <c r="D2" s="63" t="inlineStr">
        <is>
          <t>RED RALLY NORTH EAST</t>
        </is>
      </c>
      <c r="E2" s="63" t="inlineStr">
        <is>
          <t>FB 106 - RED RALLY NORTH EAST</t>
        </is>
      </c>
      <c r="F2" s="63" t="inlineStr">
        <is>
          <t>ARVC</t>
        </is>
      </c>
      <c r="G2" s="175" t="n">
        <v>1</v>
      </c>
      <c r="H2" s="63" t="inlineStr">
        <is>
          <t>PROOF / INITIAL LOAD</t>
        </is>
      </c>
      <c r="I2" s="63" t="n"/>
      <c r="J2">
        <f>IF(OR(A2="",F2=""),"",COUNTIFS($A$2:A2,A2,$F$2:F2,F2))</f>
        <v/>
      </c>
      <c r="K2">
        <f>IF(OR(A2="",F2="",J2=""),"",TEXT(A2,"yyyymmdd")&amp;"|"&amp;F2&amp;"|"&amp;J2)</f>
        <v/>
      </c>
    </row>
    <row r="3" ht="25.5" customHeight="1" s="126">
      <c r="A3" s="174" t="n">
        <v>46270</v>
      </c>
      <c r="B3" s="63" t="inlineStr">
        <is>
          <t>Football</t>
        </is>
      </c>
      <c r="C3" s="63" t="inlineStr">
        <is>
          <t>FB 113</t>
        </is>
      </c>
      <c r="D3" s="63" t="inlineStr">
        <is>
          <t>MBP  MINI MELTS (NW)</t>
        </is>
      </c>
      <c r="E3" s="63" t="inlineStr">
        <is>
          <t>FB 113 - MBP - MINI MELTS (NW)</t>
        </is>
      </c>
      <c r="F3" s="63" t="inlineStr">
        <is>
          <t>ARVC</t>
        </is>
      </c>
      <c r="G3" s="175" t="n">
        <v>1</v>
      </c>
      <c r="H3" s="63" t="inlineStr">
        <is>
          <t>PROOF / INITIAL LOAD</t>
        </is>
      </c>
      <c r="I3" s="63" t="n"/>
      <c r="J3">
        <f>IF(OR(A3="",F3=""),"",COUNTIFS($A$2:A3,A3,$F$2:F3,F3))</f>
        <v/>
      </c>
      <c r="K3">
        <f>IF(OR(A3="",F3="",J3=""),"",TEXT(A3,"yyyymmdd")&amp;"|"&amp;F3&amp;"|"&amp;J3)</f>
        <v/>
      </c>
    </row>
    <row r="4" ht="25.5" customHeight="1" s="126">
      <c r="A4" s="174" t="n">
        <v>46270</v>
      </c>
      <c r="B4" s="63" t="inlineStr">
        <is>
          <t>Football</t>
        </is>
      </c>
      <c r="C4" s="63" t="inlineStr">
        <is>
          <t>FB 113B</t>
        </is>
      </c>
      <c r="D4" s="63" t="inlineStr">
        <is>
          <t>MBP  MINI MELTS (NE)</t>
        </is>
      </c>
      <c r="E4" s="63" t="inlineStr">
        <is>
          <t>FB 113B - MBP - MINI MELTS (NE)</t>
        </is>
      </c>
      <c r="F4" s="63" t="inlineStr">
        <is>
          <t>ARVC</t>
        </is>
      </c>
      <c r="G4" s="175" t="n">
        <v>1</v>
      </c>
      <c r="H4" s="63" t="inlineStr">
        <is>
          <t>PROOF / INITIAL LOAD</t>
        </is>
      </c>
      <c r="I4" s="63" t="n"/>
      <c r="J4">
        <f>IF(OR(A4="",F4=""),"",COUNTIFS($A$2:A4,A4,$F$2:F4,F4))</f>
        <v/>
      </c>
      <c r="K4">
        <f>IF(OR(A4="",F4="",J4=""),"",TEXT(A4,"yyyymmdd")&amp;"|"&amp;F4&amp;"|"&amp;J4)</f>
        <v/>
      </c>
    </row>
    <row r="5" ht="25.5" customHeight="1" s="126">
      <c r="A5" s="174" t="n">
        <v>46270</v>
      </c>
      <c r="B5" s="63" t="inlineStr">
        <is>
          <t>Football</t>
        </is>
      </c>
      <c r="C5" s="63" t="inlineStr">
        <is>
          <t>FB 100B</t>
        </is>
      </c>
      <c r="D5" s="63" t="inlineStr">
        <is>
          <t>MBP TRAILER N CONCOURSE</t>
        </is>
      </c>
      <c r="E5" s="63" t="inlineStr">
        <is>
          <t>FB 100B - MBP TRAILER N CONCOURSE</t>
        </is>
      </c>
      <c r="F5" s="63" t="inlineStr">
        <is>
          <t>ARVC</t>
        </is>
      </c>
      <c r="G5" s="175" t="n">
        <v>1</v>
      </c>
      <c r="H5" s="63" t="inlineStr">
        <is>
          <t>PROOF / INITIAL LOAD</t>
        </is>
      </c>
      <c r="I5" s="63" t="n"/>
      <c r="J5">
        <f>IF(OR(A5="",F5=""),"",COUNTIFS($A$2:A5,A5,$F$2:F5,F5))</f>
        <v/>
      </c>
      <c r="K5">
        <f>IF(OR(A5="",F5="",J5=""),"",TEXT(A5,"yyyymmdd")&amp;"|"&amp;F5&amp;"|"&amp;J5)</f>
        <v/>
      </c>
    </row>
    <row r="6" ht="25.5" customHeight="1" s="126">
      <c r="A6" s="174" t="n">
        <v>46270</v>
      </c>
      <c r="B6" s="63" t="inlineStr">
        <is>
          <t>Football</t>
        </is>
      </c>
      <c r="C6" s="63" t="inlineStr">
        <is>
          <t>FB 107</t>
        </is>
      </c>
      <c r="D6" s="63" t="inlineStr">
        <is>
          <t>NE SPECIALTY DAWG O.G.</t>
        </is>
      </c>
      <c r="E6" s="63" t="inlineStr">
        <is>
          <t>FB 107 - NE SPECIALTY - DAWG HOUSE</t>
        </is>
      </c>
      <c r="F6" s="63" t="inlineStr">
        <is>
          <t>ARVC</t>
        </is>
      </c>
      <c r="G6" s="175" t="n">
        <v>1</v>
      </c>
      <c r="H6" s="63" t="inlineStr">
        <is>
          <t>PROOF / INITIAL LOAD</t>
        </is>
      </c>
      <c r="I6" s="63" t="n"/>
      <c r="J6">
        <f>IF(OR(A6="",F6=""),"",COUNTIFS($A$2:A6,A6,$F$2:F6,F6))</f>
        <v/>
      </c>
      <c r="K6">
        <f>IF(OR(A6="",F6="",J6=""),"",TEXT(A6,"yyyymmdd")&amp;"|"&amp;F6&amp;"|"&amp;J6)</f>
        <v/>
      </c>
    </row>
    <row r="7" ht="25.5" customHeight="1" s="126">
      <c r="A7" s="174" t="n">
        <v>46270</v>
      </c>
      <c r="B7" s="63" t="inlineStr">
        <is>
          <t>Football</t>
        </is>
      </c>
      <c r="C7" s="63" t="inlineStr">
        <is>
          <t>PIT 104</t>
        </is>
      </c>
      <c r="D7" s="63" t="inlineStr">
        <is>
          <t>BURQUE BREWS (W)</t>
        </is>
      </c>
      <c r="E7" s="63" t="inlineStr">
        <is>
          <t>PIT 104 - BURQUE BREWS (W)</t>
        </is>
      </c>
      <c r="F7" s="63" t="inlineStr">
        <is>
          <t>AIRFORCE</t>
        </is>
      </c>
      <c r="G7" s="175" t="n">
        <v>1</v>
      </c>
      <c r="H7" s="63" t="inlineStr">
        <is>
          <t>PROOF / INITIAL LOAD</t>
        </is>
      </c>
      <c r="I7" s="63" t="n"/>
      <c r="J7">
        <f>IF(OR(A7="",F7=""),"",COUNTIFS($A$2:A7,A7,$F$2:F7,F7))</f>
        <v/>
      </c>
      <c r="K7">
        <f>IF(OR(A7="",F7="",J7=""),"",TEXT(A7,"yyyymmdd")&amp;"|"&amp;F7&amp;"|"&amp;J7)</f>
        <v/>
      </c>
    </row>
    <row r="8" ht="25.5" customHeight="1" s="126">
      <c r="A8" s="174" t="n">
        <v>46270</v>
      </c>
      <c r="B8" s="63" t="inlineStr">
        <is>
          <t>Football</t>
        </is>
      </c>
      <c r="C8" s="63" t="inlineStr">
        <is>
          <t>PIT 108</t>
        </is>
      </c>
      <c r="D8" s="63" t="inlineStr">
        <is>
          <t>HOOP &amp; GO (J)</t>
        </is>
      </c>
      <c r="E8" s="63" t="inlineStr">
        <is>
          <t>PIT 108 - HOOP &amp; GO (J)</t>
        </is>
      </c>
      <c r="F8" s="63" t="inlineStr">
        <is>
          <t>UNITED FIT</t>
        </is>
      </c>
      <c r="G8" s="175" t="n">
        <v>1</v>
      </c>
      <c r="H8" s="63" t="inlineStr">
        <is>
          <t>PROOF / INITIAL LOAD</t>
        </is>
      </c>
      <c r="I8" s="63" t="n"/>
      <c r="J8">
        <f>IF(OR(A8="",F8=""),"",COUNTIFS($A$2:A8,A8,$F$2:F8,F8))</f>
        <v/>
      </c>
      <c r="K8">
        <f>IF(OR(A8="",F8="",J8=""),"",TEXT(A8,"yyyymmdd")&amp;"|"&amp;F8&amp;"|"&amp;J8)</f>
        <v/>
      </c>
    </row>
    <row r="9" ht="25.5" customHeight="1" s="126">
      <c r="A9" s="174" t="n">
        <v>46270</v>
      </c>
      <c r="B9" s="63" t="inlineStr">
        <is>
          <t>Football</t>
        </is>
      </c>
      <c r="C9" s="63" t="inlineStr">
        <is>
          <t>PIT 106</t>
        </is>
      </c>
      <c r="D9" s="63" t="inlineStr">
        <is>
          <t>LOUIE'S DAWG HOUSE (C)</t>
        </is>
      </c>
      <c r="E9" s="63" t="inlineStr">
        <is>
          <t>PIT 106 - LOUIE'S DAWG HOUSE (C)</t>
        </is>
      </c>
      <c r="F9" s="63" t="inlineStr">
        <is>
          <t>DCVA</t>
        </is>
      </c>
      <c r="G9" s="175" t="n">
        <v>1</v>
      </c>
      <c r="H9" s="63" t="inlineStr">
        <is>
          <t>PROOF / INITIAL LOAD</t>
        </is>
      </c>
      <c r="I9" s="63" t="n"/>
      <c r="J9">
        <f>IF(OR(A9="",F9=""),"",COUNTIFS($A$2:A9,A9,$F$2:F9,F9))</f>
        <v/>
      </c>
      <c r="K9">
        <f>IF(OR(A9="",F9="",J9=""),"",TEXT(A9,"yyyymmdd")&amp;"|"&amp;F9&amp;"|"&amp;J9)</f>
        <v/>
      </c>
    </row>
    <row r="10" ht="25.5" customHeight="1" s="126">
      <c r="A10" s="174" t="n">
        <v>46270</v>
      </c>
      <c r="B10" s="63" t="inlineStr">
        <is>
          <t>Football</t>
        </is>
      </c>
      <c r="C10" s="63" t="inlineStr">
        <is>
          <t>PIT 109</t>
        </is>
      </c>
      <c r="D10" s="63" t="inlineStr">
        <is>
          <t>ALLEYOOP (L)</t>
        </is>
      </c>
      <c r="E10" s="63" t="inlineStr">
        <is>
          <t>PIT 109 - ALLEYOOP (L)</t>
        </is>
      </c>
      <c r="F10" s="63" t="inlineStr">
        <is>
          <t>DCVA</t>
        </is>
      </c>
      <c r="G10" s="175" t="n">
        <v>1</v>
      </c>
      <c r="H10" s="63" t="inlineStr">
        <is>
          <t>PROOF / INITIAL LOAD</t>
        </is>
      </c>
      <c r="I10" s="63" t="n"/>
      <c r="J10">
        <f>IF(OR(A10="",F10=""),"",COUNTIFS($A$2:A10,A10,$F$2:F10,F10))</f>
        <v/>
      </c>
      <c r="K10">
        <f>IF(OR(A10="",F10="",J10=""),"",TEXT(A10,"yyyymmdd")&amp;"|"&amp;F10&amp;"|"&amp;J10)</f>
        <v/>
      </c>
    </row>
    <row r="11" ht="25.5" customHeight="1" s="126">
      <c r="A11" s="174" t="n">
        <v>46270</v>
      </c>
      <c r="B11" s="63" t="inlineStr">
        <is>
          <t>Football</t>
        </is>
      </c>
      <c r="C11" s="63" t="inlineStr">
        <is>
          <t>PIT 101</t>
        </is>
      </c>
      <c r="D11" s="63" t="inlineStr">
        <is>
          <t>A - POP &amp; POUR</t>
        </is>
      </c>
      <c r="E11" s="63" t="inlineStr">
        <is>
          <t>PIT 101 - A - POP &amp; POUR</t>
        </is>
      </c>
      <c r="F11" s="63" t="inlineStr">
        <is>
          <t>DEL N CHEER</t>
        </is>
      </c>
      <c r="G11" s="175" t="n">
        <v>1</v>
      </c>
      <c r="H11" s="63" t="inlineStr">
        <is>
          <t>PROOF / INITIAL LOAD</t>
        </is>
      </c>
      <c r="I11" s="63" t="n"/>
      <c r="J11">
        <f>IF(OR(A11="",F11=""),"",COUNTIFS($A$2:A11,A11,$F$2:F11,F11))</f>
        <v/>
      </c>
      <c r="K11">
        <f>IF(OR(A11="",F11="",J11=""),"",TEXT(A11,"yyyymmdd")&amp;"|"&amp;F11&amp;"|"&amp;J11)</f>
        <v/>
      </c>
    </row>
    <row r="12" ht="25.5" customHeight="1" s="126">
      <c r="A12" s="174" t="n">
        <v>46270</v>
      </c>
      <c r="B12" s="63" t="inlineStr">
        <is>
          <t>Football</t>
        </is>
      </c>
      <c r="C12" s="63" t="inlineStr">
        <is>
          <t>PIT 101</t>
        </is>
      </c>
      <c r="D12" s="63" t="inlineStr">
        <is>
          <t>A - POP &amp; POUR</t>
        </is>
      </c>
      <c r="E12" s="63" t="inlineStr">
        <is>
          <t>PIT 101 - B - NACHOMAMA</t>
        </is>
      </c>
      <c r="F12" s="63" t="inlineStr">
        <is>
          <t>DEL N CHEER</t>
        </is>
      </c>
      <c r="G12" s="175" t="n">
        <v>1</v>
      </c>
      <c r="H12" s="63" t="inlineStr">
        <is>
          <t>PROOF / INITIAL LOAD</t>
        </is>
      </c>
      <c r="I12" s="63" t="n"/>
      <c r="J12">
        <f>IF(OR(A12="",F12=""),"",COUNTIFS($A$2:A12,A12,$F$2:F12,F12))</f>
        <v/>
      </c>
      <c r="K12">
        <f>IF(OR(A12="",F12="",J12=""),"",TEXT(A12,"yyyymmdd")&amp;"|"&amp;F12&amp;"|"&amp;J12)</f>
        <v/>
      </c>
    </row>
    <row r="13" ht="25.5" customHeight="1" s="126">
      <c r="A13" s="174" t="n">
        <v>46270</v>
      </c>
      <c r="B13" s="63" t="inlineStr">
        <is>
          <t>Football</t>
        </is>
      </c>
      <c r="C13" s="63" t="inlineStr">
        <is>
          <t>PIT 110</t>
        </is>
      </c>
      <c r="D13" s="63" t="inlineStr">
        <is>
          <t>PAPITAS (M)</t>
        </is>
      </c>
      <c r="E13" s="63" t="inlineStr">
        <is>
          <t>PIT 110 - PAPITAS (M)</t>
        </is>
      </c>
      <c r="F13" s="63" t="inlineStr">
        <is>
          <t>RIO GRANDE RGHS</t>
        </is>
      </c>
      <c r="G13" s="175" t="n">
        <v>1</v>
      </c>
      <c r="H13" s="63" t="inlineStr">
        <is>
          <t>PROOF / INITIAL LOAD</t>
        </is>
      </c>
      <c r="I13" s="63" t="n"/>
      <c r="J13">
        <f>IF(OR(A13="",F13=""),"",COUNTIFS($A$2:A13,A13,$F$2:F13,F13))</f>
        <v/>
      </c>
      <c r="K13">
        <f>IF(OR(A13="",F13="",J13=""),"",TEXT(A13,"yyyymmdd")&amp;"|"&amp;F13&amp;"|"&amp;J13)</f>
        <v/>
      </c>
    </row>
    <row r="14" ht="25.5" customHeight="1" s="126">
      <c r="A14" s="174" t="n">
        <v>46270</v>
      </c>
      <c r="B14" s="63" t="inlineStr">
        <is>
          <t>Football</t>
        </is>
      </c>
      <c r="C14" s="63" t="inlineStr">
        <is>
          <t>FB 100</t>
        </is>
      </c>
      <c r="D14" s="63" t="inlineStr">
        <is>
          <t>TRAILER N CONCOURSE</t>
        </is>
      </c>
      <c r="E14" s="63" t="inlineStr">
        <is>
          <t>FB 100 - TRAILER N CONCOURSE</t>
        </is>
      </c>
      <c r="F14" s="63" t="inlineStr">
        <is>
          <t>VICTORY OUTREACH</t>
        </is>
      </c>
      <c r="G14" s="175" t="n">
        <v>1</v>
      </c>
      <c r="H14" s="63" t="inlineStr">
        <is>
          <t>PROOF / INITIAL LOAD</t>
        </is>
      </c>
      <c r="I14" s="63" t="n"/>
      <c r="J14">
        <f>IF(OR(A14="",F14=""),"",COUNTIFS($A$2:A14,A14,$F$2:F14,F14))</f>
        <v/>
      </c>
      <c r="K14">
        <f>IF(OR(A14="",F14="",J14=""),"",TEXT(A14,"yyyymmdd")&amp;"|"&amp;F14&amp;"|"&amp;J14)</f>
        <v/>
      </c>
    </row>
    <row r="15">
      <c r="A15" s="174" t="n"/>
      <c r="B15" s="63" t="n"/>
      <c r="C15" s="63" t="n"/>
      <c r="D15" s="63" t="n"/>
      <c r="E15" s="63" t="n"/>
      <c r="F15" s="63" t="n"/>
      <c r="G15" s="175" t="n"/>
      <c r="H15" s="63" t="n"/>
      <c r="I15" s="63" t="n"/>
      <c r="J15">
        <f>IF(OR(A15="",F15=""),"",COUNTIFS($A$2:A15,A15,$F$2:F15,F15))</f>
        <v/>
      </c>
      <c r="K15">
        <f>IF(OR(A15="",F15="",J15=""),"",TEXT(A15,"yyyymmdd")&amp;"|"&amp;F15&amp;"|"&amp;J15)</f>
        <v/>
      </c>
    </row>
    <row r="16">
      <c r="A16" s="174" t="n"/>
      <c r="B16" s="63" t="n"/>
      <c r="C16" s="63" t="n"/>
      <c r="D16" s="63" t="n"/>
      <c r="E16" s="63" t="n"/>
      <c r="F16" s="63" t="n"/>
      <c r="G16" s="175" t="n"/>
      <c r="H16" s="63" t="n"/>
      <c r="I16" s="63" t="n"/>
      <c r="J16">
        <f>IF(OR(A16="",F16=""),"",COUNTIFS($A$2:A16,A16,$F$2:F16,F16))</f>
        <v/>
      </c>
      <c r="K16">
        <f>IF(OR(A16="",F16="",J16=""),"",TEXT(A16,"yyyymmdd")&amp;"|"&amp;F16&amp;"|"&amp;J16)</f>
        <v/>
      </c>
    </row>
    <row r="17">
      <c r="A17" s="174" t="n"/>
      <c r="B17" s="63" t="n"/>
      <c r="C17" s="63" t="n"/>
      <c r="D17" s="63" t="n"/>
      <c r="E17" s="63" t="n"/>
      <c r="F17" s="63" t="n"/>
      <c r="G17" s="175" t="n"/>
      <c r="H17" s="63" t="n"/>
      <c r="I17" s="63" t="n"/>
      <c r="J17">
        <f>IF(OR(A17="",F17=""),"",COUNTIFS($A$2:A17,A17,$F$2:F17,F17))</f>
        <v/>
      </c>
      <c r="K17">
        <f>IF(OR(A17="",F17="",J17=""),"",TEXT(A17,"yyyymmdd")&amp;"|"&amp;F17&amp;"|"&amp;J17)</f>
        <v/>
      </c>
    </row>
    <row r="18">
      <c r="A18" s="174" t="n"/>
      <c r="B18" s="63" t="n"/>
      <c r="C18" s="63" t="n"/>
      <c r="D18" s="63" t="n"/>
      <c r="E18" s="63" t="n"/>
      <c r="F18" s="63" t="n"/>
      <c r="G18" s="175" t="n"/>
      <c r="H18" s="63" t="n"/>
      <c r="I18" s="63" t="n"/>
      <c r="J18">
        <f>IF(OR(A18="",F18=""),"",COUNTIFS($A$2:A18,A18,$F$2:F18,F18))</f>
        <v/>
      </c>
      <c r="K18">
        <f>IF(OR(A18="",F18="",J18=""),"",TEXT(A18,"yyyymmdd")&amp;"|"&amp;F18&amp;"|"&amp;J18)</f>
        <v/>
      </c>
    </row>
    <row r="19">
      <c r="A19" s="174" t="n"/>
      <c r="B19" s="63" t="n"/>
      <c r="C19" s="63" t="n"/>
      <c r="D19" s="63" t="n"/>
      <c r="E19" s="63" t="n"/>
      <c r="F19" s="63" t="n"/>
      <c r="G19" s="175" t="n"/>
      <c r="H19" s="63" t="n"/>
      <c r="I19" s="63" t="n"/>
      <c r="J19">
        <f>IF(OR(A19="",F19=""),"",COUNTIFS($A$2:A19,A19,$F$2:F19,F19))</f>
        <v/>
      </c>
      <c r="K19">
        <f>IF(OR(A19="",F19="",J19=""),"",TEXT(A19,"yyyymmdd")&amp;"|"&amp;F19&amp;"|"&amp;J19)</f>
        <v/>
      </c>
    </row>
    <row r="20">
      <c r="A20" s="174" t="n"/>
      <c r="B20" s="63" t="n"/>
      <c r="C20" s="63" t="n"/>
      <c r="D20" s="63" t="n"/>
      <c r="E20" s="63" t="n"/>
      <c r="F20" s="63" t="n"/>
      <c r="G20" s="175" t="n"/>
      <c r="H20" s="63" t="n"/>
      <c r="I20" s="63" t="n"/>
      <c r="J20">
        <f>IF(OR(A20="",F20=""),"",COUNTIFS($A$2:A20,A20,$F$2:F20,F20))</f>
        <v/>
      </c>
      <c r="K20">
        <f>IF(OR(A20="",F20="",J20=""),"",TEXT(A20,"yyyymmdd")&amp;"|"&amp;F20&amp;"|"&amp;J20)</f>
        <v/>
      </c>
    </row>
    <row r="21">
      <c r="A21" s="174" t="n"/>
      <c r="B21" s="63" t="n"/>
      <c r="C21" s="63" t="n"/>
      <c r="D21" s="63" t="n"/>
      <c r="E21" s="63" t="n"/>
      <c r="F21" s="63" t="n"/>
      <c r="G21" s="175" t="n"/>
      <c r="H21" s="63" t="n"/>
      <c r="I21" s="63" t="n"/>
      <c r="J21">
        <f>IF(OR(A21="",F21=""),"",COUNTIFS($A$2:A21,A21,$F$2:F21,F21))</f>
        <v/>
      </c>
      <c r="K21">
        <f>IF(OR(A21="",F21="",J21=""),"",TEXT(A21,"yyyymmdd")&amp;"|"&amp;F21&amp;"|"&amp;J21)</f>
        <v/>
      </c>
    </row>
    <row r="22">
      <c r="A22" s="174" t="n"/>
      <c r="B22" s="63" t="n"/>
      <c r="C22" s="63" t="n"/>
      <c r="D22" s="63" t="n"/>
      <c r="E22" s="63" t="n"/>
      <c r="F22" s="63" t="n"/>
      <c r="G22" s="175" t="n"/>
      <c r="H22" s="63" t="n"/>
      <c r="I22" s="63" t="n"/>
      <c r="J22">
        <f>IF(OR(A22="",F22=""),"",COUNTIFS($A$2:A22,A22,$F$2:F22,F22))</f>
        <v/>
      </c>
      <c r="K22">
        <f>IF(OR(A22="",F22="",J22=""),"",TEXT(A22,"yyyymmdd")&amp;"|"&amp;F22&amp;"|"&amp;J22)</f>
        <v/>
      </c>
    </row>
    <row r="23">
      <c r="A23" s="174" t="n"/>
      <c r="B23" s="63" t="n"/>
      <c r="C23" s="63" t="n"/>
      <c r="D23" s="63" t="n"/>
      <c r="E23" s="63" t="n"/>
      <c r="F23" s="63" t="n"/>
      <c r="G23" s="175" t="n"/>
      <c r="H23" s="63" t="n"/>
      <c r="I23" s="63" t="n"/>
      <c r="J23">
        <f>IF(OR(A23="",F23=""),"",COUNTIFS($A$2:A23,A23,$F$2:F23,F23))</f>
        <v/>
      </c>
      <c r="K23">
        <f>IF(OR(A23="",F23="",J23=""),"",TEXT(A23,"yyyymmdd")&amp;"|"&amp;F23&amp;"|"&amp;J23)</f>
        <v/>
      </c>
    </row>
    <row r="24">
      <c r="A24" s="174" t="n"/>
      <c r="B24" s="63" t="n"/>
      <c r="C24" s="63" t="n"/>
      <c r="D24" s="63" t="n"/>
      <c r="E24" s="63" t="n"/>
      <c r="F24" s="63" t="n"/>
      <c r="G24" s="175" t="n"/>
      <c r="H24" s="63" t="n"/>
      <c r="I24" s="63" t="n"/>
      <c r="J24">
        <f>IF(OR(A24="",F24=""),"",COUNTIFS($A$2:A24,A24,$F$2:F24,F24))</f>
        <v/>
      </c>
      <c r="K24">
        <f>IF(OR(A24="",F24="",J24=""),"",TEXT(A24,"yyyymmdd")&amp;"|"&amp;F24&amp;"|"&amp;J24)</f>
        <v/>
      </c>
    </row>
    <row r="25">
      <c r="A25" s="174" t="n"/>
      <c r="B25" s="63" t="n"/>
      <c r="C25" s="63" t="n"/>
      <c r="D25" s="63" t="n"/>
      <c r="E25" s="63" t="n"/>
      <c r="F25" s="63" t="n"/>
      <c r="G25" s="175" t="n"/>
      <c r="H25" s="63" t="n"/>
      <c r="I25" s="63" t="n"/>
      <c r="J25">
        <f>IF(OR(A25="",F25=""),"",COUNTIFS($A$2:A25,A25,$F$2:F25,F25))</f>
        <v/>
      </c>
      <c r="K25">
        <f>IF(OR(A25="",F25="",J25=""),"",TEXT(A25,"yyyymmdd")&amp;"|"&amp;F25&amp;"|"&amp;J25)</f>
        <v/>
      </c>
    </row>
    <row r="26">
      <c r="A26" s="174" t="n"/>
      <c r="B26" s="63" t="n"/>
      <c r="C26" s="63" t="n"/>
      <c r="D26" s="63" t="n"/>
      <c r="E26" s="63" t="n"/>
      <c r="F26" s="63" t="n"/>
      <c r="G26" s="175" t="n"/>
      <c r="H26" s="63" t="n"/>
      <c r="I26" s="63" t="n"/>
      <c r="J26">
        <f>IF(OR(A26="",F26=""),"",COUNTIFS($A$2:A26,A26,$F$2:F26,F26))</f>
        <v/>
      </c>
      <c r="K26">
        <f>IF(OR(A26="",F26="",J26=""),"",TEXT(A26,"yyyymmdd")&amp;"|"&amp;F26&amp;"|"&amp;J26)</f>
        <v/>
      </c>
    </row>
    <row r="27">
      <c r="A27" s="174" t="n"/>
      <c r="B27" s="63" t="n"/>
      <c r="C27" s="63" t="n"/>
      <c r="D27" s="63" t="n"/>
      <c r="E27" s="63" t="n"/>
      <c r="F27" s="63" t="n"/>
      <c r="G27" s="175" t="n"/>
      <c r="H27" s="63" t="n"/>
      <c r="I27" s="63" t="n"/>
      <c r="J27">
        <f>IF(OR(A27="",F27=""),"",COUNTIFS($A$2:A27,A27,$F$2:F27,F27))</f>
        <v/>
      </c>
      <c r="K27">
        <f>IF(OR(A27="",F27="",J27=""),"",TEXT(A27,"yyyymmdd")&amp;"|"&amp;F27&amp;"|"&amp;J27)</f>
        <v/>
      </c>
    </row>
    <row r="28">
      <c r="A28" s="174" t="n"/>
      <c r="B28" s="63" t="n"/>
      <c r="C28" s="63" t="n"/>
      <c r="D28" s="63" t="n"/>
      <c r="E28" s="63" t="n"/>
      <c r="F28" s="63" t="n"/>
      <c r="G28" s="175" t="n"/>
      <c r="H28" s="63" t="n"/>
      <c r="I28" s="63" t="n"/>
      <c r="J28">
        <f>IF(OR(A28="",F28=""),"",COUNTIFS($A$2:A28,A28,$F$2:F28,F28))</f>
        <v/>
      </c>
      <c r="K28">
        <f>IF(OR(A28="",F28="",J28=""),"",TEXT(A28,"yyyymmdd")&amp;"|"&amp;F28&amp;"|"&amp;J28)</f>
        <v/>
      </c>
    </row>
    <row r="29">
      <c r="A29" s="174" t="n"/>
      <c r="B29" s="63" t="n"/>
      <c r="C29" s="63" t="n"/>
      <c r="D29" s="63" t="n"/>
      <c r="E29" s="63" t="n"/>
      <c r="F29" s="63" t="n"/>
      <c r="G29" s="175" t="n"/>
      <c r="H29" s="63" t="n"/>
      <c r="I29" s="63" t="n"/>
      <c r="J29">
        <f>IF(OR(A29="",F29=""),"",COUNTIFS($A$2:A29,A29,$F$2:F29,F29))</f>
        <v/>
      </c>
      <c r="K29">
        <f>IF(OR(A29="",F29="",J29=""),"",TEXT(A29,"yyyymmdd")&amp;"|"&amp;F29&amp;"|"&amp;J29)</f>
        <v/>
      </c>
    </row>
    <row r="30">
      <c r="A30" s="174" t="n"/>
      <c r="B30" s="63" t="n"/>
      <c r="C30" s="63" t="n"/>
      <c r="D30" s="63" t="n"/>
      <c r="E30" s="63" t="n"/>
      <c r="F30" s="63" t="n"/>
      <c r="G30" s="175" t="n"/>
      <c r="H30" s="63" t="n"/>
      <c r="I30" s="63" t="n"/>
      <c r="J30">
        <f>IF(OR(A30="",F30=""),"",COUNTIFS($A$2:A30,A30,$F$2:F30,F30))</f>
        <v/>
      </c>
      <c r="K30">
        <f>IF(OR(A30="",F30="",J30=""),"",TEXT(A30,"yyyymmdd")&amp;"|"&amp;F30&amp;"|"&amp;J30)</f>
        <v/>
      </c>
    </row>
    <row r="31">
      <c r="A31" s="174" t="n"/>
      <c r="B31" s="63" t="n"/>
      <c r="C31" s="63" t="n"/>
      <c r="D31" s="63" t="n"/>
      <c r="E31" s="63" t="n"/>
      <c r="F31" s="63" t="n"/>
      <c r="G31" s="175" t="n"/>
      <c r="H31" s="63" t="n"/>
      <c r="I31" s="63" t="n"/>
      <c r="J31">
        <f>IF(OR(A31="",F31=""),"",COUNTIFS($A$2:A31,A31,$F$2:F31,F31))</f>
        <v/>
      </c>
      <c r="K31">
        <f>IF(OR(A31="",F31="",J31=""),"",TEXT(A31,"yyyymmdd")&amp;"|"&amp;F31&amp;"|"&amp;J31)</f>
        <v/>
      </c>
    </row>
    <row r="32">
      <c r="A32" s="174" t="n"/>
      <c r="B32" s="63" t="n"/>
      <c r="C32" s="63" t="n"/>
      <c r="D32" s="63" t="n"/>
      <c r="E32" s="63" t="n"/>
      <c r="F32" s="63" t="n"/>
      <c r="G32" s="175" t="n"/>
      <c r="H32" s="63" t="n"/>
      <c r="I32" s="63" t="n"/>
      <c r="J32">
        <f>IF(OR(A32="",F32=""),"",COUNTIFS($A$2:A32,A32,$F$2:F32,F32))</f>
        <v/>
      </c>
      <c r="K32">
        <f>IF(OR(A32="",F32="",J32=""),"",TEXT(A32,"yyyymmdd")&amp;"|"&amp;F32&amp;"|"&amp;J32)</f>
        <v/>
      </c>
    </row>
    <row r="33">
      <c r="A33" s="174" t="n"/>
      <c r="B33" s="63" t="n"/>
      <c r="C33" s="63" t="n"/>
      <c r="D33" s="63" t="n"/>
      <c r="E33" s="63" t="n"/>
      <c r="F33" s="63" t="n"/>
      <c r="G33" s="175" t="n"/>
      <c r="H33" s="63" t="n"/>
      <c r="I33" s="63" t="n"/>
      <c r="J33">
        <f>IF(OR(A33="",F33=""),"",COUNTIFS($A$2:A33,A33,$F$2:F33,F33))</f>
        <v/>
      </c>
      <c r="K33">
        <f>IF(OR(A33="",F33="",J33=""),"",TEXT(A33,"yyyymmdd")&amp;"|"&amp;F33&amp;"|"&amp;J33)</f>
        <v/>
      </c>
    </row>
    <row r="34">
      <c r="A34" s="174" t="n"/>
      <c r="B34" s="63" t="n"/>
      <c r="C34" s="63" t="n"/>
      <c r="D34" s="63" t="n"/>
      <c r="E34" s="63" t="n"/>
      <c r="F34" s="63" t="n"/>
      <c r="G34" s="175" t="n"/>
      <c r="H34" s="63" t="n"/>
      <c r="I34" s="63" t="n"/>
      <c r="J34">
        <f>IF(OR(A34="",F34=""),"",COUNTIFS($A$2:A34,A34,$F$2:F34,F34))</f>
        <v/>
      </c>
      <c r="K34">
        <f>IF(OR(A34="",F34="",J34=""),"",TEXT(A34,"yyyymmdd")&amp;"|"&amp;F34&amp;"|"&amp;J34)</f>
        <v/>
      </c>
    </row>
    <row r="35">
      <c r="A35" s="174" t="n"/>
      <c r="B35" s="63" t="n"/>
      <c r="C35" s="63" t="n"/>
      <c r="D35" s="63" t="n"/>
      <c r="E35" s="63" t="n"/>
      <c r="F35" s="63" t="n"/>
      <c r="G35" s="175" t="n"/>
      <c r="H35" s="63" t="n"/>
      <c r="I35" s="63" t="n"/>
      <c r="J35">
        <f>IF(OR(A35="",F35=""),"",COUNTIFS($A$2:A35,A35,$F$2:F35,F35))</f>
        <v/>
      </c>
      <c r="K35">
        <f>IF(OR(A35="",F35="",J35=""),"",TEXT(A35,"yyyymmdd")&amp;"|"&amp;F35&amp;"|"&amp;J35)</f>
        <v/>
      </c>
    </row>
    <row r="36">
      <c r="A36" s="174" t="n"/>
      <c r="B36" s="63" t="n"/>
      <c r="C36" s="63" t="n"/>
      <c r="D36" s="63" t="n"/>
      <c r="E36" s="63" t="n"/>
      <c r="F36" s="63" t="n"/>
      <c r="G36" s="175" t="n"/>
      <c r="H36" s="63" t="n"/>
      <c r="I36" s="63" t="n"/>
      <c r="J36">
        <f>IF(OR(A36="",F36=""),"",COUNTIFS($A$2:A36,A36,$F$2:F36,F36))</f>
        <v/>
      </c>
      <c r="K36">
        <f>IF(OR(A36="",F36="",J36=""),"",TEXT(A36,"yyyymmdd")&amp;"|"&amp;F36&amp;"|"&amp;J36)</f>
        <v/>
      </c>
    </row>
    <row r="37">
      <c r="A37" s="174" t="n"/>
      <c r="B37" s="63" t="n"/>
      <c r="C37" s="63" t="n"/>
      <c r="D37" s="63" t="n"/>
      <c r="E37" s="63" t="n"/>
      <c r="F37" s="63" t="n"/>
      <c r="G37" s="175" t="n"/>
      <c r="H37" s="63" t="n"/>
      <c r="I37" s="63" t="n"/>
      <c r="J37">
        <f>IF(OR(A37="",F37=""),"",COUNTIFS($A$2:A37,A37,$F$2:F37,F37))</f>
        <v/>
      </c>
      <c r="K37">
        <f>IF(OR(A37="",F37="",J37=""),"",TEXT(A37,"yyyymmdd")&amp;"|"&amp;F37&amp;"|"&amp;J37)</f>
        <v/>
      </c>
    </row>
    <row r="38">
      <c r="A38" s="174" t="n"/>
      <c r="B38" s="63" t="n"/>
      <c r="C38" s="63" t="n"/>
      <c r="D38" s="63" t="n"/>
      <c r="E38" s="63" t="n"/>
      <c r="F38" s="63" t="n"/>
      <c r="G38" s="175" t="n"/>
      <c r="H38" s="63" t="n"/>
      <c r="I38" s="63" t="n"/>
      <c r="J38">
        <f>IF(OR(A38="",F38=""),"",COUNTIFS($A$2:A38,A38,$F$2:F38,F38))</f>
        <v/>
      </c>
      <c r="K38">
        <f>IF(OR(A38="",F38="",J38=""),"",TEXT(A38,"yyyymmdd")&amp;"|"&amp;F38&amp;"|"&amp;J38)</f>
        <v/>
      </c>
    </row>
    <row r="39">
      <c r="A39" s="174" t="n"/>
      <c r="B39" s="63" t="n"/>
      <c r="C39" s="63" t="n"/>
      <c r="D39" s="63" t="n"/>
      <c r="E39" s="63" t="n"/>
      <c r="F39" s="63" t="n"/>
      <c r="G39" s="175" t="n"/>
      <c r="H39" s="63" t="n"/>
      <c r="I39" s="63" t="n"/>
      <c r="J39">
        <f>IF(OR(A39="",F39=""),"",COUNTIFS($A$2:A39,A39,$F$2:F39,F39))</f>
        <v/>
      </c>
      <c r="K39">
        <f>IF(OR(A39="",F39="",J39=""),"",TEXT(A39,"yyyymmdd")&amp;"|"&amp;F39&amp;"|"&amp;J39)</f>
        <v/>
      </c>
    </row>
    <row r="40">
      <c r="A40" s="174" t="n"/>
      <c r="B40" s="63" t="n"/>
      <c r="C40" s="63" t="n"/>
      <c r="D40" s="63" t="n"/>
      <c r="E40" s="63" t="n"/>
      <c r="F40" s="63" t="n"/>
      <c r="G40" s="175" t="n"/>
      <c r="H40" s="63" t="n"/>
      <c r="I40" s="63" t="n"/>
      <c r="J40">
        <f>IF(OR(A40="",F40=""),"",COUNTIFS($A$2:A40,A40,$F$2:F40,F40))</f>
        <v/>
      </c>
      <c r="K40">
        <f>IF(OR(A40="",F40="",J40=""),"",TEXT(A40,"yyyymmdd")&amp;"|"&amp;F40&amp;"|"&amp;J40)</f>
        <v/>
      </c>
    </row>
    <row r="41">
      <c r="A41" s="174" t="n"/>
      <c r="B41" s="63" t="n"/>
      <c r="C41" s="63" t="n"/>
      <c r="D41" s="63" t="n"/>
      <c r="E41" s="63" t="n"/>
      <c r="F41" s="63" t="n"/>
      <c r="G41" s="175" t="n"/>
      <c r="H41" s="63" t="n"/>
      <c r="I41" s="63" t="n"/>
      <c r="J41">
        <f>IF(OR(A41="",F41=""),"",COUNTIFS($A$2:A41,A41,$F$2:F41,F41))</f>
        <v/>
      </c>
      <c r="K41">
        <f>IF(OR(A41="",F41="",J41=""),"",TEXT(A41,"yyyymmdd")&amp;"|"&amp;F41&amp;"|"&amp;J41)</f>
        <v/>
      </c>
    </row>
    <row r="42">
      <c r="A42" s="174" t="n"/>
      <c r="B42" s="63" t="n"/>
      <c r="C42" s="63" t="n"/>
      <c r="D42" s="63" t="n"/>
      <c r="E42" s="63" t="n"/>
      <c r="F42" s="63" t="n"/>
      <c r="G42" s="175" t="n"/>
      <c r="H42" s="63" t="n"/>
      <c r="I42" s="63" t="n"/>
      <c r="J42">
        <f>IF(OR(A42="",F42=""),"",COUNTIFS($A$2:A42,A42,$F$2:F42,F42))</f>
        <v/>
      </c>
      <c r="K42">
        <f>IF(OR(A42="",F42="",J42=""),"",TEXT(A42,"yyyymmdd")&amp;"|"&amp;F42&amp;"|"&amp;J42)</f>
        <v/>
      </c>
    </row>
    <row r="43">
      <c r="A43" s="174" t="n"/>
      <c r="B43" s="63" t="n"/>
      <c r="C43" s="63" t="n"/>
      <c r="D43" s="63" t="n"/>
      <c r="E43" s="63" t="n"/>
      <c r="F43" s="63" t="n"/>
      <c r="G43" s="175" t="n"/>
      <c r="H43" s="63" t="n"/>
      <c r="I43" s="63" t="n"/>
      <c r="J43">
        <f>IF(OR(A43="",F43=""),"",COUNTIFS($A$2:A43,A43,$F$2:F43,F43))</f>
        <v/>
      </c>
      <c r="K43">
        <f>IF(OR(A43="",F43="",J43=""),"",TEXT(A43,"yyyymmdd")&amp;"|"&amp;F43&amp;"|"&amp;J43)</f>
        <v/>
      </c>
    </row>
    <row r="44">
      <c r="A44" s="174" t="n"/>
      <c r="B44" s="63" t="n"/>
      <c r="C44" s="63" t="n"/>
      <c r="D44" s="63" t="n"/>
      <c r="E44" s="63" t="n"/>
      <c r="F44" s="63" t="n"/>
      <c r="G44" s="175" t="n"/>
      <c r="H44" s="63" t="n"/>
      <c r="I44" s="63" t="n"/>
      <c r="J44">
        <f>IF(OR(A44="",F44=""),"",COUNTIFS($A$2:A44,A44,$F$2:F44,F44))</f>
        <v/>
      </c>
      <c r="K44">
        <f>IF(OR(A44="",F44="",J44=""),"",TEXT(A44,"yyyymmdd")&amp;"|"&amp;F44&amp;"|"&amp;J44)</f>
        <v/>
      </c>
    </row>
    <row r="45">
      <c r="A45" s="174" t="n"/>
      <c r="B45" s="63" t="n"/>
      <c r="C45" s="63" t="n"/>
      <c r="D45" s="63" t="n"/>
      <c r="E45" s="63" t="n"/>
      <c r="F45" s="63" t="n"/>
      <c r="G45" s="175" t="n"/>
      <c r="H45" s="63" t="n"/>
      <c r="I45" s="63" t="n"/>
      <c r="J45">
        <f>IF(OR(A45="",F45=""),"",COUNTIFS($A$2:A45,A45,$F$2:F45,F45))</f>
        <v/>
      </c>
      <c r="K45">
        <f>IF(OR(A45="",F45="",J45=""),"",TEXT(A45,"yyyymmdd")&amp;"|"&amp;F45&amp;"|"&amp;J45)</f>
        <v/>
      </c>
    </row>
    <row r="46">
      <c r="A46" s="174" t="n"/>
      <c r="B46" s="63" t="n"/>
      <c r="C46" s="63" t="n"/>
      <c r="D46" s="63" t="n"/>
      <c r="E46" s="63" t="n"/>
      <c r="F46" s="63" t="n"/>
      <c r="G46" s="175" t="n"/>
      <c r="H46" s="63" t="n"/>
      <c r="I46" s="63" t="n"/>
      <c r="J46">
        <f>IF(OR(A46="",F46=""),"",COUNTIFS($A$2:A46,A46,$F$2:F46,F46))</f>
        <v/>
      </c>
      <c r="K46">
        <f>IF(OR(A46="",F46="",J46=""),"",TEXT(A46,"yyyymmdd")&amp;"|"&amp;F46&amp;"|"&amp;J46)</f>
        <v/>
      </c>
    </row>
    <row r="47">
      <c r="A47" s="174" t="n"/>
      <c r="B47" s="63" t="n"/>
      <c r="C47" s="63" t="n"/>
      <c r="D47" s="63" t="n"/>
      <c r="E47" s="63" t="n"/>
      <c r="F47" s="63" t="n"/>
      <c r="G47" s="175" t="n"/>
      <c r="H47" s="63" t="n"/>
      <c r="I47" s="63" t="n"/>
      <c r="J47">
        <f>IF(OR(A47="",F47=""),"",COUNTIFS($A$2:A47,A47,$F$2:F47,F47))</f>
        <v/>
      </c>
      <c r="K47">
        <f>IF(OR(A47="",F47="",J47=""),"",TEXT(A47,"yyyymmdd")&amp;"|"&amp;F47&amp;"|"&amp;J47)</f>
        <v/>
      </c>
    </row>
    <row r="48">
      <c r="A48" s="174" t="n"/>
      <c r="B48" s="63" t="n"/>
      <c r="C48" s="63" t="n"/>
      <c r="D48" s="63" t="n"/>
      <c r="E48" s="63" t="n"/>
      <c r="F48" s="63" t="n"/>
      <c r="G48" s="175" t="n"/>
      <c r="H48" s="63" t="n"/>
      <c r="I48" s="63" t="n"/>
      <c r="J48">
        <f>IF(OR(A48="",F48=""),"",COUNTIFS($A$2:A48,A48,$F$2:F48,F48))</f>
        <v/>
      </c>
      <c r="K48">
        <f>IF(OR(A48="",F48="",J48=""),"",TEXT(A48,"yyyymmdd")&amp;"|"&amp;F48&amp;"|"&amp;J48)</f>
        <v/>
      </c>
    </row>
    <row r="49">
      <c r="A49" s="174" t="n"/>
      <c r="B49" s="63" t="n"/>
      <c r="C49" s="63" t="n"/>
      <c r="D49" s="63" t="n"/>
      <c r="E49" s="63" t="n"/>
      <c r="F49" s="63" t="n"/>
      <c r="G49" s="175" t="n"/>
      <c r="H49" s="63" t="n"/>
      <c r="I49" s="63" t="n"/>
      <c r="J49">
        <f>IF(OR(A49="",F49=""),"",COUNTIFS($A$2:A49,A49,$F$2:F49,F49))</f>
        <v/>
      </c>
      <c r="K49">
        <f>IF(OR(A49="",F49="",J49=""),"",TEXT(A49,"yyyymmdd")&amp;"|"&amp;F49&amp;"|"&amp;J49)</f>
        <v/>
      </c>
    </row>
    <row r="50">
      <c r="A50" s="174" t="n"/>
      <c r="B50" s="63" t="n"/>
      <c r="C50" s="63" t="n"/>
      <c r="D50" s="63" t="n"/>
      <c r="E50" s="63" t="n"/>
      <c r="F50" s="63" t="n"/>
      <c r="G50" s="175" t="n"/>
      <c r="H50" s="63" t="n"/>
      <c r="I50" s="63" t="n"/>
      <c r="J50">
        <f>IF(OR(A50="",F50=""),"",COUNTIFS($A$2:A50,A50,$F$2:F50,F50))</f>
        <v/>
      </c>
      <c r="K50">
        <f>IF(OR(A50="",F50="",J50=""),"",TEXT(A50,"yyyymmdd")&amp;"|"&amp;F50&amp;"|"&amp;J50)</f>
        <v/>
      </c>
    </row>
    <row r="51">
      <c r="A51" s="174" t="n"/>
      <c r="B51" s="63" t="n"/>
      <c r="C51" s="63" t="n"/>
      <c r="D51" s="63" t="n"/>
      <c r="E51" s="63" t="n"/>
      <c r="F51" s="63" t="n"/>
      <c r="G51" s="175" t="n"/>
      <c r="H51" s="63" t="n"/>
      <c r="I51" s="63" t="n"/>
      <c r="J51">
        <f>IF(OR(A51="",F51=""),"",COUNTIFS($A$2:A51,A51,$F$2:F51,F51))</f>
        <v/>
      </c>
      <c r="K51">
        <f>IF(OR(A51="",F51="",J51=""),"",TEXT(A51,"yyyymmdd")&amp;"|"&amp;F51&amp;"|"&amp;J51)</f>
        <v/>
      </c>
    </row>
    <row r="52">
      <c r="A52" s="174" t="n"/>
      <c r="B52" s="63" t="n"/>
      <c r="C52" s="63" t="n"/>
      <c r="D52" s="63" t="n"/>
      <c r="E52" s="63" t="n"/>
      <c r="F52" s="63" t="n"/>
      <c r="G52" s="175" t="n"/>
      <c r="H52" s="63" t="n"/>
      <c r="I52" s="63" t="n"/>
      <c r="J52">
        <f>IF(OR(A52="",F52=""),"",COUNTIFS($A$2:A52,A52,$F$2:F52,F52))</f>
        <v/>
      </c>
      <c r="K52">
        <f>IF(OR(A52="",F52="",J52=""),"",TEXT(A52,"yyyymmdd")&amp;"|"&amp;F52&amp;"|"&amp;J52)</f>
        <v/>
      </c>
    </row>
    <row r="53">
      <c r="A53" s="174" t="n"/>
      <c r="B53" s="63" t="n"/>
      <c r="C53" s="63" t="n"/>
      <c r="D53" s="63" t="n"/>
      <c r="E53" s="63" t="n"/>
      <c r="F53" s="63" t="n"/>
      <c r="G53" s="175" t="n"/>
      <c r="H53" s="63" t="n"/>
      <c r="I53" s="63" t="n"/>
      <c r="J53">
        <f>IF(OR(A53="",F53=""),"",COUNTIFS($A$2:A53,A53,$F$2:F53,F53))</f>
        <v/>
      </c>
      <c r="K53">
        <f>IF(OR(A53="",F53="",J53=""),"",TEXT(A53,"yyyymmdd")&amp;"|"&amp;F53&amp;"|"&amp;J53)</f>
        <v/>
      </c>
    </row>
    <row r="54">
      <c r="A54" s="174" t="n"/>
      <c r="B54" s="63" t="n"/>
      <c r="C54" s="63" t="n"/>
      <c r="D54" s="63" t="n"/>
      <c r="E54" s="63" t="n"/>
      <c r="F54" s="63" t="n"/>
      <c r="G54" s="175" t="n"/>
      <c r="H54" s="63" t="n"/>
      <c r="I54" s="63" t="n"/>
      <c r="J54">
        <f>IF(OR(A54="",F54=""),"",COUNTIFS($A$2:A54,A54,$F$2:F54,F54))</f>
        <v/>
      </c>
      <c r="K54">
        <f>IF(OR(A54="",F54="",J54=""),"",TEXT(A54,"yyyymmdd")&amp;"|"&amp;F54&amp;"|"&amp;J54)</f>
        <v/>
      </c>
    </row>
    <row r="55">
      <c r="A55" s="174" t="n"/>
      <c r="B55" s="63" t="n"/>
      <c r="C55" s="63" t="n"/>
      <c r="D55" s="63" t="n"/>
      <c r="E55" s="63" t="n"/>
      <c r="F55" s="63" t="n"/>
      <c r="G55" s="175" t="n"/>
      <c r="H55" s="63" t="n"/>
      <c r="I55" s="63" t="n"/>
      <c r="J55">
        <f>IF(OR(A55="",F55=""),"",COUNTIFS($A$2:A55,A55,$F$2:F55,F55))</f>
        <v/>
      </c>
      <c r="K55">
        <f>IF(OR(A55="",F55="",J55=""),"",TEXT(A55,"yyyymmdd")&amp;"|"&amp;F55&amp;"|"&amp;J55)</f>
        <v/>
      </c>
    </row>
    <row r="56">
      <c r="A56" s="174" t="n"/>
      <c r="B56" s="63" t="n"/>
      <c r="C56" s="63" t="n"/>
      <c r="D56" s="63" t="n"/>
      <c r="E56" s="63" t="n"/>
      <c r="F56" s="63" t="n"/>
      <c r="G56" s="175" t="n"/>
      <c r="H56" s="63" t="n"/>
      <c r="I56" s="63" t="n"/>
      <c r="J56">
        <f>IF(OR(A56="",F56=""),"",COUNTIFS($A$2:A56,A56,$F$2:F56,F56))</f>
        <v/>
      </c>
      <c r="K56">
        <f>IF(OR(A56="",F56="",J56=""),"",TEXT(A56,"yyyymmdd")&amp;"|"&amp;F56&amp;"|"&amp;J56)</f>
        <v/>
      </c>
    </row>
    <row r="57">
      <c r="A57" s="174" t="n"/>
      <c r="B57" s="63" t="n"/>
      <c r="C57" s="63" t="n"/>
      <c r="D57" s="63" t="n"/>
      <c r="E57" s="63" t="n"/>
      <c r="F57" s="63" t="n"/>
      <c r="G57" s="175" t="n"/>
      <c r="H57" s="63" t="n"/>
      <c r="I57" s="63" t="n"/>
      <c r="J57">
        <f>IF(OR(A57="",F57=""),"",COUNTIFS($A$2:A57,A57,$F$2:F57,F57))</f>
        <v/>
      </c>
      <c r="K57">
        <f>IF(OR(A57="",F57="",J57=""),"",TEXT(A57,"yyyymmdd")&amp;"|"&amp;F57&amp;"|"&amp;J57)</f>
        <v/>
      </c>
    </row>
    <row r="58">
      <c r="A58" s="174" t="n"/>
      <c r="B58" s="63" t="n"/>
      <c r="C58" s="63" t="n"/>
      <c r="D58" s="63" t="n"/>
      <c r="E58" s="63" t="n"/>
      <c r="F58" s="63" t="n"/>
      <c r="G58" s="175" t="n"/>
      <c r="H58" s="63" t="n"/>
      <c r="I58" s="63" t="n"/>
      <c r="J58">
        <f>IF(OR(A58="",F58=""),"",COUNTIFS($A$2:A58,A58,$F$2:F58,F58))</f>
        <v/>
      </c>
      <c r="K58">
        <f>IF(OR(A58="",F58="",J58=""),"",TEXT(A58,"yyyymmdd")&amp;"|"&amp;F58&amp;"|"&amp;J58)</f>
        <v/>
      </c>
    </row>
    <row r="59">
      <c r="A59" s="174" t="n"/>
      <c r="B59" s="63" t="n"/>
      <c r="C59" s="63" t="n"/>
      <c r="D59" s="63" t="n"/>
      <c r="E59" s="63" t="n"/>
      <c r="F59" s="63" t="n"/>
      <c r="G59" s="175" t="n"/>
      <c r="H59" s="63" t="n"/>
      <c r="I59" s="63" t="n"/>
      <c r="J59">
        <f>IF(OR(A59="",F59=""),"",COUNTIFS($A$2:A59,A59,$F$2:F59,F59))</f>
        <v/>
      </c>
      <c r="K59">
        <f>IF(OR(A59="",F59="",J59=""),"",TEXT(A59,"yyyymmdd")&amp;"|"&amp;F59&amp;"|"&amp;J59)</f>
        <v/>
      </c>
    </row>
    <row r="60">
      <c r="A60" s="174" t="n"/>
      <c r="B60" s="63" t="n"/>
      <c r="C60" s="63" t="n"/>
      <c r="D60" s="63" t="n"/>
      <c r="E60" s="63" t="n"/>
      <c r="F60" s="63" t="n"/>
      <c r="G60" s="175" t="n"/>
      <c r="H60" s="63" t="n"/>
      <c r="I60" s="63" t="n"/>
      <c r="J60">
        <f>IF(OR(A60="",F60=""),"",COUNTIFS($A$2:A60,A60,$F$2:F60,F60))</f>
        <v/>
      </c>
      <c r="K60">
        <f>IF(OR(A60="",F60="",J60=""),"",TEXT(A60,"yyyymmdd")&amp;"|"&amp;F60&amp;"|"&amp;J60)</f>
        <v/>
      </c>
    </row>
    <row r="61">
      <c r="A61" s="174" t="n"/>
      <c r="B61" s="63" t="n"/>
      <c r="C61" s="63" t="n"/>
      <c r="D61" s="63" t="n"/>
      <c r="E61" s="63" t="n"/>
      <c r="F61" s="63" t="n"/>
      <c r="G61" s="175" t="n"/>
      <c r="H61" s="63" t="n"/>
      <c r="I61" s="63" t="n"/>
      <c r="J61">
        <f>IF(OR(A61="",F61=""),"",COUNTIFS($A$2:A61,A61,$F$2:F61,F61))</f>
        <v/>
      </c>
      <c r="K61">
        <f>IF(OR(A61="",F61="",J61=""),"",TEXT(A61,"yyyymmdd")&amp;"|"&amp;F61&amp;"|"&amp;J61)</f>
        <v/>
      </c>
    </row>
    <row r="62">
      <c r="A62" s="174" t="n"/>
      <c r="B62" s="63" t="n"/>
      <c r="C62" s="63" t="n"/>
      <c r="D62" s="63" t="n"/>
      <c r="E62" s="63" t="n"/>
      <c r="F62" s="63" t="n"/>
      <c r="G62" s="175" t="n"/>
      <c r="H62" s="63" t="n"/>
      <c r="I62" s="63" t="n"/>
      <c r="J62">
        <f>IF(OR(A62="",F62=""),"",COUNTIFS($A$2:A62,A62,$F$2:F62,F62))</f>
        <v/>
      </c>
      <c r="K62">
        <f>IF(OR(A62="",F62="",J62=""),"",TEXT(A62,"yyyymmdd")&amp;"|"&amp;F62&amp;"|"&amp;J62)</f>
        <v/>
      </c>
    </row>
    <row r="63">
      <c r="A63" s="174" t="n"/>
      <c r="B63" s="63" t="n"/>
      <c r="C63" s="63" t="n"/>
      <c r="D63" s="63" t="n"/>
      <c r="E63" s="63" t="n"/>
      <c r="F63" s="63" t="n"/>
      <c r="G63" s="175" t="n"/>
      <c r="H63" s="63" t="n"/>
      <c r="I63" s="63" t="n"/>
      <c r="J63">
        <f>IF(OR(A63="",F63=""),"",COUNTIFS($A$2:A63,A63,$F$2:F63,F63))</f>
        <v/>
      </c>
      <c r="K63">
        <f>IF(OR(A63="",F63="",J63=""),"",TEXT(A63,"yyyymmdd")&amp;"|"&amp;F63&amp;"|"&amp;J63)</f>
        <v/>
      </c>
    </row>
    <row r="64">
      <c r="A64" s="174" t="n"/>
      <c r="B64" s="63" t="n"/>
      <c r="C64" s="63" t="n"/>
      <c r="D64" s="63" t="n"/>
      <c r="E64" s="63" t="n"/>
      <c r="F64" s="63" t="n"/>
      <c r="G64" s="175" t="n"/>
      <c r="H64" s="63" t="n"/>
      <c r="I64" s="63" t="n"/>
      <c r="J64">
        <f>IF(OR(A64="",F64=""),"",COUNTIFS($A$2:A64,A64,$F$2:F64,F64))</f>
        <v/>
      </c>
      <c r="K64">
        <f>IF(OR(A64="",F64="",J64=""),"",TEXT(A64,"yyyymmdd")&amp;"|"&amp;F64&amp;"|"&amp;J64)</f>
        <v/>
      </c>
    </row>
    <row r="65">
      <c r="A65" s="174" t="n"/>
      <c r="B65" s="63" t="n"/>
      <c r="C65" s="63" t="n"/>
      <c r="D65" s="63" t="n"/>
      <c r="E65" s="63" t="n"/>
      <c r="F65" s="63" t="n"/>
      <c r="G65" s="175" t="n"/>
      <c r="H65" s="63" t="n"/>
      <c r="I65" s="63" t="n"/>
      <c r="J65">
        <f>IF(OR(A65="",F65=""),"",COUNTIFS($A$2:A65,A65,$F$2:F65,F65))</f>
        <v/>
      </c>
      <c r="K65">
        <f>IF(OR(A65="",F65="",J65=""),"",TEXT(A65,"yyyymmdd")&amp;"|"&amp;F65&amp;"|"&amp;J65)</f>
        <v/>
      </c>
    </row>
    <row r="66">
      <c r="A66" s="174" t="n"/>
      <c r="B66" s="63" t="n"/>
      <c r="C66" s="63" t="n"/>
      <c r="D66" s="63" t="n"/>
      <c r="E66" s="63" t="n"/>
      <c r="F66" s="63" t="n"/>
      <c r="G66" s="175" t="n"/>
      <c r="H66" s="63" t="n"/>
      <c r="I66" s="63" t="n"/>
      <c r="J66">
        <f>IF(OR(A66="",F66=""),"",COUNTIFS($A$2:A66,A66,$F$2:F66,F66))</f>
        <v/>
      </c>
      <c r="K66">
        <f>IF(OR(A66="",F66="",J66=""),"",TEXT(A66,"yyyymmdd")&amp;"|"&amp;F66&amp;"|"&amp;J66)</f>
        <v/>
      </c>
    </row>
    <row r="67">
      <c r="A67" s="174" t="n"/>
      <c r="B67" s="63" t="n"/>
      <c r="C67" s="63" t="n"/>
      <c r="D67" s="63" t="n"/>
      <c r="E67" s="63" t="n"/>
      <c r="F67" s="63" t="n"/>
      <c r="G67" s="175" t="n"/>
      <c r="H67" s="63" t="n"/>
      <c r="I67" s="63" t="n"/>
      <c r="J67">
        <f>IF(OR(A67="",F67=""),"",COUNTIFS($A$2:A67,A67,$F$2:F67,F67))</f>
        <v/>
      </c>
      <c r="K67">
        <f>IF(OR(A67="",F67="",J67=""),"",TEXT(A67,"yyyymmdd")&amp;"|"&amp;F67&amp;"|"&amp;J67)</f>
        <v/>
      </c>
    </row>
    <row r="68">
      <c r="A68" s="174" t="n"/>
      <c r="B68" s="63" t="n"/>
      <c r="C68" s="63" t="n"/>
      <c r="D68" s="63" t="n"/>
      <c r="E68" s="63" t="n"/>
      <c r="F68" s="63" t="n"/>
      <c r="G68" s="175" t="n"/>
      <c r="H68" s="63" t="n"/>
      <c r="I68" s="63" t="n"/>
      <c r="J68">
        <f>IF(OR(A68="",F68=""),"",COUNTIFS($A$2:A68,A68,$F$2:F68,F68))</f>
        <v/>
      </c>
      <c r="K68">
        <f>IF(OR(A68="",F68="",J68=""),"",TEXT(A68,"yyyymmdd")&amp;"|"&amp;F68&amp;"|"&amp;J68)</f>
        <v/>
      </c>
    </row>
    <row r="69">
      <c r="A69" s="174" t="n"/>
      <c r="B69" s="63" t="n"/>
      <c r="C69" s="63" t="n"/>
      <c r="D69" s="63" t="n"/>
      <c r="E69" s="63" t="n"/>
      <c r="F69" s="63" t="n"/>
      <c r="G69" s="175" t="n"/>
      <c r="H69" s="63" t="n"/>
      <c r="I69" s="63" t="n"/>
      <c r="J69">
        <f>IF(OR(A69="",F69=""),"",COUNTIFS($A$2:A69,A69,$F$2:F69,F69))</f>
        <v/>
      </c>
      <c r="K69">
        <f>IF(OR(A69="",F69="",J69=""),"",TEXT(A69,"yyyymmdd")&amp;"|"&amp;F69&amp;"|"&amp;J69)</f>
        <v/>
      </c>
    </row>
    <row r="70">
      <c r="A70" s="174" t="n"/>
      <c r="B70" s="63" t="n"/>
      <c r="C70" s="63" t="n"/>
      <c r="D70" s="63" t="n"/>
      <c r="E70" s="63" t="n"/>
      <c r="F70" s="63" t="n"/>
      <c r="G70" s="175" t="n"/>
      <c r="H70" s="63" t="n"/>
      <c r="I70" s="63" t="n"/>
      <c r="J70">
        <f>IF(OR(A70="",F70=""),"",COUNTIFS($A$2:A70,A70,$F$2:F70,F70))</f>
        <v/>
      </c>
      <c r="K70">
        <f>IF(OR(A70="",F70="",J70=""),"",TEXT(A70,"yyyymmdd")&amp;"|"&amp;F70&amp;"|"&amp;J70)</f>
        <v/>
      </c>
    </row>
    <row r="71">
      <c r="A71" s="174" t="n"/>
      <c r="B71" s="63" t="n"/>
      <c r="C71" s="63" t="n"/>
      <c r="D71" s="63" t="n"/>
      <c r="E71" s="63" t="n"/>
      <c r="F71" s="63" t="n"/>
      <c r="G71" s="175" t="n"/>
      <c r="H71" s="63" t="n"/>
      <c r="I71" s="63" t="n"/>
      <c r="J71">
        <f>IF(OR(A71="",F71=""),"",COUNTIFS($A$2:A71,A71,$F$2:F71,F71))</f>
        <v/>
      </c>
      <c r="K71">
        <f>IF(OR(A71="",F71="",J71=""),"",TEXT(A71,"yyyymmdd")&amp;"|"&amp;F71&amp;"|"&amp;J71)</f>
        <v/>
      </c>
    </row>
    <row r="72">
      <c r="A72" s="174" t="n"/>
      <c r="B72" s="63" t="n"/>
      <c r="C72" s="63" t="n"/>
      <c r="D72" s="63" t="n"/>
      <c r="E72" s="63" t="n"/>
      <c r="F72" s="63" t="n"/>
      <c r="G72" s="175" t="n"/>
      <c r="H72" s="63" t="n"/>
      <c r="I72" s="63" t="n"/>
      <c r="J72">
        <f>IF(OR(A72="",F72=""),"",COUNTIFS($A$2:A72,A72,$F$2:F72,F72))</f>
        <v/>
      </c>
      <c r="K72">
        <f>IF(OR(A72="",F72="",J72=""),"",TEXT(A72,"yyyymmdd")&amp;"|"&amp;F72&amp;"|"&amp;J72)</f>
        <v/>
      </c>
    </row>
    <row r="73">
      <c r="A73" s="174" t="n"/>
      <c r="B73" s="63" t="n"/>
      <c r="C73" s="63" t="n"/>
      <c r="D73" s="63" t="n"/>
      <c r="E73" s="63" t="n"/>
      <c r="F73" s="63" t="n"/>
      <c r="G73" s="175" t="n"/>
      <c r="H73" s="63" t="n"/>
      <c r="I73" s="63" t="n"/>
      <c r="J73">
        <f>IF(OR(A73="",F73=""),"",COUNTIFS($A$2:A73,A73,$F$2:F73,F73))</f>
        <v/>
      </c>
      <c r="K73">
        <f>IF(OR(A73="",F73="",J73=""),"",TEXT(A73,"yyyymmdd")&amp;"|"&amp;F73&amp;"|"&amp;J73)</f>
        <v/>
      </c>
    </row>
    <row r="74">
      <c r="A74" s="174" t="n"/>
      <c r="B74" s="63" t="n"/>
      <c r="C74" s="63" t="n"/>
      <c r="D74" s="63" t="n"/>
      <c r="E74" s="63" t="n"/>
      <c r="F74" s="63" t="n"/>
      <c r="G74" s="175" t="n"/>
      <c r="H74" s="63" t="n"/>
      <c r="I74" s="63" t="n"/>
      <c r="J74">
        <f>IF(OR(A74="",F74=""),"",COUNTIFS($A$2:A74,A74,$F$2:F74,F74))</f>
        <v/>
      </c>
      <c r="K74">
        <f>IF(OR(A74="",F74="",J74=""),"",TEXT(A74,"yyyymmdd")&amp;"|"&amp;F74&amp;"|"&amp;J74)</f>
        <v/>
      </c>
    </row>
    <row r="75">
      <c r="A75" s="174" t="n"/>
      <c r="B75" s="63" t="n"/>
      <c r="C75" s="63" t="n"/>
      <c r="D75" s="63" t="n"/>
      <c r="E75" s="63" t="n"/>
      <c r="F75" s="63" t="n"/>
      <c r="G75" s="175" t="n"/>
      <c r="H75" s="63" t="n"/>
      <c r="I75" s="63" t="n"/>
      <c r="J75">
        <f>IF(OR(A75="",F75=""),"",COUNTIFS($A$2:A75,A75,$F$2:F75,F75))</f>
        <v/>
      </c>
      <c r="K75">
        <f>IF(OR(A75="",F75="",J75=""),"",TEXT(A75,"yyyymmdd")&amp;"|"&amp;F75&amp;"|"&amp;J75)</f>
        <v/>
      </c>
    </row>
    <row r="76">
      <c r="A76" s="174" t="n"/>
      <c r="B76" s="63" t="n"/>
      <c r="C76" s="63" t="n"/>
      <c r="D76" s="63" t="n"/>
      <c r="E76" s="63" t="n"/>
      <c r="F76" s="63" t="n"/>
      <c r="G76" s="175" t="n"/>
      <c r="H76" s="63" t="n"/>
      <c r="I76" s="63" t="n"/>
      <c r="J76">
        <f>IF(OR(A76="",F76=""),"",COUNTIFS($A$2:A76,A76,$F$2:F76,F76))</f>
        <v/>
      </c>
      <c r="K76">
        <f>IF(OR(A76="",F76="",J76=""),"",TEXT(A76,"yyyymmdd")&amp;"|"&amp;F76&amp;"|"&amp;J76)</f>
        <v/>
      </c>
    </row>
    <row r="77">
      <c r="A77" s="174" t="n"/>
      <c r="B77" s="63" t="n"/>
      <c r="C77" s="63" t="n"/>
      <c r="D77" s="63" t="n"/>
      <c r="E77" s="63" t="n"/>
      <c r="F77" s="63" t="n"/>
      <c r="G77" s="175" t="n"/>
      <c r="H77" s="63" t="n"/>
      <c r="I77" s="63" t="n"/>
      <c r="J77">
        <f>IF(OR(A77="",F77=""),"",COUNTIFS($A$2:A77,A77,$F$2:F77,F77))</f>
        <v/>
      </c>
      <c r="K77">
        <f>IF(OR(A77="",F77="",J77=""),"",TEXT(A77,"yyyymmdd")&amp;"|"&amp;F77&amp;"|"&amp;J77)</f>
        <v/>
      </c>
    </row>
    <row r="78">
      <c r="A78" s="174" t="n"/>
      <c r="B78" s="63" t="n"/>
      <c r="C78" s="63" t="n"/>
      <c r="D78" s="63" t="n"/>
      <c r="E78" s="63" t="n"/>
      <c r="F78" s="63" t="n"/>
      <c r="G78" s="175" t="n"/>
      <c r="H78" s="63" t="n"/>
      <c r="I78" s="63" t="n"/>
      <c r="J78">
        <f>IF(OR(A78="",F78=""),"",COUNTIFS($A$2:A78,A78,$F$2:F78,F78))</f>
        <v/>
      </c>
      <c r="K78">
        <f>IF(OR(A78="",F78="",J78=""),"",TEXT(A78,"yyyymmdd")&amp;"|"&amp;F78&amp;"|"&amp;J78)</f>
        <v/>
      </c>
    </row>
    <row r="79">
      <c r="A79" s="174" t="n"/>
      <c r="B79" s="63" t="n"/>
      <c r="C79" s="63" t="n"/>
      <c r="D79" s="63" t="n"/>
      <c r="E79" s="63" t="n"/>
      <c r="F79" s="63" t="n"/>
      <c r="G79" s="175" t="n"/>
      <c r="H79" s="63" t="n"/>
      <c r="I79" s="63" t="n"/>
      <c r="J79">
        <f>IF(OR(A79="",F79=""),"",COUNTIFS($A$2:A79,A79,$F$2:F79,F79))</f>
        <v/>
      </c>
      <c r="K79">
        <f>IF(OR(A79="",F79="",J79=""),"",TEXT(A79,"yyyymmdd")&amp;"|"&amp;F79&amp;"|"&amp;J79)</f>
        <v/>
      </c>
    </row>
    <row r="80">
      <c r="A80" s="174" t="n"/>
      <c r="B80" s="63" t="n"/>
      <c r="C80" s="63" t="n"/>
      <c r="D80" s="63" t="n"/>
      <c r="E80" s="63" t="n"/>
      <c r="F80" s="63" t="n"/>
      <c r="G80" s="175" t="n"/>
      <c r="H80" s="63" t="n"/>
      <c r="I80" s="63" t="n"/>
      <c r="J80">
        <f>IF(OR(A80="",F80=""),"",COUNTIFS($A$2:A80,A80,$F$2:F80,F80))</f>
        <v/>
      </c>
      <c r="K80">
        <f>IF(OR(A80="",F80="",J80=""),"",TEXT(A80,"yyyymmdd")&amp;"|"&amp;F80&amp;"|"&amp;J80)</f>
        <v/>
      </c>
    </row>
    <row r="81">
      <c r="A81" s="174" t="n"/>
      <c r="B81" s="63" t="n"/>
      <c r="C81" s="63" t="n"/>
      <c r="D81" s="63" t="n"/>
      <c r="E81" s="63" t="n"/>
      <c r="F81" s="63" t="n"/>
      <c r="G81" s="175" t="n"/>
      <c r="H81" s="63" t="n"/>
      <c r="I81" s="63" t="n"/>
      <c r="J81">
        <f>IF(OR(A81="",F81=""),"",COUNTIFS($A$2:A81,A81,$F$2:F81,F81))</f>
        <v/>
      </c>
      <c r="K81">
        <f>IF(OR(A81="",F81="",J81=""),"",TEXT(A81,"yyyymmdd")&amp;"|"&amp;F81&amp;"|"&amp;J81)</f>
        <v/>
      </c>
    </row>
    <row r="82">
      <c r="A82" s="174" t="n"/>
      <c r="B82" s="63" t="n"/>
      <c r="C82" s="63" t="n"/>
      <c r="D82" s="63" t="n"/>
      <c r="E82" s="63" t="n"/>
      <c r="F82" s="63" t="n"/>
      <c r="G82" s="175" t="n"/>
      <c r="H82" s="63" t="n"/>
      <c r="I82" s="63" t="n"/>
      <c r="J82">
        <f>IF(OR(A82="",F82=""),"",COUNTIFS($A$2:A82,A82,$F$2:F82,F82))</f>
        <v/>
      </c>
      <c r="K82">
        <f>IF(OR(A82="",F82="",J82=""),"",TEXT(A82,"yyyymmdd")&amp;"|"&amp;F82&amp;"|"&amp;J82)</f>
        <v/>
      </c>
    </row>
    <row r="83">
      <c r="A83" s="174" t="n"/>
      <c r="B83" s="63" t="n"/>
      <c r="C83" s="63" t="n"/>
      <c r="D83" s="63" t="n"/>
      <c r="E83" s="63" t="n"/>
      <c r="F83" s="63" t="n"/>
      <c r="G83" s="175" t="n"/>
      <c r="H83" s="63" t="n"/>
      <c r="I83" s="63" t="n"/>
      <c r="J83">
        <f>IF(OR(A83="",F83=""),"",COUNTIFS($A$2:A83,A83,$F$2:F83,F83))</f>
        <v/>
      </c>
      <c r="K83">
        <f>IF(OR(A83="",F83="",J83=""),"",TEXT(A83,"yyyymmdd")&amp;"|"&amp;F83&amp;"|"&amp;J83)</f>
        <v/>
      </c>
    </row>
    <row r="84">
      <c r="A84" s="174" t="n"/>
      <c r="B84" s="63" t="n"/>
      <c r="C84" s="63" t="n"/>
      <c r="D84" s="63" t="n"/>
      <c r="E84" s="63" t="n"/>
      <c r="F84" s="63" t="n"/>
      <c r="G84" s="175" t="n"/>
      <c r="H84" s="63" t="n"/>
      <c r="I84" s="63" t="n"/>
      <c r="J84">
        <f>IF(OR(A84="",F84=""),"",COUNTIFS($A$2:A84,A84,$F$2:F84,F84))</f>
        <v/>
      </c>
      <c r="K84">
        <f>IF(OR(A84="",F84="",J84=""),"",TEXT(A84,"yyyymmdd")&amp;"|"&amp;F84&amp;"|"&amp;J84)</f>
        <v/>
      </c>
    </row>
    <row r="85">
      <c r="A85" s="174" t="n"/>
      <c r="B85" s="63" t="n"/>
      <c r="C85" s="63" t="n"/>
      <c r="D85" s="63" t="n"/>
      <c r="E85" s="63" t="n"/>
      <c r="F85" s="63" t="n"/>
      <c r="G85" s="175" t="n"/>
      <c r="H85" s="63" t="n"/>
      <c r="I85" s="63" t="n"/>
      <c r="J85">
        <f>IF(OR(A85="",F85=""),"",COUNTIFS($A$2:A85,A85,$F$2:F85,F85))</f>
        <v/>
      </c>
      <c r="K85">
        <f>IF(OR(A85="",F85="",J85=""),"",TEXT(A85,"yyyymmdd")&amp;"|"&amp;F85&amp;"|"&amp;J85)</f>
        <v/>
      </c>
    </row>
    <row r="86">
      <c r="A86" s="174" t="n"/>
      <c r="B86" s="63" t="n"/>
      <c r="C86" s="63" t="n"/>
      <c r="D86" s="63" t="n"/>
      <c r="E86" s="63" t="n"/>
      <c r="F86" s="63" t="n"/>
      <c r="G86" s="175" t="n"/>
      <c r="H86" s="63" t="n"/>
      <c r="I86" s="63" t="n"/>
      <c r="J86">
        <f>IF(OR(A86="",F86=""),"",COUNTIFS($A$2:A86,A86,$F$2:F86,F86))</f>
        <v/>
      </c>
      <c r="K86">
        <f>IF(OR(A86="",F86="",J86=""),"",TEXT(A86,"yyyymmdd")&amp;"|"&amp;F86&amp;"|"&amp;J86)</f>
        <v/>
      </c>
    </row>
    <row r="87">
      <c r="A87" s="174" t="n"/>
      <c r="B87" s="63" t="n"/>
      <c r="C87" s="63" t="n"/>
      <c r="D87" s="63" t="n"/>
      <c r="E87" s="63" t="n"/>
      <c r="F87" s="63" t="n"/>
      <c r="G87" s="175" t="n"/>
      <c r="H87" s="63" t="n"/>
      <c r="I87" s="63" t="n"/>
      <c r="J87">
        <f>IF(OR(A87="",F87=""),"",COUNTIFS($A$2:A87,A87,$F$2:F87,F87))</f>
        <v/>
      </c>
      <c r="K87">
        <f>IF(OR(A87="",F87="",J87=""),"",TEXT(A87,"yyyymmdd")&amp;"|"&amp;F87&amp;"|"&amp;J87)</f>
        <v/>
      </c>
    </row>
    <row r="88">
      <c r="A88" s="174" t="n"/>
      <c r="B88" s="63" t="n"/>
      <c r="C88" s="63" t="n"/>
      <c r="D88" s="63" t="n"/>
      <c r="E88" s="63" t="n"/>
      <c r="F88" s="63" t="n"/>
      <c r="G88" s="175" t="n"/>
      <c r="H88" s="63" t="n"/>
      <c r="I88" s="63" t="n"/>
      <c r="J88">
        <f>IF(OR(A88="",F88=""),"",COUNTIFS($A$2:A88,A88,$F$2:F88,F88))</f>
        <v/>
      </c>
      <c r="K88">
        <f>IF(OR(A88="",F88="",J88=""),"",TEXT(A88,"yyyymmdd")&amp;"|"&amp;F88&amp;"|"&amp;J88)</f>
        <v/>
      </c>
    </row>
    <row r="89">
      <c r="A89" s="174" t="n"/>
      <c r="B89" s="63" t="n"/>
      <c r="C89" s="63" t="n"/>
      <c r="D89" s="63" t="n"/>
      <c r="E89" s="63" t="n"/>
      <c r="F89" s="63" t="n"/>
      <c r="G89" s="175" t="n"/>
      <c r="H89" s="63" t="n"/>
      <c r="I89" s="63" t="n"/>
      <c r="J89">
        <f>IF(OR(A89="",F89=""),"",COUNTIFS($A$2:A89,A89,$F$2:F89,F89))</f>
        <v/>
      </c>
      <c r="K89">
        <f>IF(OR(A89="",F89="",J89=""),"",TEXT(A89,"yyyymmdd")&amp;"|"&amp;F89&amp;"|"&amp;J89)</f>
        <v/>
      </c>
    </row>
    <row r="90">
      <c r="A90" s="174" t="n"/>
      <c r="B90" s="63" t="n"/>
      <c r="C90" s="63" t="n"/>
      <c r="D90" s="63" t="n"/>
      <c r="E90" s="63" t="n"/>
      <c r="F90" s="63" t="n"/>
      <c r="G90" s="175" t="n"/>
      <c r="H90" s="63" t="n"/>
      <c r="I90" s="63" t="n"/>
      <c r="J90">
        <f>IF(OR(A90="",F90=""),"",COUNTIFS($A$2:A90,A90,$F$2:F90,F90))</f>
        <v/>
      </c>
      <c r="K90">
        <f>IF(OR(A90="",F90="",J90=""),"",TEXT(A90,"yyyymmdd")&amp;"|"&amp;F90&amp;"|"&amp;J90)</f>
        <v/>
      </c>
    </row>
    <row r="91">
      <c r="A91" s="174" t="n"/>
      <c r="B91" s="63" t="n"/>
      <c r="C91" s="63" t="n"/>
      <c r="D91" s="63" t="n"/>
      <c r="E91" s="63" t="n"/>
      <c r="F91" s="63" t="n"/>
      <c r="G91" s="175" t="n"/>
      <c r="H91" s="63" t="n"/>
      <c r="I91" s="63" t="n"/>
      <c r="J91">
        <f>IF(OR(A91="",F91=""),"",COUNTIFS($A$2:A91,A91,$F$2:F91,F91))</f>
        <v/>
      </c>
      <c r="K91">
        <f>IF(OR(A91="",F91="",J91=""),"",TEXT(A91,"yyyymmdd")&amp;"|"&amp;F91&amp;"|"&amp;J91)</f>
        <v/>
      </c>
    </row>
    <row r="92">
      <c r="A92" s="174" t="n"/>
      <c r="B92" s="63" t="n"/>
      <c r="C92" s="63" t="n"/>
      <c r="D92" s="63" t="n"/>
      <c r="E92" s="63" t="n"/>
      <c r="F92" s="63" t="n"/>
      <c r="G92" s="175" t="n"/>
      <c r="H92" s="63" t="n"/>
      <c r="I92" s="63" t="n"/>
      <c r="J92">
        <f>IF(OR(A92="",F92=""),"",COUNTIFS($A$2:A92,A92,$F$2:F92,F92))</f>
        <v/>
      </c>
      <c r="K92">
        <f>IF(OR(A92="",F92="",J92=""),"",TEXT(A92,"yyyymmdd")&amp;"|"&amp;F92&amp;"|"&amp;J92)</f>
        <v/>
      </c>
    </row>
    <row r="93">
      <c r="A93" s="174" t="n"/>
      <c r="B93" s="63" t="n"/>
      <c r="C93" s="63" t="n"/>
      <c r="D93" s="63" t="n"/>
      <c r="E93" s="63" t="n"/>
      <c r="F93" s="63" t="n"/>
      <c r="G93" s="175" t="n"/>
      <c r="H93" s="63" t="n"/>
      <c r="I93" s="63" t="n"/>
      <c r="J93">
        <f>IF(OR(A93="",F93=""),"",COUNTIFS($A$2:A93,A93,$F$2:F93,F93))</f>
        <v/>
      </c>
      <c r="K93">
        <f>IF(OR(A93="",F93="",J93=""),"",TEXT(A93,"yyyymmdd")&amp;"|"&amp;F93&amp;"|"&amp;J93)</f>
        <v/>
      </c>
    </row>
    <row r="94">
      <c r="A94" s="174" t="n"/>
      <c r="B94" s="63" t="n"/>
      <c r="C94" s="63" t="n"/>
      <c r="D94" s="63" t="n"/>
      <c r="E94" s="63" t="n"/>
      <c r="F94" s="63" t="n"/>
      <c r="G94" s="175" t="n"/>
      <c r="H94" s="63" t="n"/>
      <c r="I94" s="63" t="n"/>
      <c r="J94">
        <f>IF(OR(A94="",F94=""),"",COUNTIFS($A$2:A94,A94,$F$2:F94,F94))</f>
        <v/>
      </c>
      <c r="K94">
        <f>IF(OR(A94="",F94="",J94=""),"",TEXT(A94,"yyyymmdd")&amp;"|"&amp;F94&amp;"|"&amp;J94)</f>
        <v/>
      </c>
    </row>
    <row r="95">
      <c r="A95" s="174" t="n"/>
      <c r="B95" s="63" t="n"/>
      <c r="C95" s="63" t="n"/>
      <c r="D95" s="63" t="n"/>
      <c r="E95" s="63" t="n"/>
      <c r="F95" s="63" t="n"/>
      <c r="G95" s="175" t="n"/>
      <c r="H95" s="63" t="n"/>
      <c r="I95" s="63" t="n"/>
      <c r="J95">
        <f>IF(OR(A95="",F95=""),"",COUNTIFS($A$2:A95,A95,$F$2:F95,F95))</f>
        <v/>
      </c>
      <c r="K95">
        <f>IF(OR(A95="",F95="",J95=""),"",TEXT(A95,"yyyymmdd")&amp;"|"&amp;F95&amp;"|"&amp;J95)</f>
        <v/>
      </c>
    </row>
    <row r="96">
      <c r="A96" s="174" t="n"/>
      <c r="B96" s="63" t="n"/>
      <c r="C96" s="63" t="n"/>
      <c r="D96" s="63" t="n"/>
      <c r="E96" s="63" t="n"/>
      <c r="F96" s="63" t="n"/>
      <c r="G96" s="175" t="n"/>
      <c r="H96" s="63" t="n"/>
      <c r="I96" s="63" t="n"/>
      <c r="J96">
        <f>IF(OR(A96="",F96=""),"",COUNTIFS($A$2:A96,A96,$F$2:F96,F96))</f>
        <v/>
      </c>
      <c r="K96">
        <f>IF(OR(A96="",F96="",J96=""),"",TEXT(A96,"yyyymmdd")&amp;"|"&amp;F96&amp;"|"&amp;J96)</f>
        <v/>
      </c>
    </row>
    <row r="97">
      <c r="A97" s="174" t="n"/>
      <c r="B97" s="63" t="n"/>
      <c r="C97" s="63" t="n"/>
      <c r="D97" s="63" t="n"/>
      <c r="E97" s="63" t="n"/>
      <c r="F97" s="63" t="n"/>
      <c r="G97" s="175" t="n"/>
      <c r="H97" s="63" t="n"/>
      <c r="I97" s="63" t="n"/>
      <c r="J97">
        <f>IF(OR(A97="",F97=""),"",COUNTIFS($A$2:A97,A97,$F$2:F97,F97))</f>
        <v/>
      </c>
      <c r="K97">
        <f>IF(OR(A97="",F97="",J97=""),"",TEXT(A97,"yyyymmdd")&amp;"|"&amp;F97&amp;"|"&amp;J97)</f>
        <v/>
      </c>
    </row>
    <row r="98">
      <c r="A98" s="174" t="n"/>
      <c r="B98" s="63" t="n"/>
      <c r="C98" s="63" t="n"/>
      <c r="D98" s="63" t="n"/>
      <c r="E98" s="63" t="n"/>
      <c r="F98" s="63" t="n"/>
      <c r="G98" s="175" t="n"/>
      <c r="H98" s="63" t="n"/>
      <c r="I98" s="63" t="n"/>
      <c r="J98">
        <f>IF(OR(A98="",F98=""),"",COUNTIFS($A$2:A98,A98,$F$2:F98,F98))</f>
        <v/>
      </c>
      <c r="K98">
        <f>IF(OR(A98="",F98="",J98=""),"",TEXT(A98,"yyyymmdd")&amp;"|"&amp;F98&amp;"|"&amp;J98)</f>
        <v/>
      </c>
    </row>
    <row r="99">
      <c r="A99" s="174" t="n"/>
      <c r="B99" s="63" t="n"/>
      <c r="C99" s="63" t="n"/>
      <c r="D99" s="63" t="n"/>
      <c r="E99" s="63" t="n"/>
      <c r="F99" s="63" t="n"/>
      <c r="G99" s="175" t="n"/>
      <c r="H99" s="63" t="n"/>
      <c r="I99" s="63" t="n"/>
      <c r="J99">
        <f>IF(OR(A99="",F99=""),"",COUNTIFS($A$2:A99,A99,$F$2:F99,F99))</f>
        <v/>
      </c>
      <c r="K99">
        <f>IF(OR(A99="",F99="",J99=""),"",TEXT(A99,"yyyymmdd")&amp;"|"&amp;F99&amp;"|"&amp;J99)</f>
        <v/>
      </c>
    </row>
    <row r="100">
      <c r="A100" s="174" t="n"/>
      <c r="B100" s="63" t="n"/>
      <c r="C100" s="63" t="n"/>
      <c r="D100" s="63" t="n"/>
      <c r="E100" s="63" t="n"/>
      <c r="F100" s="63" t="n"/>
      <c r="G100" s="175" t="n"/>
      <c r="H100" s="63" t="n"/>
      <c r="I100" s="63" t="n"/>
      <c r="J100">
        <f>IF(OR(A100="",F100=""),"",COUNTIFS($A$2:A100,A100,$F$2:F100,F100))</f>
        <v/>
      </c>
      <c r="K100">
        <f>IF(OR(A100="",F100="",J100=""),"",TEXT(A100,"yyyymmdd")&amp;"|"&amp;F100&amp;"|"&amp;J100)</f>
        <v/>
      </c>
    </row>
    <row r="101">
      <c r="A101" s="174" t="n"/>
      <c r="B101" s="63" t="n"/>
      <c r="C101" s="63" t="n"/>
      <c r="D101" s="63" t="n"/>
      <c r="E101" s="63" t="n"/>
      <c r="F101" s="63" t="n"/>
      <c r="G101" s="175" t="n"/>
      <c r="H101" s="63" t="n"/>
      <c r="I101" s="63" t="n"/>
      <c r="J101">
        <f>IF(OR(A101="",F101=""),"",COUNTIFS($A$2:A101,A101,$F$2:F101,F101))</f>
        <v/>
      </c>
      <c r="K101">
        <f>IF(OR(A101="",F101="",J101=""),"",TEXT(A101,"yyyymmdd")&amp;"|"&amp;F101&amp;"|"&amp;J101)</f>
        <v/>
      </c>
    </row>
  </sheetData>
  <dataValidations count="2">
    <dataValidation sqref="G2:G101" showDropDown="0" showInputMessage="0" showErrorMessage="0" allowBlank="1" type="decimal">
      <formula1>0</formula1>
      <formula2>1</formula2>
    </dataValidation>
    <dataValidation sqref="H2:H101" showDropDown="0" showInputMessage="0" showErrorMessage="0" allowBlank="1" type="list">
      <formula1>"PROOF / INITIAL LOAD,CONFIRMED,TENTATIVE,OPEN,REMOVED"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H6" sqref="H6"/>
    </sheetView>
  </sheetViews>
  <sheetFormatPr baseColWidth="8" defaultRowHeight="12.75"/>
  <cols>
    <col width="14" customWidth="1" style="126" min="1" max="1"/>
    <col width="24" customWidth="1" style="126" min="2" max="2"/>
    <col width="20" customWidth="1" style="126" min="3" max="3"/>
    <col width="14" customWidth="1" style="126" min="4" max="4"/>
    <col width="32" customWidth="1" style="126" min="5" max="5"/>
    <col width="14" customWidth="1" style="126" min="6" max="7"/>
    <col width="16" customWidth="1" style="126" min="8" max="8"/>
    <col width="28" customWidth="1" style="126" min="9" max="9"/>
    <col width="42" customWidth="1" style="126" min="10" max="10"/>
  </cols>
  <sheetData>
    <row r="1">
      <c r="A1" s="38" t="inlineStr">
        <is>
          <t>Event Date</t>
        </is>
      </c>
      <c r="B1" s="38" t="inlineStr">
        <is>
          <t>Event Description</t>
        </is>
      </c>
      <c r="C1" s="38" t="inlineStr">
        <is>
          <t>NPO</t>
        </is>
      </c>
      <c r="D1" s="38" t="inlineStr">
        <is>
          <t>Location ID</t>
        </is>
      </c>
      <c r="E1" s="38" t="inlineStr">
        <is>
          <t>Location Description</t>
        </is>
      </c>
      <c r="F1" s="38" t="inlineStr">
        <is>
          <t>Gross Tips</t>
        </is>
      </c>
      <c r="G1" s="38" t="inlineStr">
        <is>
          <t>Allocation %</t>
        </is>
      </c>
      <c r="H1" s="38" t="inlineStr">
        <is>
          <t>Allocated Tips</t>
        </is>
      </c>
      <c r="I1" s="38" t="inlineStr">
        <is>
          <t>Source</t>
        </is>
      </c>
      <c r="J1" s="38" t="inlineStr">
        <is>
          <t>Notes</t>
        </is>
      </c>
    </row>
    <row r="2">
      <c r="A2" s="176" t="n">
        <v>46270</v>
      </c>
      <c r="B2" t="inlineStr">
        <is>
          <t>Football</t>
        </is>
      </c>
      <c r="C2" t="inlineStr">
        <is>
          <t>ARVC</t>
        </is>
      </c>
      <c r="D2" t="inlineStr">
        <is>
          <t>FB 106</t>
        </is>
      </c>
      <c r="E2" t="inlineStr">
        <is>
          <t>RED RALLY NORTH EAST</t>
        </is>
      </c>
      <c r="F2" s="31" t="n">
        <v>1905.76</v>
      </c>
      <c r="G2" s="168" t="n">
        <v>1</v>
      </c>
      <c r="H2" s="31">
        <f>F2*G2</f>
        <v/>
      </c>
      <c r="I2" t="inlineStr">
        <is>
          <t>ARVC - OG / proof</t>
        </is>
      </c>
      <c r="J2" t="inlineStr">
        <is>
          <t>Seeded from V7 ARVC gratuity line; replace with actual source when available.</t>
        </is>
      </c>
    </row>
    <row r="3">
      <c r="A3" s="176" t="n">
        <v>46270</v>
      </c>
      <c r="B3" t="inlineStr">
        <is>
          <t>Football</t>
        </is>
      </c>
      <c r="C3" t="inlineStr">
        <is>
          <t>ARVC</t>
        </is>
      </c>
      <c r="D3" t="inlineStr">
        <is>
          <t>FB 113</t>
        </is>
      </c>
      <c r="E3" t="inlineStr">
        <is>
          <t>MBP  MINI MELTS (NW)</t>
        </is>
      </c>
      <c r="F3" s="31" t="n">
        <v>154.32</v>
      </c>
      <c r="G3" s="168" t="n">
        <v>1</v>
      </c>
      <c r="H3" s="31">
        <f>F3*G3</f>
        <v/>
      </c>
      <c r="I3" t="inlineStr">
        <is>
          <t>ARVC - OG / proof</t>
        </is>
      </c>
      <c r="J3" t="inlineStr">
        <is>
          <t>Seeded from V7 ARVC gratuity line; replace with actual source when available.</t>
        </is>
      </c>
    </row>
    <row r="4">
      <c r="A4" s="176" t="n">
        <v>46270</v>
      </c>
      <c r="B4" t="inlineStr">
        <is>
          <t>Football</t>
        </is>
      </c>
      <c r="C4" t="inlineStr">
        <is>
          <t>ARVC</t>
        </is>
      </c>
      <c r="D4" t="inlineStr">
        <is>
          <t>FB 113B</t>
        </is>
      </c>
      <c r="E4" t="inlineStr">
        <is>
          <t>MBP  MINI MELTS (NE)</t>
        </is>
      </c>
      <c r="F4" s="31" t="n">
        <v>189</v>
      </c>
      <c r="G4" s="168" t="n">
        <v>1</v>
      </c>
      <c r="H4" s="31">
        <f>F4*G4</f>
        <v/>
      </c>
      <c r="I4" t="inlineStr">
        <is>
          <t>ARVC - OG / proof</t>
        </is>
      </c>
      <c r="J4" t="inlineStr">
        <is>
          <t>Seeded from V7 ARVC gratuity line; replace with actual source when available.</t>
        </is>
      </c>
    </row>
    <row r="5">
      <c r="A5" s="176" t="n">
        <v>46270</v>
      </c>
      <c r="B5" t="inlineStr">
        <is>
          <t>Football</t>
        </is>
      </c>
      <c r="C5" t="inlineStr">
        <is>
          <t>ARVC</t>
        </is>
      </c>
      <c r="D5" t="inlineStr">
        <is>
          <t>FB 100B</t>
        </is>
      </c>
      <c r="E5" t="inlineStr">
        <is>
          <t>MBP TRAILER N CONCOURSE</t>
        </is>
      </c>
      <c r="F5" s="31" t="n">
        <v>670.54</v>
      </c>
      <c r="G5" s="168" t="n">
        <v>1</v>
      </c>
      <c r="H5" s="31">
        <f>F5*G5</f>
        <v/>
      </c>
      <c r="I5" t="inlineStr">
        <is>
          <t>ARVC - OG / proof</t>
        </is>
      </c>
      <c r="J5" t="inlineStr">
        <is>
          <t>Seeded from V7 ARVC gratuity line; replace with actual source when available.</t>
        </is>
      </c>
    </row>
    <row r="6">
      <c r="A6" s="176" t="n">
        <v>46270</v>
      </c>
      <c r="B6" t="inlineStr">
        <is>
          <t>Football</t>
        </is>
      </c>
      <c r="C6" t="inlineStr">
        <is>
          <t>ARVC</t>
        </is>
      </c>
      <c r="D6" t="inlineStr">
        <is>
          <t>FB 107</t>
        </is>
      </c>
      <c r="E6" t="inlineStr">
        <is>
          <t>NE SPECIALTY DAWG O.G.</t>
        </is>
      </c>
      <c r="F6" s="31" t="n">
        <v>502.12</v>
      </c>
      <c r="G6" s="168" t="n">
        <v>1</v>
      </c>
      <c r="H6" s="31">
        <f>F6*G6</f>
        <v/>
      </c>
      <c r="I6" t="inlineStr">
        <is>
          <t>ARVC - OG / proof</t>
        </is>
      </c>
      <c r="J6" t="inlineStr">
        <is>
          <t>Seeded from V7 ARVC gratuity line; replace with actual source when available.</t>
        </is>
      </c>
    </row>
    <row r="7">
      <c r="A7" s="176" t="n"/>
      <c r="F7" s="31" t="n"/>
      <c r="G7" s="168" t="n"/>
      <c r="H7" s="31" t="n"/>
    </row>
    <row r="8">
      <c r="A8" s="176" t="n"/>
      <c r="F8" s="31" t="n"/>
      <c r="G8" s="168" t="n"/>
      <c r="H8" s="31" t="n"/>
    </row>
    <row r="9">
      <c r="A9" s="176" t="n"/>
      <c r="F9" s="31" t="n"/>
      <c r="G9" s="168" t="n"/>
      <c r="H9" s="31" t="n"/>
    </row>
    <row r="10">
      <c r="A10" s="176" t="n"/>
      <c r="F10" s="31" t="n"/>
      <c r="G10" s="168" t="n"/>
      <c r="H10" s="31" t="n"/>
    </row>
    <row r="11">
      <c r="A11" s="176" t="n"/>
      <c r="F11" s="31" t="n"/>
      <c r="G11" s="168" t="n"/>
      <c r="H11" s="31" t="n"/>
    </row>
    <row r="12">
      <c r="A12" s="176" t="n"/>
      <c r="F12" s="31" t="n"/>
      <c r="G12" s="168" t="n"/>
      <c r="H12" s="31" t="n"/>
    </row>
    <row r="13">
      <c r="A13" s="176" t="n"/>
      <c r="F13" s="31" t="n"/>
      <c r="G13" s="168" t="n"/>
      <c r="H13" s="31" t="n"/>
    </row>
    <row r="14">
      <c r="A14" s="176" t="n"/>
      <c r="F14" s="31" t="n"/>
      <c r="G14" s="168" t="n"/>
      <c r="H14" s="31" t="n"/>
    </row>
    <row r="15">
      <c r="A15" s="176" t="n"/>
      <c r="F15" s="31" t="n"/>
      <c r="G15" s="168" t="n"/>
      <c r="H15" s="31" t="n"/>
    </row>
    <row r="16">
      <c r="A16" s="176" t="n"/>
      <c r="F16" s="31" t="n"/>
      <c r="G16" s="168" t="n"/>
      <c r="H16" s="31" t="n"/>
    </row>
    <row r="17">
      <c r="A17" s="176" t="n"/>
      <c r="F17" s="31" t="n"/>
      <c r="G17" s="168" t="n"/>
      <c r="H17" s="31" t="n"/>
    </row>
    <row r="18">
      <c r="A18" s="176" t="n"/>
      <c r="F18" s="31" t="n"/>
      <c r="G18" s="168" t="n"/>
      <c r="H18" s="31" t="n"/>
    </row>
    <row r="19">
      <c r="A19" s="176" t="n"/>
      <c r="F19" s="31" t="n"/>
      <c r="G19" s="168" t="n"/>
      <c r="H19" s="31" t="n"/>
    </row>
    <row r="20">
      <c r="A20" s="176" t="n"/>
      <c r="F20" s="31" t="n"/>
      <c r="G20" s="168" t="n"/>
      <c r="H20" s="31" t="n"/>
    </row>
    <row r="21">
      <c r="A21" s="176" t="n"/>
      <c r="F21" s="31" t="n"/>
      <c r="G21" s="168" t="n"/>
      <c r="H21" s="31" t="n"/>
    </row>
    <row r="22">
      <c r="A22" s="176" t="n"/>
      <c r="F22" s="31" t="n"/>
      <c r="G22" s="168" t="n"/>
      <c r="H22" s="31" t="n"/>
    </row>
    <row r="23">
      <c r="A23" s="176" t="n"/>
      <c r="F23" s="31" t="n"/>
      <c r="G23" s="168" t="n"/>
      <c r="H23" s="31" t="n"/>
    </row>
    <row r="24">
      <c r="A24" s="176" t="n"/>
      <c r="F24" s="31" t="n"/>
      <c r="G24" s="168" t="n"/>
      <c r="H24" s="31" t="n"/>
    </row>
    <row r="25">
      <c r="A25" s="176" t="n"/>
      <c r="F25" s="31" t="n"/>
      <c r="G25" s="168" t="n"/>
      <c r="H25" s="31" t="n"/>
    </row>
    <row r="26">
      <c r="A26" s="176" t="n"/>
      <c r="F26" s="31" t="n"/>
      <c r="G26" s="168" t="n"/>
      <c r="H26" s="31" t="n"/>
    </row>
    <row r="27">
      <c r="A27" s="176" t="n"/>
      <c r="F27" s="31" t="n"/>
      <c r="G27" s="168" t="n"/>
      <c r="H27" s="31" t="n"/>
    </row>
    <row r="28">
      <c r="A28" s="176" t="n"/>
      <c r="F28" s="31" t="n"/>
      <c r="G28" s="168" t="n"/>
      <c r="H28" s="31" t="n"/>
    </row>
    <row r="29">
      <c r="A29" s="176" t="n"/>
      <c r="F29" s="31" t="n"/>
      <c r="G29" s="168" t="n"/>
      <c r="H29" s="31" t="n"/>
    </row>
    <row r="30">
      <c r="A30" s="176" t="n"/>
      <c r="F30" s="31" t="n"/>
      <c r="G30" s="168" t="n"/>
      <c r="H30" s="31" t="n"/>
    </row>
    <row r="31">
      <c r="A31" s="176" t="n"/>
      <c r="F31" s="31" t="n"/>
      <c r="G31" s="168" t="n"/>
      <c r="H31" s="31" t="n"/>
    </row>
    <row r="32">
      <c r="A32" s="176" t="n"/>
      <c r="F32" s="31" t="n"/>
      <c r="G32" s="168" t="n"/>
      <c r="H32" s="31" t="n"/>
    </row>
    <row r="33">
      <c r="A33" s="176" t="n"/>
      <c r="F33" s="31" t="n"/>
      <c r="G33" s="168" t="n"/>
      <c r="H33" s="31" t="n"/>
    </row>
    <row r="34">
      <c r="A34" s="176" t="n"/>
      <c r="F34" s="31" t="n"/>
      <c r="G34" s="168" t="n"/>
      <c r="H34" s="31" t="n"/>
    </row>
    <row r="35">
      <c r="A35" s="176" t="n"/>
      <c r="F35" s="31" t="n"/>
      <c r="G35" s="168" t="n"/>
      <c r="H35" s="31" t="n"/>
    </row>
    <row r="36">
      <c r="A36" s="176" t="n"/>
      <c r="F36" s="31" t="n"/>
      <c r="G36" s="168" t="n"/>
      <c r="H36" s="31" t="n"/>
    </row>
    <row r="37">
      <c r="A37" s="176" t="n"/>
      <c r="F37" s="31" t="n"/>
      <c r="G37" s="168" t="n"/>
      <c r="H37" s="31" t="n"/>
    </row>
    <row r="38">
      <c r="A38" s="176" t="n"/>
      <c r="F38" s="31" t="n"/>
      <c r="G38" s="168" t="n"/>
      <c r="H38" s="31" t="n"/>
    </row>
    <row r="39">
      <c r="A39" s="176" t="n"/>
      <c r="F39" s="31" t="n"/>
      <c r="G39" s="168" t="n"/>
      <c r="H39" s="31" t="n"/>
    </row>
    <row r="40">
      <c r="A40" s="176" t="n"/>
      <c r="F40" s="31" t="n"/>
      <c r="G40" s="168" t="n"/>
      <c r="H40" s="31" t="n"/>
    </row>
    <row r="41">
      <c r="A41" s="176" t="n"/>
      <c r="F41" s="31" t="n"/>
      <c r="G41" s="168" t="n"/>
      <c r="H41" s="31" t="n"/>
    </row>
    <row r="42">
      <c r="A42" s="176" t="n"/>
      <c r="F42" s="31" t="n"/>
      <c r="G42" s="168" t="n"/>
      <c r="H42" s="31" t="n"/>
    </row>
    <row r="43">
      <c r="A43" s="176" t="n"/>
      <c r="F43" s="31" t="n"/>
      <c r="G43" s="168" t="n"/>
      <c r="H43" s="31" t="n"/>
    </row>
    <row r="44">
      <c r="A44" s="176" t="n"/>
      <c r="F44" s="31" t="n"/>
      <c r="G44" s="168" t="n"/>
      <c r="H44" s="31" t="n"/>
    </row>
    <row r="45">
      <c r="A45" s="176" t="n"/>
      <c r="F45" s="31" t="n"/>
      <c r="G45" s="168" t="n"/>
      <c r="H45" s="31" t="n"/>
    </row>
    <row r="46">
      <c r="A46" s="176" t="n"/>
      <c r="F46" s="31" t="n"/>
      <c r="G46" s="168" t="n"/>
      <c r="H46" s="31" t="n"/>
    </row>
    <row r="47">
      <c r="A47" s="176" t="n"/>
      <c r="F47" s="31" t="n"/>
      <c r="G47" s="168" t="n"/>
      <c r="H47" s="31" t="n"/>
    </row>
    <row r="48">
      <c r="A48" s="176" t="n"/>
      <c r="F48" s="31" t="n"/>
      <c r="G48" s="168" t="n"/>
      <c r="H48" s="31" t="n"/>
    </row>
    <row r="49">
      <c r="A49" s="176" t="n"/>
      <c r="F49" s="31" t="n"/>
      <c r="G49" s="168" t="n"/>
      <c r="H49" s="31" t="n"/>
    </row>
    <row r="50">
      <c r="A50" s="176" t="n"/>
      <c r="F50" s="31" t="n"/>
      <c r="G50" s="168" t="n"/>
      <c r="H50" s="31" t="n"/>
    </row>
    <row r="51">
      <c r="A51" s="176" t="n"/>
      <c r="F51" s="31" t="n"/>
      <c r="G51" s="168" t="n"/>
      <c r="H51" s="31" t="n"/>
    </row>
    <row r="52">
      <c r="A52" s="176" t="n"/>
      <c r="F52" s="31" t="n"/>
      <c r="G52" s="168" t="n"/>
      <c r="H52" s="31" t="n"/>
    </row>
    <row r="53">
      <c r="A53" s="176" t="n"/>
      <c r="F53" s="31" t="n"/>
      <c r="G53" s="168" t="n"/>
      <c r="H53" s="31" t="n"/>
    </row>
    <row r="54">
      <c r="A54" s="176" t="n"/>
      <c r="F54" s="31" t="n"/>
      <c r="G54" s="168" t="n"/>
      <c r="H54" s="31" t="n"/>
    </row>
    <row r="55">
      <c r="A55" s="176" t="n"/>
      <c r="F55" s="31" t="n"/>
      <c r="G55" s="168" t="n"/>
      <c r="H55" s="31" t="n"/>
    </row>
    <row r="56">
      <c r="A56" s="176" t="n"/>
      <c r="F56" s="31" t="n"/>
      <c r="G56" s="168" t="n"/>
      <c r="H56" s="31" t="n"/>
    </row>
    <row r="57">
      <c r="A57" s="176" t="n"/>
      <c r="F57" s="31" t="n"/>
      <c r="G57" s="168" t="n"/>
      <c r="H57" s="31" t="n"/>
    </row>
    <row r="58">
      <c r="A58" s="176" t="n"/>
      <c r="F58" s="31" t="n"/>
      <c r="G58" s="168" t="n"/>
      <c r="H58" s="31" t="n"/>
    </row>
    <row r="59">
      <c r="A59" s="176" t="n"/>
      <c r="F59" s="31" t="n"/>
      <c r="G59" s="168" t="n"/>
      <c r="H59" s="31" t="n"/>
    </row>
    <row r="60">
      <c r="A60" s="176" t="n"/>
      <c r="F60" s="31" t="n"/>
      <c r="G60" s="168" t="n"/>
      <c r="H60" s="31" t="n"/>
    </row>
    <row r="61">
      <c r="A61" s="176" t="n"/>
      <c r="F61" s="31" t="n"/>
      <c r="G61" s="168" t="n"/>
      <c r="H61" s="31" t="n"/>
    </row>
    <row r="62">
      <c r="A62" s="176" t="n"/>
      <c r="F62" s="31" t="n"/>
      <c r="G62" s="168" t="n"/>
      <c r="H62" s="31" t="n"/>
    </row>
    <row r="63">
      <c r="A63" s="176" t="n"/>
      <c r="F63" s="31" t="n"/>
      <c r="G63" s="168" t="n"/>
      <c r="H63" s="31" t="n"/>
    </row>
    <row r="64">
      <c r="A64" s="176" t="n"/>
      <c r="F64" s="31" t="n"/>
      <c r="G64" s="168" t="n"/>
      <c r="H64" s="31" t="n"/>
    </row>
    <row r="65">
      <c r="A65" s="176" t="n"/>
      <c r="F65" s="31" t="n"/>
      <c r="G65" s="168" t="n"/>
      <c r="H65" s="31" t="n"/>
    </row>
    <row r="66">
      <c r="A66" s="176" t="n"/>
      <c r="F66" s="31" t="n"/>
      <c r="G66" s="168" t="n"/>
      <c r="H66" s="31" t="n"/>
    </row>
    <row r="67">
      <c r="A67" s="176" t="n"/>
      <c r="F67" s="31" t="n"/>
      <c r="G67" s="168" t="n"/>
      <c r="H67" s="31" t="n"/>
    </row>
    <row r="68">
      <c r="A68" s="176" t="n"/>
      <c r="F68" s="31" t="n"/>
      <c r="G68" s="168" t="n"/>
      <c r="H68" s="31" t="n"/>
    </row>
    <row r="69">
      <c r="A69" s="176" t="n"/>
      <c r="F69" s="31" t="n"/>
      <c r="G69" s="168" t="n"/>
      <c r="H69" s="31" t="n"/>
    </row>
    <row r="70">
      <c r="A70" s="176" t="n"/>
      <c r="F70" s="31" t="n"/>
      <c r="G70" s="168" t="n"/>
      <c r="H70" s="31" t="n"/>
    </row>
    <row r="71">
      <c r="A71" s="176" t="n"/>
      <c r="F71" s="31" t="n"/>
      <c r="G71" s="168" t="n"/>
      <c r="H71" s="31" t="n"/>
    </row>
    <row r="72">
      <c r="A72" s="176" t="n"/>
      <c r="F72" s="31" t="n"/>
      <c r="G72" s="168" t="n"/>
      <c r="H72" s="31" t="n"/>
    </row>
    <row r="73">
      <c r="A73" s="176" t="n"/>
      <c r="F73" s="31" t="n"/>
      <c r="G73" s="168" t="n"/>
      <c r="H73" s="31" t="n"/>
    </row>
    <row r="74">
      <c r="A74" s="176" t="n"/>
      <c r="F74" s="31" t="n"/>
      <c r="G74" s="168" t="n"/>
      <c r="H74" s="31" t="n"/>
    </row>
    <row r="75">
      <c r="A75" s="176" t="n"/>
      <c r="F75" s="31" t="n"/>
      <c r="G75" s="168" t="n"/>
      <c r="H75" s="31" t="n"/>
    </row>
    <row r="76">
      <c r="A76" s="176" t="n"/>
      <c r="F76" s="31" t="n"/>
      <c r="G76" s="168" t="n"/>
      <c r="H76" s="31" t="n"/>
    </row>
    <row r="77">
      <c r="A77" s="176" t="n"/>
      <c r="F77" s="31" t="n"/>
      <c r="G77" s="168" t="n"/>
      <c r="H77" s="31" t="n"/>
    </row>
    <row r="78">
      <c r="A78" s="176" t="n"/>
      <c r="F78" s="31" t="n"/>
      <c r="G78" s="168" t="n"/>
      <c r="H78" s="31" t="n"/>
    </row>
    <row r="79">
      <c r="A79" s="176" t="n"/>
      <c r="F79" s="31" t="n"/>
      <c r="G79" s="168" t="n"/>
      <c r="H79" s="31" t="n"/>
    </row>
    <row r="80">
      <c r="A80" s="176" t="n"/>
      <c r="F80" s="31" t="n"/>
      <c r="G80" s="168" t="n"/>
      <c r="H80" s="31" t="n"/>
    </row>
    <row r="81">
      <c r="A81" s="176" t="n"/>
      <c r="F81" s="31" t="n"/>
      <c r="G81" s="168" t="n"/>
      <c r="H81" s="31" t="n"/>
    </row>
    <row r="82">
      <c r="A82" s="176" t="n"/>
      <c r="F82" s="31" t="n"/>
      <c r="G82" s="168" t="n"/>
      <c r="H82" s="31" t="n"/>
    </row>
    <row r="83">
      <c r="A83" s="176" t="n"/>
      <c r="F83" s="31" t="n"/>
      <c r="G83" s="168" t="n"/>
      <c r="H83" s="31" t="n"/>
    </row>
    <row r="84">
      <c r="A84" s="176" t="n"/>
      <c r="F84" s="31" t="n"/>
      <c r="G84" s="168" t="n"/>
      <c r="H84" s="31" t="n"/>
    </row>
    <row r="85">
      <c r="A85" s="176" t="n"/>
      <c r="F85" s="31" t="n"/>
      <c r="G85" s="168" t="n"/>
      <c r="H85" s="31" t="n"/>
    </row>
    <row r="86">
      <c r="A86" s="176" t="n"/>
      <c r="F86" s="31" t="n"/>
      <c r="G86" s="168" t="n"/>
      <c r="H86" s="31" t="n"/>
    </row>
    <row r="87">
      <c r="A87" s="176" t="n"/>
      <c r="F87" s="31" t="n"/>
      <c r="G87" s="168" t="n"/>
      <c r="H87" s="31" t="n"/>
    </row>
    <row r="88">
      <c r="A88" s="176" t="n"/>
      <c r="F88" s="31" t="n"/>
      <c r="G88" s="168" t="n"/>
      <c r="H88" s="31" t="n"/>
    </row>
    <row r="89">
      <c r="A89" s="176" t="n"/>
      <c r="F89" s="31" t="n"/>
      <c r="G89" s="168" t="n"/>
      <c r="H89" s="31" t="n"/>
    </row>
    <row r="90">
      <c r="A90" s="176" t="n"/>
      <c r="F90" s="31" t="n"/>
      <c r="G90" s="168" t="n"/>
      <c r="H90" s="31" t="n"/>
    </row>
    <row r="91">
      <c r="A91" s="176" t="n"/>
      <c r="F91" s="31" t="n"/>
      <c r="G91" s="168" t="n"/>
      <c r="H91" s="31" t="n"/>
    </row>
    <row r="92">
      <c r="A92" s="176" t="n"/>
      <c r="F92" s="31" t="n"/>
      <c r="G92" s="168" t="n"/>
      <c r="H92" s="31" t="n"/>
    </row>
    <row r="93">
      <c r="A93" s="176" t="n"/>
      <c r="F93" s="31" t="n"/>
      <c r="G93" s="168" t="n"/>
      <c r="H93" s="31" t="n"/>
    </row>
    <row r="94">
      <c r="A94" s="176" t="n"/>
      <c r="F94" s="31" t="n"/>
      <c r="G94" s="168" t="n"/>
      <c r="H94" s="31" t="n"/>
    </row>
    <row r="95">
      <c r="A95" s="176" t="n"/>
      <c r="F95" s="31" t="n"/>
      <c r="G95" s="168" t="n"/>
      <c r="H95" s="31" t="n"/>
    </row>
    <row r="96">
      <c r="A96" s="176" t="n"/>
      <c r="F96" s="31" t="n"/>
      <c r="G96" s="168" t="n"/>
      <c r="H96" s="31" t="n"/>
    </row>
    <row r="97">
      <c r="A97" s="176" t="n"/>
      <c r="F97" s="31" t="n"/>
      <c r="G97" s="168" t="n"/>
      <c r="H97" s="31" t="n"/>
    </row>
    <row r="98">
      <c r="A98" s="176" t="n"/>
      <c r="F98" s="31" t="n"/>
      <c r="G98" s="168" t="n"/>
      <c r="H98" s="31" t="n"/>
    </row>
    <row r="99">
      <c r="A99" s="176" t="n"/>
      <c r="F99" s="31" t="n"/>
      <c r="G99" s="168" t="n"/>
      <c r="H99" s="31" t="n"/>
    </row>
    <row r="100">
      <c r="A100" s="176" t="n"/>
      <c r="F100" s="31" t="n"/>
      <c r="G100" s="168" t="n"/>
      <c r="H100" s="31" t="n"/>
    </row>
    <row r="101">
      <c r="A101" s="176" t="n"/>
      <c r="F101" s="31" t="n"/>
      <c r="G101" s="168" t="n"/>
      <c r="H101" s="31" t="n"/>
    </row>
  </sheetData>
  <dataValidations count="1">
    <dataValidation sqref="G2:G101" showDropDown="0" showInputMessage="0" showErrorMessage="0" allowBlank="1" type="decimal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2" sqref="A2"/>
    </sheetView>
  </sheetViews>
  <sheetFormatPr baseColWidth="8" defaultRowHeight="12.75"/>
  <cols>
    <col width="16.85546875" bestFit="1" customWidth="1" style="126" min="1" max="1"/>
    <col width="20" bestFit="1" customWidth="1" style="126" min="2" max="2"/>
    <col width="14" customWidth="1" style="126" min="3" max="3"/>
    <col width="16" customWidth="1" style="126" min="4" max="4"/>
    <col width="14" customWidth="1" style="126" min="5" max="6"/>
    <col width="18" customWidth="1" style="126" min="7" max="7"/>
    <col width="22" customWidth="1" style="126" min="8" max="8"/>
    <col width="94.28515625" bestFit="1" customWidth="1" style="126" min="9" max="9"/>
  </cols>
  <sheetData>
    <row r="1" ht="13.5" customHeight="1" s="126">
      <c r="A1" s="93" t="inlineStr">
        <is>
          <t>Event Date</t>
        </is>
      </c>
      <c r="B1" s="93" t="inlineStr">
        <is>
          <t>NPO</t>
        </is>
      </c>
      <c r="C1" s="93" t="inlineStr">
        <is>
          <t>Sales Incentive</t>
        </is>
      </c>
      <c r="D1" s="93" t="inlineStr">
        <is>
          <t>Culinary - Cook Fee</t>
        </is>
      </c>
      <c r="E1" s="93" t="inlineStr">
        <is>
          <t>Minimum Donation</t>
        </is>
      </c>
      <c r="F1" s="93" t="inlineStr">
        <is>
          <t>Bonus (Other)</t>
        </is>
      </c>
      <c r="G1" s="93" t="inlineStr">
        <is>
          <t>Deductible POS Shortages</t>
        </is>
      </c>
      <c r="H1" s="93" t="inlineStr">
        <is>
          <t>Uniform / Staffing / Cleaning Fees</t>
        </is>
      </c>
      <c r="I1" s="93" t="inlineStr">
        <is>
          <t>Notes</t>
        </is>
      </c>
      <c r="J1" s="157" t="inlineStr">
        <is>
          <t>HOW TO USE</t>
        </is>
      </c>
    </row>
    <row r="2">
      <c r="A2" s="177" t="n">
        <v>46270</v>
      </c>
      <c r="B2" t="inlineStr">
        <is>
          <t>ARVC</t>
        </is>
      </c>
      <c r="C2" s="178" t="n">
        <v>0</v>
      </c>
      <c r="D2" s="178" t="n">
        <v>0</v>
      </c>
      <c r="E2" s="178" t="n">
        <v>0</v>
      </c>
      <c r="F2" s="178" t="n">
        <v>0</v>
      </c>
      <c r="G2" s="178" t="n">
        <v>0</v>
      </c>
      <c r="H2" s="178" t="n">
        <v>0</v>
      </c>
      <c r="I2" t="inlineStr">
        <is>
          <t>Enter vendor-specific adjustments by Event + Payee. VENDOR PAYOUT reads these; it does not store them.</t>
        </is>
      </c>
      <c r="J2" s="140" t="inlineStr">
        <is>
          <t>Optional memory for Event + Payee. VENDOR PAYOUT shows these as grey SAVED REF. Day-of personal bonus/notes are edited in yellow on VENDOR PAYOUT for that PDF. Copy statement amounts here only when you want them to reload next time.</t>
        </is>
      </c>
    </row>
    <row r="3">
      <c r="A3" s="177" t="n">
        <v>46270</v>
      </c>
      <c r="B3" t="inlineStr">
        <is>
          <t>AIRFORCE</t>
        </is>
      </c>
      <c r="C3" s="178" t="n">
        <v>0</v>
      </c>
      <c r="D3" s="178" t="n">
        <v>0</v>
      </c>
      <c r="E3" s="178" t="n">
        <v>0</v>
      </c>
      <c r="F3" s="178" t="n">
        <v>0</v>
      </c>
      <c r="G3" s="178" t="n">
        <v>0</v>
      </c>
      <c r="H3" s="178" t="n">
        <v>0</v>
      </c>
    </row>
    <row r="4">
      <c r="A4" s="177" t="n">
        <v>46270</v>
      </c>
      <c r="B4" t="inlineStr">
        <is>
          <t>UNITED FIT</t>
        </is>
      </c>
      <c r="C4" s="178" t="n">
        <v>0</v>
      </c>
      <c r="D4" s="178" t="n">
        <v>0</v>
      </c>
      <c r="E4" s="178" t="n">
        <v>0</v>
      </c>
      <c r="F4" s="178" t="n">
        <v>0</v>
      </c>
      <c r="G4" s="178" t="n">
        <v>0</v>
      </c>
      <c r="H4" s="178" t="n">
        <v>0</v>
      </c>
    </row>
    <row r="5">
      <c r="A5" s="177" t="n">
        <v>46270</v>
      </c>
      <c r="B5" t="inlineStr">
        <is>
          <t>DCVA</t>
        </is>
      </c>
      <c r="C5" s="178" t="n">
        <v>0</v>
      </c>
      <c r="D5" s="178" t="n">
        <v>0</v>
      </c>
      <c r="E5" s="178" t="n">
        <v>0</v>
      </c>
      <c r="F5" s="178" t="n">
        <v>0</v>
      </c>
      <c r="G5" s="178" t="n">
        <v>0</v>
      </c>
      <c r="H5" s="178" t="n">
        <v>0</v>
      </c>
    </row>
    <row r="6">
      <c r="A6" s="177" t="n">
        <v>46270</v>
      </c>
      <c r="B6" t="inlineStr">
        <is>
          <t>DEL N CHEER</t>
        </is>
      </c>
      <c r="C6" s="178" t="n">
        <v>0</v>
      </c>
      <c r="D6" s="178" t="n">
        <v>0</v>
      </c>
      <c r="E6" s="178" t="n">
        <v>0</v>
      </c>
      <c r="F6" s="178" t="n">
        <v>0</v>
      </c>
      <c r="G6" s="178" t="n">
        <v>0</v>
      </c>
      <c r="H6" s="178" t="n">
        <v>0</v>
      </c>
    </row>
    <row r="7">
      <c r="A7" s="177" t="n">
        <v>46270</v>
      </c>
      <c r="B7" t="inlineStr">
        <is>
          <t>RIO GRANDE RGHS</t>
        </is>
      </c>
      <c r="C7" s="178" t="n">
        <v>0</v>
      </c>
      <c r="D7" s="178" t="n">
        <v>0</v>
      </c>
      <c r="E7" s="178" t="n">
        <v>0</v>
      </c>
      <c r="F7" s="178" t="n">
        <v>0</v>
      </c>
      <c r="G7" s="178" t="n">
        <v>0</v>
      </c>
      <c r="H7" s="178" t="n">
        <v>0</v>
      </c>
    </row>
    <row r="8">
      <c r="A8" s="177" t="n">
        <v>46270</v>
      </c>
      <c r="B8" t="inlineStr">
        <is>
          <t>VICTORY OUTREACH</t>
        </is>
      </c>
      <c r="C8" s="178" t="n">
        <v>0</v>
      </c>
      <c r="D8" s="178" t="n">
        <v>0</v>
      </c>
      <c r="E8" s="178" t="n">
        <v>0</v>
      </c>
      <c r="F8" s="178" t="n">
        <v>0</v>
      </c>
      <c r="G8" s="178" t="n">
        <v>0</v>
      </c>
      <c r="H8" s="178" t="n">
        <v>0</v>
      </c>
    </row>
  </sheetData>
  <mergeCells count="1">
    <mergeCell ref="J2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Levy Restaurants</dc:creator>
  <dc:language>en-US</dc:language>
  <dcterms:created xsi:type="dcterms:W3CDTF">2002-07-17T19:03:05Z</dcterms:created>
  <dcterms:modified xsi:type="dcterms:W3CDTF">2026-09-18T08:54:27Z</dcterms:modified>
  <cp:lastModifiedBy>Evan Gonzales</cp:lastModifiedBy>
  <cp:revision>0</cp:revision>
  <cp:lastPrinted>2026-09-17T06:50:00Z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act" fmtid="{D5CDD505-2E9C-101B-9397-08002B2CF9AE}" pid="2">
    <vt:lpwstr>565</vt:lpwstr>
  </property>
  <property name="Department" fmtid="{D5CDD505-2E9C-101B-9397-08002B2CF9AE}" pid="3">
    <vt:lpwstr>Concessions</vt:lpwstr>
  </property>
  <property name="Order" fmtid="{D5CDD505-2E9C-101B-9397-08002B2CF9AE}" pid="4">
    <vt:lpwstr>130200.000000000</vt:lpwstr>
  </property>
  <property name="OwlContentTargetOptionsOne" fmtid="{D5CDD505-2E9C-101B-9397-08002B2CF9AE}" pid="5">
    <vt:lpwstr>27;#Levy|b50391ad-6c41-4f72-ab11-2064718c1a0d</vt:lpwstr>
  </property>
  <property name="OwlDepartmentOwner" fmtid="{D5CDD505-2E9C-101B-9397-08002B2CF9AE}" pid="6">
    <vt:lpwstr>17;#Levy|b50391ad-6c41-4f72-ab11-2064718c1a0d</vt:lpwstr>
  </property>
  <property name="OwlDocPortalCategory" fmtid="{D5CDD505-2E9C-101B-9397-08002B2CF9AE}" pid="7">
    <vt:lpwstr/>
  </property>
  <property name="OwlTags" fmtid="{D5CDD505-2E9C-101B-9397-08002B2CF9AE}" pid="8">
    <vt:lpwstr/>
  </property>
  <property name="PostedBy" fmtid="{D5CDD505-2E9C-101B-9397-08002B2CF9AE}" pid="9">
    <vt:lpwstr>190</vt:lpwstr>
  </property>
  <property name="State" fmtid="{D5CDD505-2E9C-101B-9397-08002B2CF9AE}" pid="10">
    <vt:lpwstr/>
  </property>
  <property name="TaxKeyword" fmtid="{D5CDD505-2E9C-101B-9397-08002B2CF9AE}" pid="11">
    <vt:lpwstr/>
  </property>
  <property name="URL" fmtid="{D5CDD505-2E9C-101B-9397-08002B2CF9AE}" pid="12">
    <vt:lpwstr/>
  </property>
  <property name="_dlc_DocId" fmtid="{D5CDD505-2E9C-101B-9397-08002B2CF9AE}" pid="13">
    <vt:lpwstr>LEVYSOURCE-31-640</vt:lpwstr>
  </property>
  <property name="_dlc_DocIdItemGuid" fmtid="{D5CDD505-2E9C-101B-9397-08002B2CF9AE}" pid="14">
    <vt:lpwstr>79fa3bf7-0ca4-439a-b59f-17c9daaa7c34</vt:lpwstr>
  </property>
  <property name="_dlc_DocIdUrl" fmtid="{D5CDD505-2E9C-101B-9397-08002B2CF9AE}" pid="15">
    <vt:lpwstr>https://levysource.levyrestaurants.com/documentcenter/_layouts/DocIdRedir.aspx?ID=LEVYSOURCE-31-640, LEVYSOURCE-31-640</vt:lpwstr>
  </property>
  <property name="display_urn:schemas-microsoft-com:office:office#Author" fmtid="{D5CDD505-2E9C-101B-9397-08002B2CF9AE}" pid="16">
    <vt:lpwstr>Spayer, Dan</vt:lpwstr>
  </property>
  <property name="display_urn:schemas-microsoft-com:office:office#Contact" fmtid="{D5CDD505-2E9C-101B-9397-08002B2CF9AE}" pid="17">
    <vt:lpwstr>nori bonaventura</vt:lpwstr>
  </property>
  <property name="display_urn:schemas-microsoft-com:office:office#Editor" fmtid="{D5CDD505-2E9C-101B-9397-08002B2CF9AE}" pid="18">
    <vt:lpwstr>Spayer, Dan</vt:lpwstr>
  </property>
</Properties>
</file>