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Qev\Downloads\"/>
    </mc:Choice>
  </mc:AlternateContent>
  <xr:revisionPtr revIDLastSave="0" documentId="8_{93B7D42B-3C01-48AF-9CD5-EAD8BCB76EE1}" xr6:coauthVersionLast="47" xr6:coauthVersionMax="47" xr10:uidLastSave="{00000000-0000-0000-0000-000000000000}"/>
  <bookViews>
    <workbookView xWindow="-28920" yWindow="-120" windowWidth="29040" windowHeight="17520" tabRatio="699" xr2:uid="{00000000-000D-0000-FFFF-FFFF00000000}"/>
  </bookViews>
  <sheets>
    <sheet name="SET-UP &amp; SUMMARY" sheetId="1" r:id="rId1"/>
    <sheet name="VENDOR PAYOUT" sheetId="2" r:id="rId2"/>
    <sheet name="MSR RAW" sheetId="3" r:id="rId3"/>
    <sheet name="CATEGORY MAP" sheetId="4" r:id="rId4"/>
    <sheet name="MSR DATA" sheetId="5" r:id="rId5"/>
    <sheet name="CONTRACT CALC" sheetId="6" r:id="rId6"/>
    <sheet name="EVENT ASSIGNMENT" sheetId="7" r:id="rId7"/>
    <sheet name="TIPS DATA" sheetId="8" r:id="rId8"/>
    <sheet name="SUPPLEMENTAL DATA" sheetId="9" r:id="rId9"/>
  </sheets>
  <definedNames>
    <definedName name="_xlnm._FilterDatabase" localSheetId="5" hidden="1">'CONTRACT CALC'!$A$12:$L$112</definedName>
    <definedName name="_xlnm._FilterDatabase" localSheetId="2" hidden="1">'MSR RAW'!$A$1:$W$175</definedName>
    <definedName name="_xlnm.Print_Area" localSheetId="1">'VENDOR PAYOUT'!$B$2:$I$51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H6" i="8"/>
  <c r="H5" i="8"/>
  <c r="H4" i="8"/>
  <c r="H3" i="8"/>
  <c r="H2" i="8"/>
  <c r="J101" i="7"/>
  <c r="K101" i="7" s="1"/>
  <c r="J100" i="7"/>
  <c r="K100" i="7" s="1"/>
  <c r="J99" i="7"/>
  <c r="K99" i="7" s="1"/>
  <c r="J98" i="7"/>
  <c r="K98" i="7" s="1"/>
  <c r="J97" i="7"/>
  <c r="K97" i="7" s="1"/>
  <c r="J96" i="7"/>
  <c r="K96" i="7" s="1"/>
  <c r="J95" i="7"/>
  <c r="K95" i="7" s="1"/>
  <c r="J94" i="7"/>
  <c r="K94" i="7" s="1"/>
  <c r="J93" i="7"/>
  <c r="K93" i="7" s="1"/>
  <c r="J92" i="7"/>
  <c r="K92" i="7" s="1"/>
  <c r="J91" i="7"/>
  <c r="K91" i="7" s="1"/>
  <c r="J90" i="7"/>
  <c r="K90" i="7" s="1"/>
  <c r="J89" i="7"/>
  <c r="K89" i="7" s="1"/>
  <c r="J88" i="7"/>
  <c r="K88" i="7" s="1"/>
  <c r="J87" i="7"/>
  <c r="K87" i="7" s="1"/>
  <c r="J86" i="7"/>
  <c r="K86" i="7" s="1"/>
  <c r="J85" i="7"/>
  <c r="K85" i="7" s="1"/>
  <c r="J84" i="7"/>
  <c r="K84" i="7" s="1"/>
  <c r="J83" i="7"/>
  <c r="K83" i="7" s="1"/>
  <c r="J82" i="7"/>
  <c r="K82" i="7" s="1"/>
  <c r="J81" i="7"/>
  <c r="K81" i="7" s="1"/>
  <c r="J80" i="7"/>
  <c r="K80" i="7" s="1"/>
  <c r="J79" i="7"/>
  <c r="K79" i="7" s="1"/>
  <c r="J78" i="7"/>
  <c r="K78" i="7" s="1"/>
  <c r="J77" i="7"/>
  <c r="K77" i="7" s="1"/>
  <c r="J76" i="7"/>
  <c r="K76" i="7" s="1"/>
  <c r="J75" i="7"/>
  <c r="K75" i="7" s="1"/>
  <c r="J74" i="7"/>
  <c r="K74" i="7" s="1"/>
  <c r="J73" i="7"/>
  <c r="K73" i="7" s="1"/>
  <c r="J72" i="7"/>
  <c r="K72" i="7" s="1"/>
  <c r="J71" i="7"/>
  <c r="K71" i="7" s="1"/>
  <c r="J70" i="7"/>
  <c r="K70" i="7" s="1"/>
  <c r="J69" i="7"/>
  <c r="K69" i="7" s="1"/>
  <c r="J68" i="7"/>
  <c r="K68" i="7" s="1"/>
  <c r="J67" i="7"/>
  <c r="K67" i="7" s="1"/>
  <c r="J66" i="7"/>
  <c r="K66" i="7" s="1"/>
  <c r="J65" i="7"/>
  <c r="K65" i="7" s="1"/>
  <c r="J64" i="7"/>
  <c r="K64" i="7" s="1"/>
  <c r="J63" i="7"/>
  <c r="K63" i="7" s="1"/>
  <c r="J62" i="7"/>
  <c r="K62" i="7" s="1"/>
  <c r="J61" i="7"/>
  <c r="K61" i="7" s="1"/>
  <c r="J60" i="7"/>
  <c r="K60" i="7" s="1"/>
  <c r="J59" i="7"/>
  <c r="K59" i="7" s="1"/>
  <c r="J58" i="7"/>
  <c r="K58" i="7" s="1"/>
  <c r="J57" i="7"/>
  <c r="K57" i="7" s="1"/>
  <c r="J56" i="7"/>
  <c r="K56" i="7" s="1"/>
  <c r="J55" i="7"/>
  <c r="K55" i="7" s="1"/>
  <c r="J54" i="7"/>
  <c r="K54" i="7" s="1"/>
  <c r="J53" i="7"/>
  <c r="K53" i="7" s="1"/>
  <c r="J52" i="7"/>
  <c r="K52" i="7" s="1"/>
  <c r="J51" i="7"/>
  <c r="K51" i="7" s="1"/>
  <c r="J50" i="7"/>
  <c r="K50" i="7" s="1"/>
  <c r="J49" i="7"/>
  <c r="K49" i="7" s="1"/>
  <c r="J48" i="7"/>
  <c r="K48" i="7" s="1"/>
  <c r="J47" i="7"/>
  <c r="K47" i="7" s="1"/>
  <c r="J46" i="7"/>
  <c r="K46" i="7" s="1"/>
  <c r="J45" i="7"/>
  <c r="K45" i="7" s="1"/>
  <c r="J44" i="7"/>
  <c r="K44" i="7" s="1"/>
  <c r="J43" i="7"/>
  <c r="K43" i="7" s="1"/>
  <c r="J42" i="7"/>
  <c r="K42" i="7" s="1"/>
  <c r="J41" i="7"/>
  <c r="K41" i="7" s="1"/>
  <c r="J40" i="7"/>
  <c r="K40" i="7" s="1"/>
  <c r="J39" i="7"/>
  <c r="K39" i="7" s="1"/>
  <c r="J38" i="7"/>
  <c r="K38" i="7" s="1"/>
  <c r="J37" i="7"/>
  <c r="K37" i="7" s="1"/>
  <c r="J36" i="7"/>
  <c r="K36" i="7" s="1"/>
  <c r="J35" i="7"/>
  <c r="K35" i="7" s="1"/>
  <c r="J34" i="7"/>
  <c r="K34" i="7" s="1"/>
  <c r="J33" i="7"/>
  <c r="K33" i="7" s="1"/>
  <c r="J32" i="7"/>
  <c r="K32" i="7" s="1"/>
  <c r="J31" i="7"/>
  <c r="K31" i="7" s="1"/>
  <c r="J30" i="7"/>
  <c r="K30" i="7" s="1"/>
  <c r="J29" i="7"/>
  <c r="K29" i="7" s="1"/>
  <c r="J28" i="7"/>
  <c r="K28" i="7" s="1"/>
  <c r="J27" i="7"/>
  <c r="K27" i="7" s="1"/>
  <c r="J26" i="7"/>
  <c r="K26" i="7" s="1"/>
  <c r="J25" i="7"/>
  <c r="K25" i="7" s="1"/>
  <c r="J24" i="7"/>
  <c r="K24" i="7" s="1"/>
  <c r="J23" i="7"/>
  <c r="K23" i="7" s="1"/>
  <c r="J22" i="7"/>
  <c r="K22" i="7" s="1"/>
  <c r="J21" i="7"/>
  <c r="K21" i="7" s="1"/>
  <c r="J20" i="7"/>
  <c r="K20" i="7" s="1"/>
  <c r="J19" i="7"/>
  <c r="K19" i="7" s="1"/>
  <c r="J18" i="7"/>
  <c r="K18" i="7" s="1"/>
  <c r="J17" i="7"/>
  <c r="K17" i="7" s="1"/>
  <c r="J16" i="7"/>
  <c r="K16" i="7" s="1"/>
  <c r="J15" i="7"/>
  <c r="K15" i="7" s="1"/>
  <c r="J14" i="7"/>
  <c r="K14" i="7" s="1"/>
  <c r="J13" i="7"/>
  <c r="K13" i="7" s="1"/>
  <c r="J12" i="7"/>
  <c r="K12" i="7" s="1"/>
  <c r="J11" i="7"/>
  <c r="K11" i="7" s="1"/>
  <c r="J10" i="7"/>
  <c r="K10" i="7" s="1"/>
  <c r="J9" i="7"/>
  <c r="K9" i="7" s="1"/>
  <c r="J8" i="7"/>
  <c r="K8" i="7" s="1"/>
  <c r="J7" i="7"/>
  <c r="K7" i="7" s="1"/>
  <c r="J6" i="7"/>
  <c r="K6" i="7" s="1"/>
  <c r="J5" i="7"/>
  <c r="K5" i="7" s="1"/>
  <c r="J4" i="7"/>
  <c r="K4" i="7" s="1"/>
  <c r="J3" i="7"/>
  <c r="K3" i="7" s="1"/>
  <c r="J2" i="7"/>
  <c r="K2" i="7" s="1"/>
  <c r="F112" i="6"/>
  <c r="E112" i="6"/>
  <c r="G112" i="6" s="1"/>
  <c r="D112" i="6"/>
  <c r="C112" i="6"/>
  <c r="B112" i="6"/>
  <c r="L112" i="6" s="1"/>
  <c r="A112" i="6"/>
  <c r="F111" i="6"/>
  <c r="E111" i="6"/>
  <c r="H111" i="6" s="1"/>
  <c r="D111" i="6"/>
  <c r="C111" i="6"/>
  <c r="B111" i="6"/>
  <c r="L111" i="6" s="1"/>
  <c r="A111" i="6"/>
  <c r="F110" i="6"/>
  <c r="E110" i="6"/>
  <c r="H110" i="6" s="1"/>
  <c r="D110" i="6"/>
  <c r="C110" i="6"/>
  <c r="B110" i="6"/>
  <c r="L110" i="6" s="1"/>
  <c r="A110" i="6"/>
  <c r="F109" i="6"/>
  <c r="E109" i="6"/>
  <c r="H109" i="6" s="1"/>
  <c r="D109" i="6"/>
  <c r="C109" i="6"/>
  <c r="B109" i="6"/>
  <c r="L109" i="6" s="1"/>
  <c r="A109" i="6"/>
  <c r="F108" i="6"/>
  <c r="E108" i="6"/>
  <c r="H108" i="6" s="1"/>
  <c r="D108" i="6"/>
  <c r="C108" i="6"/>
  <c r="B108" i="6"/>
  <c r="L108" i="6" s="1"/>
  <c r="A108" i="6"/>
  <c r="F107" i="6"/>
  <c r="E107" i="6"/>
  <c r="H107" i="6" s="1"/>
  <c r="D107" i="6"/>
  <c r="C107" i="6"/>
  <c r="B107" i="6"/>
  <c r="L107" i="6" s="1"/>
  <c r="A107" i="6"/>
  <c r="F106" i="6"/>
  <c r="E106" i="6"/>
  <c r="G106" i="6" s="1"/>
  <c r="D106" i="6"/>
  <c r="C106" i="6"/>
  <c r="B106" i="6"/>
  <c r="L106" i="6" s="1"/>
  <c r="A106" i="6"/>
  <c r="F105" i="6"/>
  <c r="E105" i="6"/>
  <c r="H105" i="6" s="1"/>
  <c r="D105" i="6"/>
  <c r="C105" i="6"/>
  <c r="B105" i="6"/>
  <c r="L105" i="6" s="1"/>
  <c r="A105" i="6"/>
  <c r="F104" i="6"/>
  <c r="E104" i="6"/>
  <c r="H104" i="6" s="1"/>
  <c r="D104" i="6"/>
  <c r="C104" i="6"/>
  <c r="B104" i="6"/>
  <c r="L104" i="6" s="1"/>
  <c r="A104" i="6"/>
  <c r="F103" i="6"/>
  <c r="E103" i="6"/>
  <c r="H103" i="6" s="1"/>
  <c r="D103" i="6"/>
  <c r="C103" i="6"/>
  <c r="B103" i="6"/>
  <c r="L103" i="6" s="1"/>
  <c r="A103" i="6"/>
  <c r="F102" i="6"/>
  <c r="E102" i="6"/>
  <c r="H102" i="6" s="1"/>
  <c r="D102" i="6"/>
  <c r="C102" i="6"/>
  <c r="B102" i="6"/>
  <c r="L102" i="6" s="1"/>
  <c r="A102" i="6"/>
  <c r="F101" i="6"/>
  <c r="E101" i="6"/>
  <c r="H101" i="6" s="1"/>
  <c r="D101" i="6"/>
  <c r="C101" i="6"/>
  <c r="B101" i="6"/>
  <c r="L101" i="6" s="1"/>
  <c r="A101" i="6"/>
  <c r="F100" i="6"/>
  <c r="E100" i="6"/>
  <c r="H100" i="6" s="1"/>
  <c r="D100" i="6"/>
  <c r="C100" i="6"/>
  <c r="B100" i="6"/>
  <c r="L100" i="6" s="1"/>
  <c r="A100" i="6"/>
  <c r="F99" i="6"/>
  <c r="E99" i="6"/>
  <c r="G99" i="6" s="1"/>
  <c r="D99" i="6"/>
  <c r="C99" i="6"/>
  <c r="B99" i="6"/>
  <c r="L99" i="6" s="1"/>
  <c r="A99" i="6"/>
  <c r="F98" i="6"/>
  <c r="E98" i="6"/>
  <c r="G98" i="6" s="1"/>
  <c r="D98" i="6"/>
  <c r="C98" i="6"/>
  <c r="B98" i="6"/>
  <c r="L98" i="6" s="1"/>
  <c r="A98" i="6"/>
  <c r="F97" i="6"/>
  <c r="E97" i="6"/>
  <c r="H97" i="6" s="1"/>
  <c r="D97" i="6"/>
  <c r="C97" i="6"/>
  <c r="B97" i="6"/>
  <c r="L97" i="6" s="1"/>
  <c r="A97" i="6"/>
  <c r="F96" i="6"/>
  <c r="E96" i="6"/>
  <c r="H96" i="6" s="1"/>
  <c r="D96" i="6"/>
  <c r="C96" i="6"/>
  <c r="B96" i="6"/>
  <c r="L96" i="6" s="1"/>
  <c r="A96" i="6"/>
  <c r="F95" i="6"/>
  <c r="E95" i="6"/>
  <c r="H95" i="6" s="1"/>
  <c r="D95" i="6"/>
  <c r="C95" i="6"/>
  <c r="B95" i="6"/>
  <c r="L95" i="6" s="1"/>
  <c r="A95" i="6"/>
  <c r="F94" i="6"/>
  <c r="E94" i="6"/>
  <c r="G94" i="6" s="1"/>
  <c r="D94" i="6"/>
  <c r="C94" i="6"/>
  <c r="B94" i="6"/>
  <c r="L94" i="6" s="1"/>
  <c r="A94" i="6"/>
  <c r="F93" i="6"/>
  <c r="E93" i="6"/>
  <c r="H93" i="6" s="1"/>
  <c r="D93" i="6"/>
  <c r="C93" i="6"/>
  <c r="B93" i="6"/>
  <c r="L93" i="6" s="1"/>
  <c r="A93" i="6"/>
  <c r="F92" i="6"/>
  <c r="E92" i="6"/>
  <c r="G92" i="6" s="1"/>
  <c r="D92" i="6"/>
  <c r="C92" i="6"/>
  <c r="B92" i="6"/>
  <c r="L92" i="6" s="1"/>
  <c r="A92" i="6"/>
  <c r="F91" i="6"/>
  <c r="E91" i="6"/>
  <c r="H91" i="6" s="1"/>
  <c r="D91" i="6"/>
  <c r="C91" i="6"/>
  <c r="B91" i="6"/>
  <c r="L91" i="6" s="1"/>
  <c r="A91" i="6"/>
  <c r="F90" i="6"/>
  <c r="E90" i="6"/>
  <c r="G90" i="6" s="1"/>
  <c r="D90" i="6"/>
  <c r="C90" i="6"/>
  <c r="B90" i="6"/>
  <c r="L90" i="6" s="1"/>
  <c r="A90" i="6"/>
  <c r="F89" i="6"/>
  <c r="E89" i="6"/>
  <c r="H89" i="6" s="1"/>
  <c r="D89" i="6"/>
  <c r="C89" i="6"/>
  <c r="B89" i="6"/>
  <c r="L89" i="6" s="1"/>
  <c r="A89" i="6"/>
  <c r="F88" i="6"/>
  <c r="E88" i="6"/>
  <c r="H88" i="6" s="1"/>
  <c r="D88" i="6"/>
  <c r="C88" i="6"/>
  <c r="B88" i="6"/>
  <c r="L88" i="6" s="1"/>
  <c r="A88" i="6"/>
  <c r="F87" i="6"/>
  <c r="E87" i="6"/>
  <c r="H87" i="6" s="1"/>
  <c r="D87" i="6"/>
  <c r="C87" i="6"/>
  <c r="B87" i="6"/>
  <c r="L87" i="6" s="1"/>
  <c r="A87" i="6"/>
  <c r="F86" i="6"/>
  <c r="E86" i="6"/>
  <c r="G86" i="6" s="1"/>
  <c r="D86" i="6"/>
  <c r="C86" i="6"/>
  <c r="B86" i="6"/>
  <c r="L86" i="6" s="1"/>
  <c r="A86" i="6"/>
  <c r="F85" i="6"/>
  <c r="E85" i="6"/>
  <c r="D85" i="6"/>
  <c r="C85" i="6"/>
  <c r="B85" i="6"/>
  <c r="L85" i="6" s="1"/>
  <c r="A85" i="6"/>
  <c r="F84" i="6"/>
  <c r="E84" i="6"/>
  <c r="D84" i="6"/>
  <c r="C84" i="6"/>
  <c r="B84" i="6"/>
  <c r="L84" i="6" s="1"/>
  <c r="A84" i="6"/>
  <c r="F83" i="6"/>
  <c r="E83" i="6"/>
  <c r="H83" i="6" s="1"/>
  <c r="D83" i="6"/>
  <c r="C83" i="6"/>
  <c r="B83" i="6"/>
  <c r="L83" i="6" s="1"/>
  <c r="A83" i="6"/>
  <c r="F82" i="6"/>
  <c r="E82" i="6"/>
  <c r="G82" i="6" s="1"/>
  <c r="D82" i="6"/>
  <c r="C82" i="6"/>
  <c r="B82" i="6"/>
  <c r="L82" i="6" s="1"/>
  <c r="A82" i="6"/>
  <c r="F81" i="6"/>
  <c r="E81" i="6"/>
  <c r="G81" i="6" s="1"/>
  <c r="D81" i="6"/>
  <c r="C81" i="6"/>
  <c r="B81" i="6"/>
  <c r="L81" i="6" s="1"/>
  <c r="A81" i="6"/>
  <c r="F80" i="6"/>
  <c r="E80" i="6"/>
  <c r="G80" i="6" s="1"/>
  <c r="D80" i="6"/>
  <c r="C80" i="6"/>
  <c r="B80" i="6"/>
  <c r="L80" i="6" s="1"/>
  <c r="A80" i="6"/>
  <c r="F79" i="6"/>
  <c r="E79" i="6"/>
  <c r="H79" i="6" s="1"/>
  <c r="D79" i="6"/>
  <c r="C79" i="6"/>
  <c r="B79" i="6"/>
  <c r="L79" i="6" s="1"/>
  <c r="A79" i="6"/>
  <c r="F78" i="6"/>
  <c r="E78" i="6"/>
  <c r="G78" i="6" s="1"/>
  <c r="D78" i="6"/>
  <c r="C78" i="6"/>
  <c r="B78" i="6"/>
  <c r="L78" i="6" s="1"/>
  <c r="A78" i="6"/>
  <c r="F77" i="6"/>
  <c r="E77" i="6"/>
  <c r="D77" i="6"/>
  <c r="C77" i="6"/>
  <c r="B77" i="6"/>
  <c r="L77" i="6" s="1"/>
  <c r="A77" i="6"/>
  <c r="F76" i="6"/>
  <c r="E76" i="6"/>
  <c r="D76" i="6"/>
  <c r="C76" i="6"/>
  <c r="B76" i="6"/>
  <c r="L76" i="6" s="1"/>
  <c r="A76" i="6"/>
  <c r="F75" i="6"/>
  <c r="E75" i="6"/>
  <c r="D75" i="6"/>
  <c r="C75" i="6"/>
  <c r="B75" i="6"/>
  <c r="L75" i="6" s="1"/>
  <c r="A75" i="6"/>
  <c r="F74" i="6"/>
  <c r="E74" i="6"/>
  <c r="H74" i="6" s="1"/>
  <c r="D74" i="6"/>
  <c r="C74" i="6"/>
  <c r="B74" i="6"/>
  <c r="L74" i="6" s="1"/>
  <c r="A74" i="6"/>
  <c r="F73" i="6"/>
  <c r="E73" i="6"/>
  <c r="H73" i="6" s="1"/>
  <c r="D73" i="6"/>
  <c r="C73" i="6"/>
  <c r="B73" i="6"/>
  <c r="L73" i="6" s="1"/>
  <c r="A73" i="6"/>
  <c r="F72" i="6"/>
  <c r="E72" i="6"/>
  <c r="G72" i="6" s="1"/>
  <c r="D72" i="6"/>
  <c r="C72" i="6"/>
  <c r="B72" i="6"/>
  <c r="L72" i="6" s="1"/>
  <c r="A72" i="6"/>
  <c r="F71" i="6"/>
  <c r="E71" i="6"/>
  <c r="H71" i="6" s="1"/>
  <c r="D71" i="6"/>
  <c r="C71" i="6"/>
  <c r="B71" i="6"/>
  <c r="L71" i="6" s="1"/>
  <c r="A71" i="6"/>
  <c r="F70" i="6"/>
  <c r="E70" i="6"/>
  <c r="G70" i="6" s="1"/>
  <c r="D70" i="6"/>
  <c r="C70" i="6"/>
  <c r="B70" i="6"/>
  <c r="L70" i="6" s="1"/>
  <c r="A70" i="6"/>
  <c r="F69" i="6"/>
  <c r="E69" i="6"/>
  <c r="H69" i="6" s="1"/>
  <c r="D69" i="6"/>
  <c r="C69" i="6"/>
  <c r="B69" i="6"/>
  <c r="L69" i="6" s="1"/>
  <c r="A69" i="6"/>
  <c r="F68" i="6"/>
  <c r="E68" i="6"/>
  <c r="G68" i="6" s="1"/>
  <c r="D68" i="6"/>
  <c r="C68" i="6"/>
  <c r="B68" i="6"/>
  <c r="L68" i="6" s="1"/>
  <c r="A68" i="6"/>
  <c r="F67" i="6"/>
  <c r="E67" i="6"/>
  <c r="G67" i="6" s="1"/>
  <c r="D67" i="6"/>
  <c r="C67" i="6"/>
  <c r="B67" i="6"/>
  <c r="L67" i="6" s="1"/>
  <c r="A67" i="6"/>
  <c r="F66" i="6"/>
  <c r="E66" i="6"/>
  <c r="G66" i="6" s="1"/>
  <c r="D66" i="6"/>
  <c r="C66" i="6"/>
  <c r="B66" i="6"/>
  <c r="L66" i="6" s="1"/>
  <c r="A66" i="6"/>
  <c r="F65" i="6"/>
  <c r="E65" i="6"/>
  <c r="D65" i="6"/>
  <c r="C65" i="6"/>
  <c r="B65" i="6"/>
  <c r="L65" i="6" s="1"/>
  <c r="A65" i="6"/>
  <c r="F64" i="6"/>
  <c r="E64" i="6"/>
  <c r="G64" i="6" s="1"/>
  <c r="D64" i="6"/>
  <c r="C64" i="6"/>
  <c r="B64" i="6"/>
  <c r="L64" i="6" s="1"/>
  <c r="A64" i="6"/>
  <c r="F63" i="6"/>
  <c r="E63" i="6"/>
  <c r="D63" i="6"/>
  <c r="C63" i="6"/>
  <c r="B63" i="6"/>
  <c r="L63" i="6" s="1"/>
  <c r="A63" i="6"/>
  <c r="F62" i="6"/>
  <c r="E62" i="6"/>
  <c r="G62" i="6" s="1"/>
  <c r="D62" i="6"/>
  <c r="C62" i="6"/>
  <c r="B62" i="6"/>
  <c r="L62" i="6" s="1"/>
  <c r="A62" i="6"/>
  <c r="F61" i="6"/>
  <c r="E61" i="6"/>
  <c r="H61" i="6" s="1"/>
  <c r="D61" i="6"/>
  <c r="C61" i="6"/>
  <c r="B61" i="6"/>
  <c r="L61" i="6" s="1"/>
  <c r="A61" i="6"/>
  <c r="F60" i="6"/>
  <c r="E60" i="6"/>
  <c r="G60" i="6" s="1"/>
  <c r="D60" i="6"/>
  <c r="C60" i="6"/>
  <c r="B60" i="6"/>
  <c r="L60" i="6" s="1"/>
  <c r="A60" i="6"/>
  <c r="F59" i="6"/>
  <c r="E59" i="6"/>
  <c r="G59" i="6" s="1"/>
  <c r="D59" i="6"/>
  <c r="C59" i="6"/>
  <c r="B59" i="6"/>
  <c r="L59" i="6" s="1"/>
  <c r="A59" i="6"/>
  <c r="F58" i="6"/>
  <c r="E58" i="6"/>
  <c r="G58" i="6" s="1"/>
  <c r="D58" i="6"/>
  <c r="C58" i="6"/>
  <c r="B58" i="6"/>
  <c r="L58" i="6" s="1"/>
  <c r="A58" i="6"/>
  <c r="F57" i="6"/>
  <c r="E57" i="6"/>
  <c r="D57" i="6"/>
  <c r="C57" i="6"/>
  <c r="B57" i="6"/>
  <c r="L57" i="6" s="1"/>
  <c r="A57" i="6"/>
  <c r="F56" i="6"/>
  <c r="E56" i="6"/>
  <c r="G56" i="6" s="1"/>
  <c r="D56" i="6"/>
  <c r="C56" i="6"/>
  <c r="B56" i="6"/>
  <c r="L56" i="6" s="1"/>
  <c r="A56" i="6"/>
  <c r="H55" i="6"/>
  <c r="F55" i="6"/>
  <c r="E55" i="6"/>
  <c r="G55" i="6" s="1"/>
  <c r="D55" i="6"/>
  <c r="C55" i="6"/>
  <c r="B55" i="6"/>
  <c r="L55" i="6" s="1"/>
  <c r="A55" i="6"/>
  <c r="F54" i="6"/>
  <c r="E54" i="6"/>
  <c r="D54" i="6"/>
  <c r="C54" i="6"/>
  <c r="B54" i="6"/>
  <c r="L54" i="6" s="1"/>
  <c r="A54" i="6"/>
  <c r="F53" i="6"/>
  <c r="E53" i="6"/>
  <c r="H53" i="6" s="1"/>
  <c r="D53" i="6"/>
  <c r="C53" i="6"/>
  <c r="B53" i="6"/>
  <c r="L53" i="6" s="1"/>
  <c r="A53" i="6"/>
  <c r="F52" i="6"/>
  <c r="E52" i="6"/>
  <c r="G52" i="6" s="1"/>
  <c r="D52" i="6"/>
  <c r="C52" i="6"/>
  <c r="B52" i="6"/>
  <c r="L52" i="6" s="1"/>
  <c r="A52" i="6"/>
  <c r="F51" i="6"/>
  <c r="E51" i="6"/>
  <c r="G51" i="6" s="1"/>
  <c r="D51" i="6"/>
  <c r="C51" i="6"/>
  <c r="B51" i="6"/>
  <c r="L51" i="6" s="1"/>
  <c r="A51" i="6"/>
  <c r="F50" i="6"/>
  <c r="E50" i="6"/>
  <c r="G50" i="6" s="1"/>
  <c r="D50" i="6"/>
  <c r="C50" i="6"/>
  <c r="B50" i="6"/>
  <c r="L50" i="6" s="1"/>
  <c r="A50" i="6"/>
  <c r="F49" i="6"/>
  <c r="E49" i="6"/>
  <c r="D49" i="6"/>
  <c r="C49" i="6"/>
  <c r="B49" i="6"/>
  <c r="L49" i="6" s="1"/>
  <c r="A49" i="6"/>
  <c r="F48" i="6"/>
  <c r="E48" i="6"/>
  <c r="G48" i="6" s="1"/>
  <c r="D48" i="6"/>
  <c r="C48" i="6"/>
  <c r="B48" i="6"/>
  <c r="L48" i="6" s="1"/>
  <c r="A48" i="6"/>
  <c r="F47" i="6"/>
  <c r="E47" i="6"/>
  <c r="D47" i="6"/>
  <c r="C47" i="6"/>
  <c r="B47" i="6"/>
  <c r="L47" i="6" s="1"/>
  <c r="A47" i="6"/>
  <c r="F46" i="6"/>
  <c r="E46" i="6"/>
  <c r="G46" i="6" s="1"/>
  <c r="D46" i="6"/>
  <c r="C46" i="6"/>
  <c r="B46" i="6"/>
  <c r="L46" i="6" s="1"/>
  <c r="A46" i="6"/>
  <c r="F45" i="6"/>
  <c r="E45" i="6"/>
  <c r="G45" i="6" s="1"/>
  <c r="D45" i="6"/>
  <c r="C45" i="6"/>
  <c r="B45" i="6"/>
  <c r="L45" i="6" s="1"/>
  <c r="A45" i="6"/>
  <c r="F44" i="6"/>
  <c r="E44" i="6"/>
  <c r="G44" i="6" s="1"/>
  <c r="D44" i="6"/>
  <c r="C44" i="6"/>
  <c r="B44" i="6"/>
  <c r="L44" i="6" s="1"/>
  <c r="A44" i="6"/>
  <c r="F43" i="6"/>
  <c r="E43" i="6"/>
  <c r="D43" i="6"/>
  <c r="C43" i="6"/>
  <c r="B43" i="6"/>
  <c r="L43" i="6" s="1"/>
  <c r="A43" i="6"/>
  <c r="F42" i="6"/>
  <c r="E42" i="6"/>
  <c r="G42" i="6" s="1"/>
  <c r="D42" i="6"/>
  <c r="C42" i="6"/>
  <c r="B42" i="6"/>
  <c r="L42" i="6" s="1"/>
  <c r="A42" i="6"/>
  <c r="F41" i="6"/>
  <c r="E41" i="6"/>
  <c r="D41" i="6"/>
  <c r="C41" i="6"/>
  <c r="B41" i="6"/>
  <c r="L41" i="6" s="1"/>
  <c r="A41" i="6"/>
  <c r="F40" i="6"/>
  <c r="E40" i="6"/>
  <c r="H40" i="6" s="1"/>
  <c r="D40" i="6"/>
  <c r="C40" i="6"/>
  <c r="B40" i="6"/>
  <c r="L40" i="6" s="1"/>
  <c r="A40" i="6"/>
  <c r="F39" i="6"/>
  <c r="E39" i="6"/>
  <c r="D39" i="6"/>
  <c r="C39" i="6"/>
  <c r="B39" i="6"/>
  <c r="L39" i="6" s="1"/>
  <c r="A39" i="6"/>
  <c r="F38" i="6"/>
  <c r="E38" i="6"/>
  <c r="G38" i="6" s="1"/>
  <c r="D38" i="6"/>
  <c r="C38" i="6"/>
  <c r="B38" i="6"/>
  <c r="L38" i="6" s="1"/>
  <c r="A38" i="6"/>
  <c r="F37" i="6"/>
  <c r="E37" i="6"/>
  <c r="D37" i="6"/>
  <c r="C37" i="6"/>
  <c r="B37" i="6"/>
  <c r="L37" i="6" s="1"/>
  <c r="A37" i="6"/>
  <c r="F36" i="6"/>
  <c r="E36" i="6"/>
  <c r="D36" i="6"/>
  <c r="C36" i="6"/>
  <c r="B36" i="6"/>
  <c r="L36" i="6" s="1"/>
  <c r="A36" i="6"/>
  <c r="F35" i="6"/>
  <c r="E35" i="6"/>
  <c r="D35" i="6"/>
  <c r="C35" i="6"/>
  <c r="B35" i="6"/>
  <c r="L35" i="6" s="1"/>
  <c r="A35" i="6"/>
  <c r="F34" i="6"/>
  <c r="E34" i="6"/>
  <c r="G34" i="6" s="1"/>
  <c r="D34" i="6"/>
  <c r="C34" i="6"/>
  <c r="B34" i="6"/>
  <c r="L34" i="6" s="1"/>
  <c r="A34" i="6"/>
  <c r="F33" i="6"/>
  <c r="E33" i="6"/>
  <c r="D33" i="6"/>
  <c r="C33" i="6"/>
  <c r="B33" i="6"/>
  <c r="L33" i="6" s="1"/>
  <c r="A33" i="6"/>
  <c r="F32" i="6"/>
  <c r="E32" i="6"/>
  <c r="H32" i="6" s="1"/>
  <c r="D32" i="6"/>
  <c r="C32" i="6"/>
  <c r="B32" i="6"/>
  <c r="L32" i="6" s="1"/>
  <c r="A32" i="6"/>
  <c r="F31" i="6"/>
  <c r="E31" i="6"/>
  <c r="D31" i="6"/>
  <c r="C31" i="6"/>
  <c r="B31" i="6"/>
  <c r="L31" i="6" s="1"/>
  <c r="A31" i="6"/>
  <c r="F30" i="6"/>
  <c r="E30" i="6"/>
  <c r="G30" i="6" s="1"/>
  <c r="D30" i="6"/>
  <c r="C30" i="6"/>
  <c r="B30" i="6"/>
  <c r="L30" i="6" s="1"/>
  <c r="A30" i="6"/>
  <c r="F29" i="6"/>
  <c r="E29" i="6"/>
  <c r="D29" i="6"/>
  <c r="C29" i="6"/>
  <c r="B29" i="6"/>
  <c r="L29" i="6" s="1"/>
  <c r="A29" i="6"/>
  <c r="F28" i="6"/>
  <c r="E28" i="6"/>
  <c r="D28" i="6"/>
  <c r="C28" i="6"/>
  <c r="B28" i="6"/>
  <c r="L28" i="6" s="1"/>
  <c r="A28" i="6"/>
  <c r="F27" i="6"/>
  <c r="E27" i="6"/>
  <c r="D27" i="6"/>
  <c r="C27" i="6"/>
  <c r="B27" i="6"/>
  <c r="L27" i="6" s="1"/>
  <c r="A27" i="6"/>
  <c r="F26" i="6"/>
  <c r="E26" i="6"/>
  <c r="H26" i="6" s="1"/>
  <c r="D26" i="6"/>
  <c r="C26" i="6"/>
  <c r="B26" i="6"/>
  <c r="L26" i="6" s="1"/>
  <c r="A26" i="6"/>
  <c r="F25" i="6"/>
  <c r="E25" i="6"/>
  <c r="D25" i="6"/>
  <c r="C25" i="6"/>
  <c r="B25" i="6"/>
  <c r="A25" i="6"/>
  <c r="F24" i="6"/>
  <c r="E24" i="6"/>
  <c r="D24" i="6"/>
  <c r="C24" i="6"/>
  <c r="B24" i="6"/>
  <c r="A24" i="6"/>
  <c r="F23" i="6"/>
  <c r="E23" i="6"/>
  <c r="D23" i="6"/>
  <c r="C23" i="6"/>
  <c r="B23" i="6"/>
  <c r="A23" i="6"/>
  <c r="F22" i="6"/>
  <c r="E22" i="6"/>
  <c r="D22" i="6"/>
  <c r="C22" i="6"/>
  <c r="B22" i="6"/>
  <c r="A22" i="6"/>
  <c r="F21" i="6"/>
  <c r="E21" i="6"/>
  <c r="D21" i="6"/>
  <c r="C21" i="6"/>
  <c r="B21" i="6"/>
  <c r="A21" i="6"/>
  <c r="F20" i="6"/>
  <c r="E20" i="6"/>
  <c r="D20" i="6"/>
  <c r="C20" i="6"/>
  <c r="B20" i="6"/>
  <c r="A20" i="6"/>
  <c r="F19" i="6"/>
  <c r="E19" i="6"/>
  <c r="D19" i="6"/>
  <c r="C19" i="6"/>
  <c r="B19" i="6"/>
  <c r="A19" i="6"/>
  <c r="F18" i="6"/>
  <c r="E18" i="6"/>
  <c r="D18" i="6"/>
  <c r="C18" i="6"/>
  <c r="B18" i="6"/>
  <c r="A18" i="6"/>
  <c r="F17" i="6"/>
  <c r="E17" i="6"/>
  <c r="D17" i="6"/>
  <c r="C17" i="6"/>
  <c r="B17" i="6"/>
  <c r="A17" i="6"/>
  <c r="F16" i="6"/>
  <c r="E16" i="6"/>
  <c r="D16" i="6"/>
  <c r="C16" i="6"/>
  <c r="B16" i="6"/>
  <c r="A16" i="6"/>
  <c r="F15" i="6"/>
  <c r="E15" i="6"/>
  <c r="D15" i="6"/>
  <c r="C15" i="6"/>
  <c r="B15" i="6"/>
  <c r="A15" i="6"/>
  <c r="F14" i="6"/>
  <c r="E14" i="6"/>
  <c r="D14" i="6"/>
  <c r="C14" i="6"/>
  <c r="B14" i="6"/>
  <c r="A14" i="6"/>
  <c r="F13" i="6"/>
  <c r="E13" i="6"/>
  <c r="D13" i="6"/>
  <c r="C13" i="6"/>
  <c r="B13" i="6"/>
  <c r="A13" i="6"/>
  <c r="E1000" i="5"/>
  <c r="G1000" i="5" s="1"/>
  <c r="B1000" i="5"/>
  <c r="E999" i="5"/>
  <c r="G999" i="5" s="1"/>
  <c r="B999" i="5"/>
  <c r="E998" i="5"/>
  <c r="B998" i="5"/>
  <c r="E997" i="5"/>
  <c r="B997" i="5"/>
  <c r="E996" i="5"/>
  <c r="G996" i="5" s="1"/>
  <c r="B996" i="5"/>
  <c r="E995" i="5"/>
  <c r="B995" i="5"/>
  <c r="E994" i="5"/>
  <c r="B994" i="5"/>
  <c r="E993" i="5"/>
  <c r="B993" i="5"/>
  <c r="E992" i="5"/>
  <c r="B992" i="5"/>
  <c r="E991" i="5"/>
  <c r="B991" i="5"/>
  <c r="E990" i="5"/>
  <c r="B990" i="5"/>
  <c r="E989" i="5"/>
  <c r="B989" i="5"/>
  <c r="E988" i="5"/>
  <c r="F988" i="5" s="1"/>
  <c r="B988" i="5"/>
  <c r="E987" i="5"/>
  <c r="B987" i="5"/>
  <c r="E986" i="5"/>
  <c r="B986" i="5"/>
  <c r="E985" i="5"/>
  <c r="B985" i="5"/>
  <c r="E984" i="5"/>
  <c r="G984" i="5" s="1"/>
  <c r="B984" i="5"/>
  <c r="E983" i="5"/>
  <c r="B983" i="5"/>
  <c r="E982" i="5"/>
  <c r="B982" i="5"/>
  <c r="E981" i="5"/>
  <c r="B981" i="5"/>
  <c r="E980" i="5"/>
  <c r="B980" i="5"/>
  <c r="E979" i="5"/>
  <c r="G979" i="5" s="1"/>
  <c r="B979" i="5"/>
  <c r="E978" i="5"/>
  <c r="B978" i="5"/>
  <c r="E977" i="5"/>
  <c r="B977" i="5"/>
  <c r="E976" i="5"/>
  <c r="G976" i="5" s="1"/>
  <c r="B976" i="5"/>
  <c r="E975" i="5"/>
  <c r="B975" i="5"/>
  <c r="E974" i="5"/>
  <c r="B974" i="5"/>
  <c r="E973" i="5"/>
  <c r="B973" i="5"/>
  <c r="E972" i="5"/>
  <c r="F972" i="5" s="1"/>
  <c r="B972" i="5"/>
  <c r="E971" i="5"/>
  <c r="F971" i="5" s="1"/>
  <c r="B971" i="5"/>
  <c r="E970" i="5"/>
  <c r="B970" i="5"/>
  <c r="E969" i="5"/>
  <c r="B969" i="5"/>
  <c r="E968" i="5"/>
  <c r="G968" i="5" s="1"/>
  <c r="B968" i="5"/>
  <c r="E967" i="5"/>
  <c r="B967" i="5"/>
  <c r="E966" i="5"/>
  <c r="B966" i="5"/>
  <c r="E965" i="5"/>
  <c r="B965" i="5"/>
  <c r="E964" i="5"/>
  <c r="G964" i="5" s="1"/>
  <c r="B964" i="5"/>
  <c r="E963" i="5"/>
  <c r="F963" i="5" s="1"/>
  <c r="B963" i="5"/>
  <c r="E962" i="5"/>
  <c r="F962" i="5" s="1"/>
  <c r="B962" i="5"/>
  <c r="E961" i="5"/>
  <c r="B961" i="5"/>
  <c r="E960" i="5"/>
  <c r="F960" i="5" s="1"/>
  <c r="B960" i="5"/>
  <c r="E959" i="5"/>
  <c r="B959" i="5"/>
  <c r="E958" i="5"/>
  <c r="F958" i="5" s="1"/>
  <c r="B958" i="5"/>
  <c r="E957" i="5"/>
  <c r="B957" i="5"/>
  <c r="E956" i="5"/>
  <c r="F956" i="5" s="1"/>
  <c r="B956" i="5"/>
  <c r="E955" i="5"/>
  <c r="F955" i="5" s="1"/>
  <c r="B955" i="5"/>
  <c r="E954" i="5"/>
  <c r="F954" i="5" s="1"/>
  <c r="B954" i="5"/>
  <c r="E953" i="5"/>
  <c r="F953" i="5" s="1"/>
  <c r="B953" i="5"/>
  <c r="E952" i="5"/>
  <c r="G952" i="5" s="1"/>
  <c r="B952" i="5"/>
  <c r="E951" i="5"/>
  <c r="F951" i="5" s="1"/>
  <c r="B951" i="5"/>
  <c r="E950" i="5"/>
  <c r="F950" i="5" s="1"/>
  <c r="B950" i="5"/>
  <c r="E949" i="5"/>
  <c r="B949" i="5"/>
  <c r="E948" i="5"/>
  <c r="F948" i="5" s="1"/>
  <c r="B948" i="5"/>
  <c r="E947" i="5"/>
  <c r="B947" i="5"/>
  <c r="E946" i="5"/>
  <c r="F946" i="5" s="1"/>
  <c r="B946" i="5"/>
  <c r="E945" i="5"/>
  <c r="B945" i="5"/>
  <c r="E944" i="5"/>
  <c r="F944" i="5" s="1"/>
  <c r="B944" i="5"/>
  <c r="E943" i="5"/>
  <c r="F943" i="5" s="1"/>
  <c r="B943" i="5"/>
  <c r="E942" i="5"/>
  <c r="H942" i="5" s="1"/>
  <c r="B942" i="5"/>
  <c r="E941" i="5"/>
  <c r="B941" i="5"/>
  <c r="E940" i="5"/>
  <c r="F940" i="5" s="1"/>
  <c r="B940" i="5"/>
  <c r="E939" i="5"/>
  <c r="F939" i="5" s="1"/>
  <c r="B939" i="5"/>
  <c r="E938" i="5"/>
  <c r="F938" i="5" s="1"/>
  <c r="B938" i="5"/>
  <c r="E937" i="5"/>
  <c r="G937" i="5" s="1"/>
  <c r="B937" i="5"/>
  <c r="E936" i="5"/>
  <c r="G936" i="5" s="1"/>
  <c r="B936" i="5"/>
  <c r="E935" i="5"/>
  <c r="B935" i="5"/>
  <c r="E934" i="5"/>
  <c r="B934" i="5"/>
  <c r="E933" i="5"/>
  <c r="F933" i="5" s="1"/>
  <c r="B933" i="5"/>
  <c r="E932" i="5"/>
  <c r="B932" i="5"/>
  <c r="E931" i="5"/>
  <c r="B931" i="5"/>
  <c r="E930" i="5"/>
  <c r="B930" i="5"/>
  <c r="E929" i="5"/>
  <c r="F929" i="5" s="1"/>
  <c r="B929" i="5"/>
  <c r="E928" i="5"/>
  <c r="B928" i="5"/>
  <c r="E927" i="5"/>
  <c r="B927" i="5"/>
  <c r="E926" i="5"/>
  <c r="F926" i="5" s="1"/>
  <c r="B926" i="5"/>
  <c r="E925" i="5"/>
  <c r="F925" i="5" s="1"/>
  <c r="B925" i="5"/>
  <c r="E924" i="5"/>
  <c r="F924" i="5" s="1"/>
  <c r="B924" i="5"/>
  <c r="E923" i="5"/>
  <c r="F923" i="5" s="1"/>
  <c r="B923" i="5"/>
  <c r="E922" i="5"/>
  <c r="F922" i="5" s="1"/>
  <c r="B922" i="5"/>
  <c r="E921" i="5"/>
  <c r="G921" i="5" s="1"/>
  <c r="B921" i="5"/>
  <c r="E920" i="5"/>
  <c r="B920" i="5"/>
  <c r="E919" i="5"/>
  <c r="B919" i="5"/>
  <c r="E918" i="5"/>
  <c r="B918" i="5"/>
  <c r="E917" i="5"/>
  <c r="F917" i="5" s="1"/>
  <c r="B917" i="5"/>
  <c r="E916" i="5"/>
  <c r="B916" i="5"/>
  <c r="E915" i="5"/>
  <c r="F915" i="5" s="1"/>
  <c r="B915" i="5"/>
  <c r="E914" i="5"/>
  <c r="F914" i="5" s="1"/>
  <c r="B914" i="5"/>
  <c r="E913" i="5"/>
  <c r="F913" i="5" s="1"/>
  <c r="B913" i="5"/>
  <c r="E912" i="5"/>
  <c r="B912" i="5"/>
  <c r="E911" i="5"/>
  <c r="B911" i="5"/>
  <c r="E910" i="5"/>
  <c r="B910" i="5"/>
  <c r="E909" i="5"/>
  <c r="B909" i="5"/>
  <c r="E908" i="5"/>
  <c r="B908" i="5"/>
  <c r="E907" i="5"/>
  <c r="B907" i="5"/>
  <c r="E906" i="5"/>
  <c r="B906" i="5"/>
  <c r="E905" i="5"/>
  <c r="B905" i="5"/>
  <c r="E904" i="5"/>
  <c r="B904" i="5"/>
  <c r="E903" i="5"/>
  <c r="B903" i="5"/>
  <c r="E902" i="5"/>
  <c r="B902" i="5"/>
  <c r="E901" i="5"/>
  <c r="B901" i="5"/>
  <c r="E900" i="5"/>
  <c r="B900" i="5"/>
  <c r="E899" i="5"/>
  <c r="B899" i="5"/>
  <c r="E898" i="5"/>
  <c r="B898" i="5"/>
  <c r="E897" i="5"/>
  <c r="B897" i="5"/>
  <c r="E896" i="5"/>
  <c r="B896" i="5"/>
  <c r="E895" i="5"/>
  <c r="B895" i="5"/>
  <c r="E894" i="5"/>
  <c r="B894" i="5"/>
  <c r="E893" i="5"/>
  <c r="B893" i="5"/>
  <c r="E892" i="5"/>
  <c r="B892" i="5"/>
  <c r="E891" i="5"/>
  <c r="B891" i="5"/>
  <c r="E890" i="5"/>
  <c r="B890" i="5"/>
  <c r="E889" i="5"/>
  <c r="B889" i="5"/>
  <c r="E888" i="5"/>
  <c r="B888" i="5"/>
  <c r="E887" i="5"/>
  <c r="B887" i="5"/>
  <c r="E886" i="5"/>
  <c r="B886" i="5"/>
  <c r="E885" i="5"/>
  <c r="B885" i="5"/>
  <c r="E884" i="5"/>
  <c r="B884" i="5"/>
  <c r="E883" i="5"/>
  <c r="B883" i="5"/>
  <c r="E882" i="5"/>
  <c r="B882" i="5"/>
  <c r="E881" i="5"/>
  <c r="B881" i="5"/>
  <c r="E880" i="5"/>
  <c r="B880" i="5"/>
  <c r="E879" i="5"/>
  <c r="B879" i="5"/>
  <c r="E878" i="5"/>
  <c r="B878" i="5"/>
  <c r="E877" i="5"/>
  <c r="B877" i="5"/>
  <c r="E876" i="5"/>
  <c r="B876" i="5"/>
  <c r="E875" i="5"/>
  <c r="B875" i="5"/>
  <c r="E874" i="5"/>
  <c r="I874" i="5" s="1"/>
  <c r="B874" i="5"/>
  <c r="E873" i="5"/>
  <c r="B873" i="5"/>
  <c r="E872" i="5"/>
  <c r="I872" i="5" s="1"/>
  <c r="B872" i="5"/>
  <c r="E871" i="5"/>
  <c r="B871" i="5"/>
  <c r="E870" i="5"/>
  <c r="B870" i="5"/>
  <c r="E869" i="5"/>
  <c r="I869" i="5" s="1"/>
  <c r="B869" i="5"/>
  <c r="E868" i="5"/>
  <c r="B868" i="5"/>
  <c r="E867" i="5"/>
  <c r="B867" i="5"/>
  <c r="E866" i="5"/>
  <c r="I866" i="5" s="1"/>
  <c r="B866" i="5"/>
  <c r="E865" i="5"/>
  <c r="B865" i="5"/>
  <c r="E864" i="5"/>
  <c r="I864" i="5" s="1"/>
  <c r="B864" i="5"/>
  <c r="E863" i="5"/>
  <c r="B863" i="5"/>
  <c r="E862" i="5"/>
  <c r="B862" i="5"/>
  <c r="E861" i="5"/>
  <c r="I861" i="5" s="1"/>
  <c r="B861" i="5"/>
  <c r="E860" i="5"/>
  <c r="B860" i="5"/>
  <c r="E859" i="5"/>
  <c r="B859" i="5"/>
  <c r="E858" i="5"/>
  <c r="I858" i="5" s="1"/>
  <c r="B858" i="5"/>
  <c r="E857" i="5"/>
  <c r="B857" i="5"/>
  <c r="E856" i="5"/>
  <c r="B856" i="5"/>
  <c r="E855" i="5"/>
  <c r="G855" i="5" s="1"/>
  <c r="B855" i="5"/>
  <c r="E854" i="5"/>
  <c r="I854" i="5" s="1"/>
  <c r="B854" i="5"/>
  <c r="E853" i="5"/>
  <c r="B853" i="5"/>
  <c r="E852" i="5"/>
  <c r="B852" i="5"/>
  <c r="E851" i="5"/>
  <c r="I851" i="5" s="1"/>
  <c r="B851" i="5"/>
  <c r="E850" i="5"/>
  <c r="G850" i="5" s="1"/>
  <c r="B850" i="5"/>
  <c r="E849" i="5"/>
  <c r="B849" i="5"/>
  <c r="E848" i="5"/>
  <c r="B848" i="5"/>
  <c r="E847" i="5"/>
  <c r="G847" i="5" s="1"/>
  <c r="B847" i="5"/>
  <c r="E846" i="5"/>
  <c r="B846" i="5"/>
  <c r="E845" i="5"/>
  <c r="B845" i="5"/>
  <c r="E844" i="5"/>
  <c r="G844" i="5" s="1"/>
  <c r="B844" i="5"/>
  <c r="E843" i="5"/>
  <c r="B843" i="5"/>
  <c r="E842" i="5"/>
  <c r="F842" i="5" s="1"/>
  <c r="B842" i="5"/>
  <c r="E841" i="5"/>
  <c r="F841" i="5" s="1"/>
  <c r="B841" i="5"/>
  <c r="E840" i="5"/>
  <c r="F840" i="5" s="1"/>
  <c r="B840" i="5"/>
  <c r="E839" i="5"/>
  <c r="B839" i="5"/>
  <c r="E838" i="5"/>
  <c r="F838" i="5" s="1"/>
  <c r="B838" i="5"/>
  <c r="E837" i="5"/>
  <c r="F837" i="5" s="1"/>
  <c r="B837" i="5"/>
  <c r="E836" i="5"/>
  <c r="G836" i="5" s="1"/>
  <c r="B836" i="5"/>
  <c r="E835" i="5"/>
  <c r="B835" i="5"/>
  <c r="E834" i="5"/>
  <c r="B834" i="5"/>
  <c r="E833" i="5"/>
  <c r="B833" i="5"/>
  <c r="E832" i="5"/>
  <c r="F832" i="5" s="1"/>
  <c r="B832" i="5"/>
  <c r="E831" i="5"/>
  <c r="F831" i="5" s="1"/>
  <c r="B831" i="5"/>
  <c r="E830" i="5"/>
  <c r="F830" i="5" s="1"/>
  <c r="B830" i="5"/>
  <c r="E829" i="5"/>
  <c r="B829" i="5"/>
  <c r="E828" i="5"/>
  <c r="B828" i="5"/>
  <c r="E827" i="5"/>
  <c r="G827" i="5" s="1"/>
  <c r="B827" i="5"/>
  <c r="E826" i="5"/>
  <c r="B826" i="5"/>
  <c r="E825" i="5"/>
  <c r="G825" i="5" s="1"/>
  <c r="B825" i="5"/>
  <c r="E824" i="5"/>
  <c r="B824" i="5"/>
  <c r="E823" i="5"/>
  <c r="G823" i="5" s="1"/>
  <c r="B823" i="5"/>
  <c r="E822" i="5"/>
  <c r="B822" i="5"/>
  <c r="E821" i="5"/>
  <c r="G821" i="5" s="1"/>
  <c r="B821" i="5"/>
  <c r="E820" i="5"/>
  <c r="B820" i="5"/>
  <c r="E819" i="5"/>
  <c r="G819" i="5" s="1"/>
  <c r="B819" i="5"/>
  <c r="E818" i="5"/>
  <c r="B818" i="5"/>
  <c r="E817" i="5"/>
  <c r="G817" i="5" s="1"/>
  <c r="B817" i="5"/>
  <c r="E816" i="5"/>
  <c r="F816" i="5" s="1"/>
  <c r="B816" i="5"/>
  <c r="E815" i="5"/>
  <c r="F815" i="5" s="1"/>
  <c r="B815" i="5"/>
  <c r="E814" i="5"/>
  <c r="F814" i="5" s="1"/>
  <c r="B814" i="5"/>
  <c r="E813" i="5"/>
  <c r="B813" i="5"/>
  <c r="E812" i="5"/>
  <c r="F812" i="5" s="1"/>
  <c r="B812" i="5"/>
  <c r="E811" i="5"/>
  <c r="G811" i="5" s="1"/>
  <c r="B811" i="5"/>
  <c r="E810" i="5"/>
  <c r="G810" i="5" s="1"/>
  <c r="B810" i="5"/>
  <c r="E809" i="5"/>
  <c r="B809" i="5"/>
  <c r="E808" i="5"/>
  <c r="F808" i="5" s="1"/>
  <c r="B808" i="5"/>
  <c r="E807" i="5"/>
  <c r="G807" i="5" s="1"/>
  <c r="B807" i="5"/>
  <c r="E806" i="5"/>
  <c r="G806" i="5" s="1"/>
  <c r="B806" i="5"/>
  <c r="E805" i="5"/>
  <c r="B805" i="5"/>
  <c r="E804" i="5"/>
  <c r="F804" i="5" s="1"/>
  <c r="B804" i="5"/>
  <c r="E803" i="5"/>
  <c r="G803" i="5" s="1"/>
  <c r="B803" i="5"/>
  <c r="E802" i="5"/>
  <c r="B802" i="5"/>
  <c r="E801" i="5"/>
  <c r="B801" i="5"/>
  <c r="E800" i="5"/>
  <c r="B800" i="5"/>
  <c r="E799" i="5"/>
  <c r="G799" i="5" s="1"/>
  <c r="B799" i="5"/>
  <c r="E798" i="5"/>
  <c r="B798" i="5"/>
  <c r="E797" i="5"/>
  <c r="B797" i="5"/>
  <c r="E796" i="5"/>
  <c r="B796" i="5"/>
  <c r="E795" i="5"/>
  <c r="G795" i="5" s="1"/>
  <c r="B795" i="5"/>
  <c r="E794" i="5"/>
  <c r="B794" i="5"/>
  <c r="E793" i="5"/>
  <c r="B793" i="5"/>
  <c r="E792" i="5"/>
  <c r="B792" i="5"/>
  <c r="E791" i="5"/>
  <c r="G791" i="5" s="1"/>
  <c r="B791" i="5"/>
  <c r="E790" i="5"/>
  <c r="B790" i="5"/>
  <c r="E789" i="5"/>
  <c r="B789" i="5"/>
  <c r="E788" i="5"/>
  <c r="B788" i="5"/>
  <c r="E787" i="5"/>
  <c r="G787" i="5" s="1"/>
  <c r="B787" i="5"/>
  <c r="E786" i="5"/>
  <c r="G786" i="5" s="1"/>
  <c r="B786" i="5"/>
  <c r="E785" i="5"/>
  <c r="B785" i="5"/>
  <c r="E784" i="5"/>
  <c r="B784" i="5"/>
  <c r="E783" i="5"/>
  <c r="G783" i="5" s="1"/>
  <c r="B783" i="5"/>
  <c r="E782" i="5"/>
  <c r="B782" i="5"/>
  <c r="E781" i="5"/>
  <c r="B781" i="5"/>
  <c r="E780" i="5"/>
  <c r="B780" i="5"/>
  <c r="E779" i="5"/>
  <c r="G779" i="5" s="1"/>
  <c r="B779" i="5"/>
  <c r="E778" i="5"/>
  <c r="G778" i="5" s="1"/>
  <c r="B778" i="5"/>
  <c r="E777" i="5"/>
  <c r="B777" i="5"/>
  <c r="E776" i="5"/>
  <c r="B776" i="5"/>
  <c r="E775" i="5"/>
  <c r="G775" i="5" s="1"/>
  <c r="B775" i="5"/>
  <c r="E774" i="5"/>
  <c r="B774" i="5"/>
  <c r="E773" i="5"/>
  <c r="B773" i="5"/>
  <c r="E772" i="5"/>
  <c r="B772" i="5"/>
  <c r="E771" i="5"/>
  <c r="G771" i="5" s="1"/>
  <c r="B771" i="5"/>
  <c r="E770" i="5"/>
  <c r="B770" i="5"/>
  <c r="E769" i="5"/>
  <c r="B769" i="5"/>
  <c r="E768" i="5"/>
  <c r="B768" i="5"/>
  <c r="E767" i="5"/>
  <c r="G767" i="5" s="1"/>
  <c r="B767" i="5"/>
  <c r="E766" i="5"/>
  <c r="B766" i="5"/>
  <c r="E765" i="5"/>
  <c r="B765" i="5"/>
  <c r="E764" i="5"/>
  <c r="B764" i="5"/>
  <c r="E763" i="5"/>
  <c r="G763" i="5" s="1"/>
  <c r="B763" i="5"/>
  <c r="E762" i="5"/>
  <c r="B762" i="5"/>
  <c r="E761" i="5"/>
  <c r="B761" i="5"/>
  <c r="E760" i="5"/>
  <c r="B760" i="5"/>
  <c r="E759" i="5"/>
  <c r="G759" i="5" s="1"/>
  <c r="B759" i="5"/>
  <c r="E758" i="5"/>
  <c r="B758" i="5"/>
  <c r="E757" i="5"/>
  <c r="B757" i="5"/>
  <c r="E756" i="5"/>
  <c r="B756" i="5"/>
  <c r="E755" i="5"/>
  <c r="G755" i="5" s="1"/>
  <c r="B755" i="5"/>
  <c r="E754" i="5"/>
  <c r="G754" i="5" s="1"/>
  <c r="B754" i="5"/>
  <c r="E753" i="5"/>
  <c r="B753" i="5"/>
  <c r="E752" i="5"/>
  <c r="B752" i="5"/>
  <c r="E751" i="5"/>
  <c r="G751" i="5" s="1"/>
  <c r="B751" i="5"/>
  <c r="E750" i="5"/>
  <c r="B750" i="5"/>
  <c r="E749" i="5"/>
  <c r="B749" i="5"/>
  <c r="E748" i="5"/>
  <c r="B748" i="5"/>
  <c r="E747" i="5"/>
  <c r="G747" i="5" s="1"/>
  <c r="B747" i="5"/>
  <c r="E746" i="5"/>
  <c r="G746" i="5" s="1"/>
  <c r="B746" i="5"/>
  <c r="E745" i="5"/>
  <c r="B745" i="5"/>
  <c r="E744" i="5"/>
  <c r="B744" i="5"/>
  <c r="E743" i="5"/>
  <c r="G743" i="5" s="1"/>
  <c r="B743" i="5"/>
  <c r="E742" i="5"/>
  <c r="B742" i="5"/>
  <c r="E741" i="5"/>
  <c r="B741" i="5"/>
  <c r="E740" i="5"/>
  <c r="B740" i="5"/>
  <c r="E739" i="5"/>
  <c r="G739" i="5" s="1"/>
  <c r="B739" i="5"/>
  <c r="E738" i="5"/>
  <c r="F738" i="5" s="1"/>
  <c r="B738" i="5"/>
  <c r="E737" i="5"/>
  <c r="B737" i="5"/>
  <c r="E736" i="5"/>
  <c r="B736" i="5"/>
  <c r="E735" i="5"/>
  <c r="G735" i="5" s="1"/>
  <c r="B735" i="5"/>
  <c r="E734" i="5"/>
  <c r="F734" i="5" s="1"/>
  <c r="B734" i="5"/>
  <c r="E733" i="5"/>
  <c r="B733" i="5"/>
  <c r="E732" i="5"/>
  <c r="B732" i="5"/>
  <c r="E731" i="5"/>
  <c r="G731" i="5" s="1"/>
  <c r="B731" i="5"/>
  <c r="E730" i="5"/>
  <c r="B730" i="5"/>
  <c r="E729" i="5"/>
  <c r="B729" i="5"/>
  <c r="E728" i="5"/>
  <c r="B728" i="5"/>
  <c r="E727" i="5"/>
  <c r="G727" i="5" s="1"/>
  <c r="B727" i="5"/>
  <c r="E726" i="5"/>
  <c r="B726" i="5"/>
  <c r="E725" i="5"/>
  <c r="B725" i="5"/>
  <c r="E724" i="5"/>
  <c r="B724" i="5"/>
  <c r="E723" i="5"/>
  <c r="G723" i="5" s="1"/>
  <c r="B723" i="5"/>
  <c r="E722" i="5"/>
  <c r="F722" i="5" s="1"/>
  <c r="B722" i="5"/>
  <c r="E721" i="5"/>
  <c r="B721" i="5"/>
  <c r="E720" i="5"/>
  <c r="B720" i="5"/>
  <c r="E719" i="5"/>
  <c r="G719" i="5" s="1"/>
  <c r="B719" i="5"/>
  <c r="E718" i="5"/>
  <c r="G718" i="5" s="1"/>
  <c r="B718" i="5"/>
  <c r="E717" i="5"/>
  <c r="B717" i="5"/>
  <c r="E716" i="5"/>
  <c r="B716" i="5"/>
  <c r="E715" i="5"/>
  <c r="G715" i="5" s="1"/>
  <c r="B715" i="5"/>
  <c r="E714" i="5"/>
  <c r="G714" i="5" s="1"/>
  <c r="B714" i="5"/>
  <c r="E713" i="5"/>
  <c r="B713" i="5"/>
  <c r="E712" i="5"/>
  <c r="B712" i="5"/>
  <c r="E711" i="5"/>
  <c r="G711" i="5" s="1"/>
  <c r="B711" i="5"/>
  <c r="E710" i="5"/>
  <c r="G710" i="5" s="1"/>
  <c r="B710" i="5"/>
  <c r="E709" i="5"/>
  <c r="B709" i="5"/>
  <c r="E708" i="5"/>
  <c r="B708" i="5"/>
  <c r="E707" i="5"/>
  <c r="G707" i="5" s="1"/>
  <c r="B707" i="5"/>
  <c r="E706" i="5"/>
  <c r="G706" i="5" s="1"/>
  <c r="B706" i="5"/>
  <c r="E705" i="5"/>
  <c r="B705" i="5"/>
  <c r="E704" i="5"/>
  <c r="B704" i="5"/>
  <c r="E703" i="5"/>
  <c r="G703" i="5" s="1"/>
  <c r="B703" i="5"/>
  <c r="E702" i="5"/>
  <c r="G702" i="5" s="1"/>
  <c r="B702" i="5"/>
  <c r="E701" i="5"/>
  <c r="B701" i="5"/>
  <c r="E700" i="5"/>
  <c r="H700" i="5" s="1"/>
  <c r="B700" i="5"/>
  <c r="E699" i="5"/>
  <c r="I699" i="5" s="1"/>
  <c r="B699" i="5"/>
  <c r="E698" i="5"/>
  <c r="F698" i="5" s="1"/>
  <c r="B698" i="5"/>
  <c r="E697" i="5"/>
  <c r="H697" i="5" s="1"/>
  <c r="B697" i="5"/>
  <c r="E696" i="5"/>
  <c r="B696" i="5"/>
  <c r="E695" i="5"/>
  <c r="B695" i="5"/>
  <c r="E694" i="5"/>
  <c r="B694" i="5"/>
  <c r="E693" i="5"/>
  <c r="B693" i="5"/>
  <c r="E692" i="5"/>
  <c r="H692" i="5" s="1"/>
  <c r="B692" i="5"/>
  <c r="E691" i="5"/>
  <c r="B691" i="5"/>
  <c r="E690" i="5"/>
  <c r="I690" i="5" s="1"/>
  <c r="B690" i="5"/>
  <c r="E689" i="5"/>
  <c r="I689" i="5" s="1"/>
  <c r="B689" i="5"/>
  <c r="E688" i="5"/>
  <c r="B688" i="5"/>
  <c r="E687" i="5"/>
  <c r="B687" i="5"/>
  <c r="E686" i="5"/>
  <c r="H686" i="5" s="1"/>
  <c r="B686" i="5"/>
  <c r="E685" i="5"/>
  <c r="H685" i="5" s="1"/>
  <c r="B685" i="5"/>
  <c r="E684" i="5"/>
  <c r="B684" i="5"/>
  <c r="E683" i="5"/>
  <c r="B683" i="5"/>
  <c r="E682" i="5"/>
  <c r="B682" i="5"/>
  <c r="G681" i="5"/>
  <c r="E681" i="5"/>
  <c r="H681" i="5" s="1"/>
  <c r="B681" i="5"/>
  <c r="E680" i="5"/>
  <c r="H680" i="5" s="1"/>
  <c r="B680" i="5"/>
  <c r="E679" i="5"/>
  <c r="B679" i="5"/>
  <c r="E678" i="5"/>
  <c r="B678" i="5"/>
  <c r="E677" i="5"/>
  <c r="H677" i="5" s="1"/>
  <c r="B677" i="5"/>
  <c r="E676" i="5"/>
  <c r="H676" i="5" s="1"/>
  <c r="B676" i="5"/>
  <c r="E675" i="5"/>
  <c r="B675" i="5"/>
  <c r="E674" i="5"/>
  <c r="B674" i="5"/>
  <c r="E673" i="5"/>
  <c r="H673" i="5" s="1"/>
  <c r="B673" i="5"/>
  <c r="E672" i="5"/>
  <c r="B672" i="5"/>
  <c r="E671" i="5"/>
  <c r="B671" i="5"/>
  <c r="E670" i="5"/>
  <c r="F670" i="5" s="1"/>
  <c r="B670" i="5"/>
  <c r="E669" i="5"/>
  <c r="H669" i="5" s="1"/>
  <c r="B669" i="5"/>
  <c r="E668" i="5"/>
  <c r="H668" i="5" s="1"/>
  <c r="B668" i="5"/>
  <c r="E667" i="5"/>
  <c r="B667" i="5"/>
  <c r="E666" i="5"/>
  <c r="B666" i="5"/>
  <c r="E665" i="5"/>
  <c r="H665" i="5" s="1"/>
  <c r="B665" i="5"/>
  <c r="E664" i="5"/>
  <c r="H664" i="5" s="1"/>
  <c r="B664" i="5"/>
  <c r="E663" i="5"/>
  <c r="B663" i="5"/>
  <c r="E662" i="5"/>
  <c r="F662" i="5" s="1"/>
  <c r="B662" i="5"/>
  <c r="E661" i="5"/>
  <c r="H661" i="5" s="1"/>
  <c r="B661" i="5"/>
  <c r="E660" i="5"/>
  <c r="H660" i="5" s="1"/>
  <c r="B660" i="5"/>
  <c r="E659" i="5"/>
  <c r="H659" i="5" s="1"/>
  <c r="B659" i="5"/>
  <c r="E658" i="5"/>
  <c r="I658" i="5" s="1"/>
  <c r="B658" i="5"/>
  <c r="E657" i="5"/>
  <c r="H657" i="5" s="1"/>
  <c r="B657" i="5"/>
  <c r="E656" i="5"/>
  <c r="F656" i="5" s="1"/>
  <c r="B656" i="5"/>
  <c r="E655" i="5"/>
  <c r="B655" i="5"/>
  <c r="E654" i="5"/>
  <c r="B654" i="5"/>
  <c r="E653" i="5"/>
  <c r="H653" i="5" s="1"/>
  <c r="B653" i="5"/>
  <c r="E652" i="5"/>
  <c r="B652" i="5"/>
  <c r="E651" i="5"/>
  <c r="H651" i="5" s="1"/>
  <c r="B651" i="5"/>
  <c r="E650" i="5"/>
  <c r="I650" i="5" s="1"/>
  <c r="B650" i="5"/>
  <c r="E649" i="5"/>
  <c r="H649" i="5" s="1"/>
  <c r="B649" i="5"/>
  <c r="E648" i="5"/>
  <c r="F648" i="5" s="1"/>
  <c r="B648" i="5"/>
  <c r="E647" i="5"/>
  <c r="B647" i="5"/>
  <c r="E646" i="5"/>
  <c r="H646" i="5" s="1"/>
  <c r="B646" i="5"/>
  <c r="E645" i="5"/>
  <c r="H645" i="5" s="1"/>
  <c r="B645" i="5"/>
  <c r="E644" i="5"/>
  <c r="H644" i="5" s="1"/>
  <c r="B644" i="5"/>
  <c r="E643" i="5"/>
  <c r="H643" i="5" s="1"/>
  <c r="B643" i="5"/>
  <c r="E642" i="5"/>
  <c r="B642" i="5"/>
  <c r="E641" i="5"/>
  <c r="H641" i="5" s="1"/>
  <c r="B641" i="5"/>
  <c r="E640" i="5"/>
  <c r="B640" i="5"/>
  <c r="E639" i="5"/>
  <c r="B639" i="5"/>
  <c r="E638" i="5"/>
  <c r="H638" i="5" s="1"/>
  <c r="B638" i="5"/>
  <c r="E637" i="5"/>
  <c r="I637" i="5" s="1"/>
  <c r="B637" i="5"/>
  <c r="E636" i="5"/>
  <c r="H636" i="5" s="1"/>
  <c r="B636" i="5"/>
  <c r="E635" i="5"/>
  <c r="B635" i="5"/>
  <c r="E634" i="5"/>
  <c r="B634" i="5"/>
  <c r="E633" i="5"/>
  <c r="H633" i="5" s="1"/>
  <c r="B633" i="5"/>
  <c r="E632" i="5"/>
  <c r="B632" i="5"/>
  <c r="E631" i="5"/>
  <c r="I631" i="5" s="1"/>
  <c r="B631" i="5"/>
  <c r="E630" i="5"/>
  <c r="H630" i="5" s="1"/>
  <c r="B630" i="5"/>
  <c r="E629" i="5"/>
  <c r="H629" i="5" s="1"/>
  <c r="B629" i="5"/>
  <c r="E628" i="5"/>
  <c r="G628" i="5" s="1"/>
  <c r="B628" i="5"/>
  <c r="E627" i="5"/>
  <c r="H627" i="5" s="1"/>
  <c r="B627" i="5"/>
  <c r="E626" i="5"/>
  <c r="I626" i="5" s="1"/>
  <c r="B626" i="5"/>
  <c r="E625" i="5"/>
  <c r="H625" i="5" s="1"/>
  <c r="B625" i="5"/>
  <c r="E624" i="5"/>
  <c r="B624" i="5"/>
  <c r="E623" i="5"/>
  <c r="B623" i="5"/>
  <c r="E622" i="5"/>
  <c r="H622" i="5" s="1"/>
  <c r="B622" i="5"/>
  <c r="E621" i="5"/>
  <c r="H621" i="5" s="1"/>
  <c r="B621" i="5"/>
  <c r="E620" i="5"/>
  <c r="G620" i="5" s="1"/>
  <c r="B620" i="5"/>
  <c r="E619" i="5"/>
  <c r="B619" i="5"/>
  <c r="E618" i="5"/>
  <c r="I618" i="5" s="1"/>
  <c r="B618" i="5"/>
  <c r="E617" i="5"/>
  <c r="H617" i="5" s="1"/>
  <c r="B617" i="5"/>
  <c r="E616" i="5"/>
  <c r="B616" i="5"/>
  <c r="E615" i="5"/>
  <c r="I615" i="5" s="1"/>
  <c r="B615" i="5"/>
  <c r="E614" i="5"/>
  <c r="H614" i="5" s="1"/>
  <c r="B614" i="5"/>
  <c r="E613" i="5"/>
  <c r="H613" i="5" s="1"/>
  <c r="B613" i="5"/>
  <c r="E612" i="5"/>
  <c r="B612" i="5"/>
  <c r="E611" i="5"/>
  <c r="F611" i="5" s="1"/>
  <c r="B611" i="5"/>
  <c r="E610" i="5"/>
  <c r="F610" i="5" s="1"/>
  <c r="B610" i="5"/>
  <c r="E609" i="5"/>
  <c r="F609" i="5" s="1"/>
  <c r="B609" i="5"/>
  <c r="E608" i="5"/>
  <c r="F608" i="5" s="1"/>
  <c r="B608" i="5"/>
  <c r="E607" i="5"/>
  <c r="F607" i="5" s="1"/>
  <c r="B607" i="5"/>
  <c r="E606" i="5"/>
  <c r="F606" i="5" s="1"/>
  <c r="B606" i="5"/>
  <c r="E605" i="5"/>
  <c r="F605" i="5" s="1"/>
  <c r="B605" i="5"/>
  <c r="E604" i="5"/>
  <c r="F604" i="5" s="1"/>
  <c r="B604" i="5"/>
  <c r="E603" i="5"/>
  <c r="F603" i="5" s="1"/>
  <c r="B603" i="5"/>
  <c r="E602" i="5"/>
  <c r="B602" i="5"/>
  <c r="E601" i="5"/>
  <c r="H601" i="5" s="1"/>
  <c r="B601" i="5"/>
  <c r="E600" i="5"/>
  <c r="H600" i="5" s="1"/>
  <c r="B600" i="5"/>
  <c r="E599" i="5"/>
  <c r="H599" i="5" s="1"/>
  <c r="B599" i="5"/>
  <c r="E598" i="5"/>
  <c r="H598" i="5" s="1"/>
  <c r="B598" i="5"/>
  <c r="E597" i="5"/>
  <c r="H597" i="5" s="1"/>
  <c r="B597" i="5"/>
  <c r="E596" i="5"/>
  <c r="H596" i="5" s="1"/>
  <c r="B596" i="5"/>
  <c r="E595" i="5"/>
  <c r="H595" i="5" s="1"/>
  <c r="B595" i="5"/>
  <c r="E594" i="5"/>
  <c r="I594" i="5" s="1"/>
  <c r="B594" i="5"/>
  <c r="E593" i="5"/>
  <c r="I593" i="5" s="1"/>
  <c r="B593" i="5"/>
  <c r="E592" i="5"/>
  <c r="B592" i="5"/>
  <c r="E591" i="5"/>
  <c r="G591" i="5" s="1"/>
  <c r="B591" i="5"/>
  <c r="E590" i="5"/>
  <c r="I590" i="5" s="1"/>
  <c r="B590" i="5"/>
  <c r="E589" i="5"/>
  <c r="B589" i="5"/>
  <c r="E588" i="5"/>
  <c r="B588" i="5"/>
  <c r="E587" i="5"/>
  <c r="I587" i="5" s="1"/>
  <c r="B587" i="5"/>
  <c r="E586" i="5"/>
  <c r="I586" i="5" s="1"/>
  <c r="B586" i="5"/>
  <c r="E585" i="5"/>
  <c r="I585" i="5" s="1"/>
  <c r="B585" i="5"/>
  <c r="E584" i="5"/>
  <c r="B584" i="5"/>
  <c r="E583" i="5"/>
  <c r="I583" i="5" s="1"/>
  <c r="B583" i="5"/>
  <c r="E582" i="5"/>
  <c r="I582" i="5" s="1"/>
  <c r="B582" i="5"/>
  <c r="E581" i="5"/>
  <c r="G581" i="5" s="1"/>
  <c r="B581" i="5"/>
  <c r="E580" i="5"/>
  <c r="B580" i="5"/>
  <c r="E579" i="5"/>
  <c r="I579" i="5" s="1"/>
  <c r="B579" i="5"/>
  <c r="E578" i="5"/>
  <c r="I578" i="5" s="1"/>
  <c r="B578" i="5"/>
  <c r="E577" i="5"/>
  <c r="I577" i="5" s="1"/>
  <c r="B577" i="5"/>
  <c r="E576" i="5"/>
  <c r="B576" i="5"/>
  <c r="E575" i="5"/>
  <c r="I575" i="5" s="1"/>
  <c r="B575" i="5"/>
  <c r="E574" i="5"/>
  <c r="I574" i="5" s="1"/>
  <c r="B574" i="5"/>
  <c r="E573" i="5"/>
  <c r="I573" i="5" s="1"/>
  <c r="B573" i="5"/>
  <c r="E572" i="5"/>
  <c r="B572" i="5"/>
  <c r="E571" i="5"/>
  <c r="G571" i="5" s="1"/>
  <c r="B571" i="5"/>
  <c r="E570" i="5"/>
  <c r="I570" i="5" s="1"/>
  <c r="B570" i="5"/>
  <c r="E569" i="5"/>
  <c r="G569" i="5" s="1"/>
  <c r="B569" i="5"/>
  <c r="E568" i="5"/>
  <c r="B568" i="5"/>
  <c r="E567" i="5"/>
  <c r="B567" i="5"/>
  <c r="E566" i="5"/>
  <c r="F566" i="5" s="1"/>
  <c r="B566" i="5"/>
  <c r="E565" i="5"/>
  <c r="F565" i="5" s="1"/>
  <c r="B565" i="5"/>
  <c r="E564" i="5"/>
  <c r="F564" i="5" s="1"/>
  <c r="B564" i="5"/>
  <c r="E563" i="5"/>
  <c r="F563" i="5" s="1"/>
  <c r="B563" i="5"/>
  <c r="E562" i="5"/>
  <c r="F562" i="5" s="1"/>
  <c r="B562" i="5"/>
  <c r="E561" i="5"/>
  <c r="F561" i="5" s="1"/>
  <c r="B561" i="5"/>
  <c r="E560" i="5"/>
  <c r="B560" i="5"/>
  <c r="E559" i="5"/>
  <c r="B559" i="5"/>
  <c r="E558" i="5"/>
  <c r="F558" i="5" s="1"/>
  <c r="B558" i="5"/>
  <c r="E557" i="5"/>
  <c r="F557" i="5" s="1"/>
  <c r="B557" i="5"/>
  <c r="E556" i="5"/>
  <c r="F556" i="5" s="1"/>
  <c r="B556" i="5"/>
  <c r="E555" i="5"/>
  <c r="F555" i="5" s="1"/>
  <c r="B555" i="5"/>
  <c r="E554" i="5"/>
  <c r="F554" i="5" s="1"/>
  <c r="B554" i="5"/>
  <c r="E553" i="5"/>
  <c r="F553" i="5" s="1"/>
  <c r="B553" i="5"/>
  <c r="E552" i="5"/>
  <c r="B552" i="5"/>
  <c r="E551" i="5"/>
  <c r="B551" i="5"/>
  <c r="E550" i="5"/>
  <c r="F550" i="5" s="1"/>
  <c r="B550" i="5"/>
  <c r="E549" i="5"/>
  <c r="F549" i="5" s="1"/>
  <c r="B549" i="5"/>
  <c r="E548" i="5"/>
  <c r="F548" i="5" s="1"/>
  <c r="B548" i="5"/>
  <c r="E547" i="5"/>
  <c r="F547" i="5" s="1"/>
  <c r="B547" i="5"/>
  <c r="E546" i="5"/>
  <c r="F546" i="5" s="1"/>
  <c r="B546" i="5"/>
  <c r="E545" i="5"/>
  <c r="B545" i="5"/>
  <c r="E544" i="5"/>
  <c r="B544" i="5"/>
  <c r="E543" i="5"/>
  <c r="B543" i="5"/>
  <c r="E542" i="5"/>
  <c r="F542" i="5" s="1"/>
  <c r="B542" i="5"/>
  <c r="E541" i="5"/>
  <c r="F541" i="5" s="1"/>
  <c r="B541" i="5"/>
  <c r="E540" i="5"/>
  <c r="B540" i="5"/>
  <c r="E539" i="5"/>
  <c r="F539" i="5" s="1"/>
  <c r="B539" i="5"/>
  <c r="E538" i="5"/>
  <c r="F538" i="5" s="1"/>
  <c r="B538" i="5"/>
  <c r="E537" i="5"/>
  <c r="F537" i="5" s="1"/>
  <c r="B537" i="5"/>
  <c r="E536" i="5"/>
  <c r="B536" i="5"/>
  <c r="E535" i="5"/>
  <c r="B535" i="5"/>
  <c r="E534" i="5"/>
  <c r="F534" i="5" s="1"/>
  <c r="B534" i="5"/>
  <c r="E533" i="5"/>
  <c r="B533" i="5"/>
  <c r="E532" i="5"/>
  <c r="B532" i="5"/>
  <c r="E531" i="5"/>
  <c r="F531" i="5" s="1"/>
  <c r="B531" i="5"/>
  <c r="E530" i="5"/>
  <c r="F530" i="5" s="1"/>
  <c r="B530" i="5"/>
  <c r="E529" i="5"/>
  <c r="F529" i="5" s="1"/>
  <c r="B529" i="5"/>
  <c r="E528" i="5"/>
  <c r="B528" i="5"/>
  <c r="E527" i="5"/>
  <c r="I527" i="5" s="1"/>
  <c r="B527" i="5"/>
  <c r="E526" i="5"/>
  <c r="B526" i="5"/>
  <c r="E525" i="5"/>
  <c r="F525" i="5" s="1"/>
  <c r="B525" i="5"/>
  <c r="E524" i="5"/>
  <c r="B524" i="5"/>
  <c r="E523" i="5"/>
  <c r="F523" i="5" s="1"/>
  <c r="B523" i="5"/>
  <c r="E522" i="5"/>
  <c r="F522" i="5" s="1"/>
  <c r="B522" i="5"/>
  <c r="E521" i="5"/>
  <c r="F521" i="5" s="1"/>
  <c r="B521" i="5"/>
  <c r="E520" i="5"/>
  <c r="G520" i="5" s="1"/>
  <c r="B520" i="5"/>
  <c r="E519" i="5"/>
  <c r="I519" i="5" s="1"/>
  <c r="B519" i="5"/>
  <c r="E518" i="5"/>
  <c r="F518" i="5" s="1"/>
  <c r="B518" i="5"/>
  <c r="E517" i="5"/>
  <c r="B517" i="5"/>
  <c r="E516" i="5"/>
  <c r="I516" i="5" s="1"/>
  <c r="B516" i="5"/>
  <c r="E515" i="5"/>
  <c r="B515" i="5"/>
  <c r="E514" i="5"/>
  <c r="F514" i="5" s="1"/>
  <c r="B514" i="5"/>
  <c r="E513" i="5"/>
  <c r="B513" i="5"/>
  <c r="E512" i="5"/>
  <c r="G512" i="5" s="1"/>
  <c r="B512" i="5"/>
  <c r="E511" i="5"/>
  <c r="B511" i="5"/>
  <c r="E510" i="5"/>
  <c r="F510" i="5" s="1"/>
  <c r="B510" i="5"/>
  <c r="E509" i="5"/>
  <c r="F509" i="5" s="1"/>
  <c r="B509" i="5"/>
  <c r="E508" i="5"/>
  <c r="B508" i="5"/>
  <c r="E507" i="5"/>
  <c r="F507" i="5" s="1"/>
  <c r="B507" i="5"/>
  <c r="E506" i="5"/>
  <c r="F506" i="5" s="1"/>
  <c r="B506" i="5"/>
  <c r="E505" i="5"/>
  <c r="F505" i="5" s="1"/>
  <c r="B505" i="5"/>
  <c r="E504" i="5"/>
  <c r="F504" i="5" s="1"/>
  <c r="B504" i="5"/>
  <c r="E503" i="5"/>
  <c r="F503" i="5" s="1"/>
  <c r="B503" i="5"/>
  <c r="E502" i="5"/>
  <c r="F502" i="5" s="1"/>
  <c r="B502" i="5"/>
  <c r="E501" i="5"/>
  <c r="F501" i="5" s="1"/>
  <c r="B501" i="5"/>
  <c r="E500" i="5"/>
  <c r="F500" i="5" s="1"/>
  <c r="B500" i="5"/>
  <c r="E499" i="5"/>
  <c r="F499" i="5" s="1"/>
  <c r="B499" i="5"/>
  <c r="E498" i="5"/>
  <c r="F498" i="5" s="1"/>
  <c r="B498" i="5"/>
  <c r="E497" i="5"/>
  <c r="F497" i="5" s="1"/>
  <c r="B497" i="5"/>
  <c r="E496" i="5"/>
  <c r="F496" i="5" s="1"/>
  <c r="B496" i="5"/>
  <c r="E495" i="5"/>
  <c r="F495" i="5" s="1"/>
  <c r="B495" i="5"/>
  <c r="E494" i="5"/>
  <c r="F494" i="5" s="1"/>
  <c r="B494" i="5"/>
  <c r="E493" i="5"/>
  <c r="B493" i="5"/>
  <c r="E492" i="5"/>
  <c r="F492" i="5" s="1"/>
  <c r="B492" i="5"/>
  <c r="E491" i="5"/>
  <c r="F491" i="5" s="1"/>
  <c r="B491" i="5"/>
  <c r="E490" i="5"/>
  <c r="F490" i="5" s="1"/>
  <c r="B490" i="5"/>
  <c r="E489" i="5"/>
  <c r="F489" i="5" s="1"/>
  <c r="B489" i="5"/>
  <c r="E488" i="5"/>
  <c r="F488" i="5" s="1"/>
  <c r="B488" i="5"/>
  <c r="E487" i="5"/>
  <c r="F487" i="5" s="1"/>
  <c r="B487" i="5"/>
  <c r="E486" i="5"/>
  <c r="F486" i="5" s="1"/>
  <c r="B486" i="5"/>
  <c r="E485" i="5"/>
  <c r="F485" i="5" s="1"/>
  <c r="B485" i="5"/>
  <c r="E484" i="5"/>
  <c r="B484" i="5"/>
  <c r="E483" i="5"/>
  <c r="F483" i="5" s="1"/>
  <c r="B483" i="5"/>
  <c r="E482" i="5"/>
  <c r="F482" i="5" s="1"/>
  <c r="B482" i="5"/>
  <c r="E481" i="5"/>
  <c r="H481" i="5" s="1"/>
  <c r="B481" i="5"/>
  <c r="E480" i="5"/>
  <c r="F480" i="5" s="1"/>
  <c r="B480" i="5"/>
  <c r="E479" i="5"/>
  <c r="B479" i="5"/>
  <c r="E478" i="5"/>
  <c r="F478" i="5" s="1"/>
  <c r="B478" i="5"/>
  <c r="E477" i="5"/>
  <c r="F477" i="5" s="1"/>
  <c r="B477" i="5"/>
  <c r="E476" i="5"/>
  <c r="F476" i="5" s="1"/>
  <c r="B476" i="5"/>
  <c r="E475" i="5"/>
  <c r="F475" i="5" s="1"/>
  <c r="B475" i="5"/>
  <c r="E474" i="5"/>
  <c r="F474" i="5" s="1"/>
  <c r="B474" i="5"/>
  <c r="E473" i="5"/>
  <c r="H473" i="5" s="1"/>
  <c r="B473" i="5"/>
  <c r="E472" i="5"/>
  <c r="F472" i="5" s="1"/>
  <c r="B472" i="5"/>
  <c r="E471" i="5"/>
  <c r="B471" i="5"/>
  <c r="E470" i="5"/>
  <c r="F470" i="5" s="1"/>
  <c r="B470" i="5"/>
  <c r="E469" i="5"/>
  <c r="F469" i="5" s="1"/>
  <c r="B469" i="5"/>
  <c r="E468" i="5"/>
  <c r="F468" i="5" s="1"/>
  <c r="B468" i="5"/>
  <c r="E467" i="5"/>
  <c r="G467" i="5" s="1"/>
  <c r="B467" i="5"/>
  <c r="E466" i="5"/>
  <c r="F466" i="5" s="1"/>
  <c r="B466" i="5"/>
  <c r="E465" i="5"/>
  <c r="B465" i="5"/>
  <c r="E464" i="5"/>
  <c r="F464" i="5" s="1"/>
  <c r="B464" i="5"/>
  <c r="E463" i="5"/>
  <c r="B463" i="5"/>
  <c r="E462" i="5"/>
  <c r="B462" i="5"/>
  <c r="E461" i="5"/>
  <c r="F461" i="5" s="1"/>
  <c r="B461" i="5"/>
  <c r="E460" i="5"/>
  <c r="B460" i="5"/>
  <c r="E459" i="5"/>
  <c r="F459" i="5" s="1"/>
  <c r="B459" i="5"/>
  <c r="E458" i="5"/>
  <c r="B458" i="5"/>
  <c r="E457" i="5"/>
  <c r="H457" i="5" s="1"/>
  <c r="B457" i="5"/>
  <c r="E456" i="5"/>
  <c r="F456" i="5" s="1"/>
  <c r="B456" i="5"/>
  <c r="E455" i="5"/>
  <c r="B455" i="5"/>
  <c r="E454" i="5"/>
  <c r="F454" i="5" s="1"/>
  <c r="B454" i="5"/>
  <c r="E453" i="5"/>
  <c r="B453" i="5"/>
  <c r="E452" i="5"/>
  <c r="B452" i="5"/>
  <c r="E451" i="5"/>
  <c r="B451" i="5"/>
  <c r="E450" i="5"/>
  <c r="F450" i="5" s="1"/>
  <c r="B450" i="5"/>
  <c r="E449" i="5"/>
  <c r="H449" i="5" s="1"/>
  <c r="B449" i="5"/>
  <c r="E448" i="5"/>
  <c r="F448" i="5" s="1"/>
  <c r="B448" i="5"/>
  <c r="E447" i="5"/>
  <c r="B447" i="5"/>
  <c r="E446" i="5"/>
  <c r="F446" i="5" s="1"/>
  <c r="B446" i="5"/>
  <c r="E445" i="5"/>
  <c r="F445" i="5" s="1"/>
  <c r="B445" i="5"/>
  <c r="E444" i="5"/>
  <c r="B444" i="5"/>
  <c r="E443" i="5"/>
  <c r="F443" i="5" s="1"/>
  <c r="B443" i="5"/>
  <c r="E442" i="5"/>
  <c r="F442" i="5" s="1"/>
  <c r="B442" i="5"/>
  <c r="E441" i="5"/>
  <c r="H441" i="5" s="1"/>
  <c r="B441" i="5"/>
  <c r="E440" i="5"/>
  <c r="B440" i="5"/>
  <c r="E439" i="5"/>
  <c r="B439" i="5"/>
  <c r="E438" i="5"/>
  <c r="F438" i="5" s="1"/>
  <c r="B438" i="5"/>
  <c r="E437" i="5"/>
  <c r="F437" i="5" s="1"/>
  <c r="B437" i="5"/>
  <c r="E436" i="5"/>
  <c r="F436" i="5" s="1"/>
  <c r="B436" i="5"/>
  <c r="E435" i="5"/>
  <c r="B435" i="5"/>
  <c r="E434" i="5"/>
  <c r="F434" i="5" s="1"/>
  <c r="B434" i="5"/>
  <c r="E433" i="5"/>
  <c r="H433" i="5" s="1"/>
  <c r="B433" i="5"/>
  <c r="E432" i="5"/>
  <c r="F432" i="5" s="1"/>
  <c r="B432" i="5"/>
  <c r="E431" i="5"/>
  <c r="B431" i="5"/>
  <c r="E430" i="5"/>
  <c r="F430" i="5" s="1"/>
  <c r="B430" i="5"/>
  <c r="E429" i="5"/>
  <c r="F429" i="5" s="1"/>
  <c r="B429" i="5"/>
  <c r="E428" i="5"/>
  <c r="F428" i="5" s="1"/>
  <c r="B428" i="5"/>
  <c r="E427" i="5"/>
  <c r="F427" i="5" s="1"/>
  <c r="B427" i="5"/>
  <c r="E426" i="5"/>
  <c r="F426" i="5" s="1"/>
  <c r="B426" i="5"/>
  <c r="E425" i="5"/>
  <c r="B425" i="5"/>
  <c r="E424" i="5"/>
  <c r="B424" i="5"/>
  <c r="E423" i="5"/>
  <c r="B423" i="5"/>
  <c r="E422" i="5"/>
  <c r="B422" i="5"/>
  <c r="E421" i="5"/>
  <c r="F421" i="5" s="1"/>
  <c r="B421" i="5"/>
  <c r="E420" i="5"/>
  <c r="F420" i="5" s="1"/>
  <c r="B420" i="5"/>
  <c r="E419" i="5"/>
  <c r="B419" i="5"/>
  <c r="E418" i="5"/>
  <c r="F418" i="5" s="1"/>
  <c r="B418" i="5"/>
  <c r="E417" i="5"/>
  <c r="B417" i="5"/>
  <c r="E416" i="5"/>
  <c r="G416" i="5" s="1"/>
  <c r="B416" i="5"/>
  <c r="E415" i="5"/>
  <c r="B415" i="5"/>
  <c r="E414" i="5"/>
  <c r="B414" i="5"/>
  <c r="E413" i="5"/>
  <c r="B413" i="5"/>
  <c r="E412" i="5"/>
  <c r="F412" i="5" s="1"/>
  <c r="B412" i="5"/>
  <c r="E411" i="5"/>
  <c r="F411" i="5" s="1"/>
  <c r="B411" i="5"/>
  <c r="E410" i="5"/>
  <c r="F410" i="5" s="1"/>
  <c r="B410" i="5"/>
  <c r="E409" i="5"/>
  <c r="B409" i="5"/>
  <c r="E408" i="5"/>
  <c r="I408" i="5" s="1"/>
  <c r="B408" i="5"/>
  <c r="E407" i="5"/>
  <c r="I407" i="5" s="1"/>
  <c r="B407" i="5"/>
  <c r="E406" i="5"/>
  <c r="I406" i="5" s="1"/>
  <c r="B406" i="5"/>
  <c r="E405" i="5"/>
  <c r="I405" i="5" s="1"/>
  <c r="B405" i="5"/>
  <c r="E404" i="5"/>
  <c r="I404" i="5" s="1"/>
  <c r="B404" i="5"/>
  <c r="E403" i="5"/>
  <c r="I403" i="5" s="1"/>
  <c r="B403" i="5"/>
  <c r="E402" i="5"/>
  <c r="I402" i="5" s="1"/>
  <c r="B402" i="5"/>
  <c r="E401" i="5"/>
  <c r="I401" i="5" s="1"/>
  <c r="B401" i="5"/>
  <c r="E400" i="5"/>
  <c r="I400" i="5" s="1"/>
  <c r="B400" i="5"/>
  <c r="E399" i="5"/>
  <c r="B399" i="5"/>
  <c r="E398" i="5"/>
  <c r="I398" i="5" s="1"/>
  <c r="B398" i="5"/>
  <c r="E397" i="5"/>
  <c r="G397" i="5" s="1"/>
  <c r="B397" i="5"/>
  <c r="E396" i="5"/>
  <c r="F396" i="5" s="1"/>
  <c r="B396" i="5"/>
  <c r="E395" i="5"/>
  <c r="B395" i="5"/>
  <c r="E394" i="5"/>
  <c r="I394" i="5" s="1"/>
  <c r="B394" i="5"/>
  <c r="E393" i="5"/>
  <c r="B393" i="5"/>
  <c r="E392" i="5"/>
  <c r="I392" i="5" s="1"/>
  <c r="B392" i="5"/>
  <c r="E391" i="5"/>
  <c r="B391" i="5"/>
  <c r="E390" i="5"/>
  <c r="B390" i="5"/>
  <c r="E389" i="5"/>
  <c r="I389" i="5" s="1"/>
  <c r="B389" i="5"/>
  <c r="E388" i="5"/>
  <c r="I388" i="5" s="1"/>
  <c r="B388" i="5"/>
  <c r="E387" i="5"/>
  <c r="I387" i="5" s="1"/>
  <c r="B387" i="5"/>
  <c r="E386" i="5"/>
  <c r="I386" i="5" s="1"/>
  <c r="B386" i="5"/>
  <c r="E385" i="5"/>
  <c r="I385" i="5" s="1"/>
  <c r="B385" i="5"/>
  <c r="E384" i="5"/>
  <c r="I384" i="5" s="1"/>
  <c r="B384" i="5"/>
  <c r="E383" i="5"/>
  <c r="F383" i="5" s="1"/>
  <c r="B383" i="5"/>
  <c r="E382" i="5"/>
  <c r="B382" i="5"/>
  <c r="E381" i="5"/>
  <c r="I381" i="5" s="1"/>
  <c r="B381" i="5"/>
  <c r="E380" i="5"/>
  <c r="I380" i="5" s="1"/>
  <c r="B380" i="5"/>
  <c r="E379" i="5"/>
  <c r="I379" i="5" s="1"/>
  <c r="B379" i="5"/>
  <c r="E378" i="5"/>
  <c r="I378" i="5" s="1"/>
  <c r="B378" i="5"/>
  <c r="E377" i="5"/>
  <c r="I377" i="5" s="1"/>
  <c r="B377" i="5"/>
  <c r="E376" i="5"/>
  <c r="B376" i="5"/>
  <c r="E375" i="5"/>
  <c r="B375" i="5"/>
  <c r="E374" i="5"/>
  <c r="B374" i="5"/>
  <c r="E373" i="5"/>
  <c r="B373" i="5"/>
  <c r="E372" i="5"/>
  <c r="I372" i="5" s="1"/>
  <c r="B372" i="5"/>
  <c r="E371" i="5"/>
  <c r="B371" i="5"/>
  <c r="E370" i="5"/>
  <c r="I370" i="5" s="1"/>
  <c r="B370" i="5"/>
  <c r="E369" i="5"/>
  <c r="B369" i="5"/>
  <c r="E368" i="5"/>
  <c r="I368" i="5" s="1"/>
  <c r="B368" i="5"/>
  <c r="E367" i="5"/>
  <c r="B367" i="5"/>
  <c r="E366" i="5"/>
  <c r="B366" i="5"/>
  <c r="E365" i="5"/>
  <c r="I365" i="5" s="1"/>
  <c r="B365" i="5"/>
  <c r="E364" i="5"/>
  <c r="B364" i="5"/>
  <c r="E363" i="5"/>
  <c r="B363" i="5"/>
  <c r="E362" i="5"/>
  <c r="B362" i="5"/>
  <c r="E361" i="5"/>
  <c r="I361" i="5" s="1"/>
  <c r="B361" i="5"/>
  <c r="E360" i="5"/>
  <c r="I360" i="5" s="1"/>
  <c r="B360" i="5"/>
  <c r="E359" i="5"/>
  <c r="F359" i="5" s="1"/>
  <c r="B359" i="5"/>
  <c r="E358" i="5"/>
  <c r="B358" i="5"/>
  <c r="E357" i="5"/>
  <c r="B357" i="5"/>
  <c r="E356" i="5"/>
  <c r="I356" i="5" s="1"/>
  <c r="B356" i="5"/>
  <c r="E355" i="5"/>
  <c r="I355" i="5" s="1"/>
  <c r="B355" i="5"/>
  <c r="E354" i="5"/>
  <c r="I354" i="5" s="1"/>
  <c r="B354" i="5"/>
  <c r="E353" i="5"/>
  <c r="I353" i="5" s="1"/>
  <c r="B353" i="5"/>
  <c r="E352" i="5"/>
  <c r="I352" i="5" s="1"/>
  <c r="B352" i="5"/>
  <c r="E351" i="5"/>
  <c r="F351" i="5" s="1"/>
  <c r="B351" i="5"/>
  <c r="E350" i="5"/>
  <c r="B350" i="5"/>
  <c r="E349" i="5"/>
  <c r="B349" i="5"/>
  <c r="E348" i="5"/>
  <c r="I348" i="5" s="1"/>
  <c r="B348" i="5"/>
  <c r="E347" i="5"/>
  <c r="B347" i="5"/>
  <c r="E346" i="5"/>
  <c r="I346" i="5" s="1"/>
  <c r="B346" i="5"/>
  <c r="E345" i="5"/>
  <c r="B345" i="5"/>
  <c r="E344" i="5"/>
  <c r="I344" i="5" s="1"/>
  <c r="B344" i="5"/>
  <c r="E343" i="5"/>
  <c r="F343" i="5" s="1"/>
  <c r="B343" i="5"/>
  <c r="E342" i="5"/>
  <c r="B342" i="5"/>
  <c r="E341" i="5"/>
  <c r="I341" i="5" s="1"/>
  <c r="B341" i="5"/>
  <c r="E340" i="5"/>
  <c r="B340" i="5"/>
  <c r="E339" i="5"/>
  <c r="B339" i="5"/>
  <c r="E338" i="5"/>
  <c r="I338" i="5" s="1"/>
  <c r="B338" i="5"/>
  <c r="E337" i="5"/>
  <c r="B337" i="5"/>
  <c r="E336" i="5"/>
  <c r="I336" i="5" s="1"/>
  <c r="B336" i="5"/>
  <c r="E335" i="5"/>
  <c r="B335" i="5"/>
  <c r="E334" i="5"/>
  <c r="B334" i="5"/>
  <c r="E333" i="5"/>
  <c r="I333" i="5" s="1"/>
  <c r="B333" i="5"/>
  <c r="E332" i="5"/>
  <c r="B332" i="5"/>
  <c r="E331" i="5"/>
  <c r="I331" i="5" s="1"/>
  <c r="B331" i="5"/>
  <c r="E330" i="5"/>
  <c r="B330" i="5"/>
  <c r="E329" i="5"/>
  <c r="I329" i="5" s="1"/>
  <c r="B329" i="5"/>
  <c r="E328" i="5"/>
  <c r="G328" i="5" s="1"/>
  <c r="B328" i="5"/>
  <c r="E327" i="5"/>
  <c r="F327" i="5" s="1"/>
  <c r="B327" i="5"/>
  <c r="E326" i="5"/>
  <c r="B326" i="5"/>
  <c r="E325" i="5"/>
  <c r="I325" i="5" s="1"/>
  <c r="B325" i="5"/>
  <c r="E324" i="5"/>
  <c r="I324" i="5" s="1"/>
  <c r="B324" i="5"/>
  <c r="E323" i="5"/>
  <c r="I323" i="5" s="1"/>
  <c r="B323" i="5"/>
  <c r="E322" i="5"/>
  <c r="H322" i="5" s="1"/>
  <c r="B322" i="5"/>
  <c r="E321" i="5"/>
  <c r="I321" i="5" s="1"/>
  <c r="B321" i="5"/>
  <c r="E320" i="5"/>
  <c r="B320" i="5"/>
  <c r="E319" i="5"/>
  <c r="F319" i="5" s="1"/>
  <c r="B319" i="5"/>
  <c r="E318" i="5"/>
  <c r="B318" i="5"/>
  <c r="E317" i="5"/>
  <c r="I317" i="5" s="1"/>
  <c r="B317" i="5"/>
  <c r="E316" i="5"/>
  <c r="I316" i="5" s="1"/>
  <c r="B316" i="5"/>
  <c r="E315" i="5"/>
  <c r="B315" i="5"/>
  <c r="E314" i="5"/>
  <c r="H314" i="5" s="1"/>
  <c r="B314" i="5"/>
  <c r="E313" i="5"/>
  <c r="B313" i="5"/>
  <c r="E312" i="5"/>
  <c r="B312" i="5"/>
  <c r="E311" i="5"/>
  <c r="B311" i="5"/>
  <c r="E310" i="5"/>
  <c r="B310" i="5"/>
  <c r="E309" i="5"/>
  <c r="B309" i="5"/>
  <c r="E308" i="5"/>
  <c r="I308" i="5" s="1"/>
  <c r="B308" i="5"/>
  <c r="E307" i="5"/>
  <c r="I307" i="5" s="1"/>
  <c r="B307" i="5"/>
  <c r="E306" i="5"/>
  <c r="I306" i="5" s="1"/>
  <c r="B306" i="5"/>
  <c r="E305" i="5"/>
  <c r="B305" i="5"/>
  <c r="E304" i="5"/>
  <c r="I304" i="5" s="1"/>
  <c r="B304" i="5"/>
  <c r="E303" i="5"/>
  <c r="I303" i="5" s="1"/>
  <c r="B303" i="5"/>
  <c r="E302" i="5"/>
  <c r="I302" i="5" s="1"/>
  <c r="B302" i="5"/>
  <c r="E301" i="5"/>
  <c r="B301" i="5"/>
  <c r="E300" i="5"/>
  <c r="I300" i="5" s="1"/>
  <c r="B300" i="5"/>
  <c r="E299" i="5"/>
  <c r="I299" i="5" s="1"/>
  <c r="B299" i="5"/>
  <c r="E298" i="5"/>
  <c r="I298" i="5" s="1"/>
  <c r="B298" i="5"/>
  <c r="E297" i="5"/>
  <c r="B297" i="5"/>
  <c r="E296" i="5"/>
  <c r="I296" i="5" s="1"/>
  <c r="B296" i="5"/>
  <c r="E295" i="5"/>
  <c r="I295" i="5" s="1"/>
  <c r="B295" i="5"/>
  <c r="E294" i="5"/>
  <c r="I294" i="5" s="1"/>
  <c r="B294" i="5"/>
  <c r="E293" i="5"/>
  <c r="B293" i="5"/>
  <c r="E292" i="5"/>
  <c r="I292" i="5" s="1"/>
  <c r="B292" i="5"/>
  <c r="E291" i="5"/>
  <c r="I291" i="5" s="1"/>
  <c r="B291" i="5"/>
  <c r="E290" i="5"/>
  <c r="I290" i="5" s="1"/>
  <c r="B290" i="5"/>
  <c r="E289" i="5"/>
  <c r="B289" i="5"/>
  <c r="E288" i="5"/>
  <c r="I288" i="5" s="1"/>
  <c r="B288" i="5"/>
  <c r="E287" i="5"/>
  <c r="I287" i="5" s="1"/>
  <c r="B287" i="5"/>
  <c r="E286" i="5"/>
  <c r="I286" i="5" s="1"/>
  <c r="B286" i="5"/>
  <c r="E285" i="5"/>
  <c r="B285" i="5"/>
  <c r="E284" i="5"/>
  <c r="I284" i="5" s="1"/>
  <c r="B284" i="5"/>
  <c r="E283" i="5"/>
  <c r="I283" i="5" s="1"/>
  <c r="B283" i="5"/>
  <c r="E282" i="5"/>
  <c r="I282" i="5" s="1"/>
  <c r="B282" i="5"/>
  <c r="E281" i="5"/>
  <c r="B281" i="5"/>
  <c r="E280" i="5"/>
  <c r="I280" i="5" s="1"/>
  <c r="B280" i="5"/>
  <c r="E279" i="5"/>
  <c r="I279" i="5" s="1"/>
  <c r="B279" i="5"/>
  <c r="E278" i="5"/>
  <c r="I278" i="5" s="1"/>
  <c r="B278" i="5"/>
  <c r="E277" i="5"/>
  <c r="B277" i="5"/>
  <c r="E276" i="5"/>
  <c r="I276" i="5" s="1"/>
  <c r="B276" i="5"/>
  <c r="E275" i="5"/>
  <c r="I275" i="5" s="1"/>
  <c r="B275" i="5"/>
  <c r="E274" i="5"/>
  <c r="I274" i="5" s="1"/>
  <c r="B274" i="5"/>
  <c r="E273" i="5"/>
  <c r="B273" i="5"/>
  <c r="E272" i="5"/>
  <c r="I272" i="5" s="1"/>
  <c r="B272" i="5"/>
  <c r="E271" i="5"/>
  <c r="I271" i="5" s="1"/>
  <c r="B271" i="5"/>
  <c r="E270" i="5"/>
  <c r="I270" i="5" s="1"/>
  <c r="B270" i="5"/>
  <c r="E269" i="5"/>
  <c r="B269" i="5"/>
  <c r="E268" i="5"/>
  <c r="I268" i="5" s="1"/>
  <c r="B268" i="5"/>
  <c r="E267" i="5"/>
  <c r="I267" i="5" s="1"/>
  <c r="B267" i="5"/>
  <c r="E266" i="5"/>
  <c r="I266" i="5" s="1"/>
  <c r="B266" i="5"/>
  <c r="E265" i="5"/>
  <c r="B265" i="5"/>
  <c r="E264" i="5"/>
  <c r="I264" i="5" s="1"/>
  <c r="B264" i="5"/>
  <c r="E263" i="5"/>
  <c r="I263" i="5" s="1"/>
  <c r="B263" i="5"/>
  <c r="E262" i="5"/>
  <c r="I262" i="5" s="1"/>
  <c r="B262" i="5"/>
  <c r="E261" i="5"/>
  <c r="B261" i="5"/>
  <c r="E260" i="5"/>
  <c r="I260" i="5" s="1"/>
  <c r="B260" i="5"/>
  <c r="E259" i="5"/>
  <c r="I259" i="5" s="1"/>
  <c r="B259" i="5"/>
  <c r="E258" i="5"/>
  <c r="I258" i="5" s="1"/>
  <c r="B258" i="5"/>
  <c r="E257" i="5"/>
  <c r="B257" i="5"/>
  <c r="E256" i="5"/>
  <c r="I256" i="5" s="1"/>
  <c r="B256" i="5"/>
  <c r="E255" i="5"/>
  <c r="I255" i="5" s="1"/>
  <c r="B255" i="5"/>
  <c r="E254" i="5"/>
  <c r="I254" i="5" s="1"/>
  <c r="B254" i="5"/>
  <c r="E253" i="5"/>
  <c r="B253" i="5"/>
  <c r="E252" i="5"/>
  <c r="I252" i="5" s="1"/>
  <c r="B252" i="5"/>
  <c r="E251" i="5"/>
  <c r="I251" i="5" s="1"/>
  <c r="B251" i="5"/>
  <c r="E250" i="5"/>
  <c r="I250" i="5" s="1"/>
  <c r="B250" i="5"/>
  <c r="E249" i="5"/>
  <c r="B249" i="5"/>
  <c r="E248" i="5"/>
  <c r="I248" i="5" s="1"/>
  <c r="B248" i="5"/>
  <c r="E247" i="5"/>
  <c r="I247" i="5" s="1"/>
  <c r="B247" i="5"/>
  <c r="E246" i="5"/>
  <c r="I246" i="5" s="1"/>
  <c r="B246" i="5"/>
  <c r="E245" i="5"/>
  <c r="B245" i="5"/>
  <c r="E244" i="5"/>
  <c r="I244" i="5" s="1"/>
  <c r="B244" i="5"/>
  <c r="E243" i="5"/>
  <c r="I243" i="5" s="1"/>
  <c r="B243" i="5"/>
  <c r="E242" i="5"/>
  <c r="I242" i="5" s="1"/>
  <c r="B242" i="5"/>
  <c r="E241" i="5"/>
  <c r="B241" i="5"/>
  <c r="E240" i="5"/>
  <c r="I240" i="5" s="1"/>
  <c r="B240" i="5"/>
  <c r="E239" i="5"/>
  <c r="I239" i="5" s="1"/>
  <c r="B239" i="5"/>
  <c r="E238" i="5"/>
  <c r="I238" i="5" s="1"/>
  <c r="B238" i="5"/>
  <c r="E237" i="5"/>
  <c r="B237" i="5"/>
  <c r="E236" i="5"/>
  <c r="I236" i="5" s="1"/>
  <c r="B236" i="5"/>
  <c r="E235" i="5"/>
  <c r="I235" i="5" s="1"/>
  <c r="B235" i="5"/>
  <c r="E234" i="5"/>
  <c r="I234" i="5" s="1"/>
  <c r="B234" i="5"/>
  <c r="E233" i="5"/>
  <c r="B233" i="5"/>
  <c r="E232" i="5"/>
  <c r="I232" i="5" s="1"/>
  <c r="B232" i="5"/>
  <c r="E231" i="5"/>
  <c r="I231" i="5" s="1"/>
  <c r="B231" i="5"/>
  <c r="E230" i="5"/>
  <c r="I230" i="5" s="1"/>
  <c r="B230" i="5"/>
  <c r="E229" i="5"/>
  <c r="B229" i="5"/>
  <c r="E228" i="5"/>
  <c r="I228" i="5" s="1"/>
  <c r="B228" i="5"/>
  <c r="E227" i="5"/>
  <c r="I227" i="5" s="1"/>
  <c r="B227" i="5"/>
  <c r="E226" i="5"/>
  <c r="I226" i="5" s="1"/>
  <c r="B226" i="5"/>
  <c r="E225" i="5"/>
  <c r="H225" i="5" s="1"/>
  <c r="B225" i="5"/>
  <c r="E224" i="5"/>
  <c r="I224" i="5" s="1"/>
  <c r="B224" i="5"/>
  <c r="E223" i="5"/>
  <c r="H223" i="5" s="1"/>
  <c r="B223" i="5"/>
  <c r="E222" i="5"/>
  <c r="I222" i="5" s="1"/>
  <c r="B222" i="5"/>
  <c r="E221" i="5"/>
  <c r="H221" i="5" s="1"/>
  <c r="B221" i="5"/>
  <c r="E220" i="5"/>
  <c r="H220" i="5" s="1"/>
  <c r="B220" i="5"/>
  <c r="E219" i="5"/>
  <c r="H219" i="5" s="1"/>
  <c r="B219" i="5"/>
  <c r="E218" i="5"/>
  <c r="H218" i="5" s="1"/>
  <c r="B218" i="5"/>
  <c r="E217" i="5"/>
  <c r="H217" i="5" s="1"/>
  <c r="B217" i="5"/>
  <c r="E216" i="5"/>
  <c r="I216" i="5" s="1"/>
  <c r="B216" i="5"/>
  <c r="E215" i="5"/>
  <c r="H215" i="5" s="1"/>
  <c r="B215" i="5"/>
  <c r="E214" i="5"/>
  <c r="B214" i="5"/>
  <c r="E213" i="5"/>
  <c r="H213" i="5" s="1"/>
  <c r="B213" i="5"/>
  <c r="E212" i="5"/>
  <c r="I212" i="5" s="1"/>
  <c r="B212" i="5"/>
  <c r="E211" i="5"/>
  <c r="G211" i="5" s="1"/>
  <c r="B211" i="5"/>
  <c r="E210" i="5"/>
  <c r="G210" i="5" s="1"/>
  <c r="B210" i="5"/>
  <c r="E209" i="5"/>
  <c r="G209" i="5" s="1"/>
  <c r="B209" i="5"/>
  <c r="E208" i="5"/>
  <c r="G208" i="5" s="1"/>
  <c r="B208" i="5"/>
  <c r="E207" i="5"/>
  <c r="G207" i="5" s="1"/>
  <c r="B207" i="5"/>
  <c r="E206" i="5"/>
  <c r="F206" i="5" s="1"/>
  <c r="B206" i="5"/>
  <c r="E205" i="5"/>
  <c r="B205" i="5"/>
  <c r="E204" i="5"/>
  <c r="G204" i="5" s="1"/>
  <c r="B204" i="5"/>
  <c r="E203" i="5"/>
  <c r="G203" i="5" s="1"/>
  <c r="B203" i="5"/>
  <c r="E202" i="5"/>
  <c r="G202" i="5" s="1"/>
  <c r="B202" i="5"/>
  <c r="E201" i="5"/>
  <c r="G201" i="5" s="1"/>
  <c r="B201" i="5"/>
  <c r="E200" i="5"/>
  <c r="G200" i="5" s="1"/>
  <c r="B200" i="5"/>
  <c r="E199" i="5"/>
  <c r="G199" i="5" s="1"/>
  <c r="B199" i="5"/>
  <c r="E198" i="5"/>
  <c r="F198" i="5" s="1"/>
  <c r="B198" i="5"/>
  <c r="E197" i="5"/>
  <c r="B197" i="5"/>
  <c r="E196" i="5"/>
  <c r="G196" i="5" s="1"/>
  <c r="B196" i="5"/>
  <c r="E195" i="5"/>
  <c r="G195" i="5" s="1"/>
  <c r="B195" i="5"/>
  <c r="E194" i="5"/>
  <c r="H194" i="5" s="1"/>
  <c r="B194" i="5"/>
  <c r="E193" i="5"/>
  <c r="H193" i="5" s="1"/>
  <c r="B193" i="5"/>
  <c r="E192" i="5"/>
  <c r="H192" i="5" s="1"/>
  <c r="B192" i="5"/>
  <c r="E191" i="5"/>
  <c r="H191" i="5" s="1"/>
  <c r="B191" i="5"/>
  <c r="E190" i="5"/>
  <c r="H190" i="5" s="1"/>
  <c r="B190" i="5"/>
  <c r="E189" i="5"/>
  <c r="H189" i="5" s="1"/>
  <c r="B189" i="5"/>
  <c r="E188" i="5"/>
  <c r="H188" i="5" s="1"/>
  <c r="B188" i="5"/>
  <c r="E187" i="5"/>
  <c r="H187" i="5" s="1"/>
  <c r="B187" i="5"/>
  <c r="E186" i="5"/>
  <c r="H186" i="5" s="1"/>
  <c r="B186" i="5"/>
  <c r="E185" i="5"/>
  <c r="H185" i="5" s="1"/>
  <c r="B185" i="5"/>
  <c r="E184" i="5"/>
  <c r="H184" i="5" s="1"/>
  <c r="B184" i="5"/>
  <c r="E183" i="5"/>
  <c r="H183" i="5" s="1"/>
  <c r="B183" i="5"/>
  <c r="E182" i="5"/>
  <c r="H182" i="5" s="1"/>
  <c r="B182" i="5"/>
  <c r="E181" i="5"/>
  <c r="H181" i="5" s="1"/>
  <c r="B181" i="5"/>
  <c r="E180" i="5"/>
  <c r="H180" i="5" s="1"/>
  <c r="B180" i="5"/>
  <c r="E179" i="5"/>
  <c r="H179" i="5" s="1"/>
  <c r="B179" i="5"/>
  <c r="E178" i="5"/>
  <c r="H178" i="5" s="1"/>
  <c r="B178" i="5"/>
  <c r="E177" i="5"/>
  <c r="H177" i="5" s="1"/>
  <c r="B177" i="5"/>
  <c r="E176" i="5"/>
  <c r="H176" i="5" s="1"/>
  <c r="B176" i="5"/>
  <c r="E175" i="5"/>
  <c r="H175" i="5" s="1"/>
  <c r="B175" i="5"/>
  <c r="E174" i="5"/>
  <c r="H174" i="5" s="1"/>
  <c r="B174" i="5"/>
  <c r="E173" i="5"/>
  <c r="H173" i="5" s="1"/>
  <c r="B173" i="5"/>
  <c r="E172" i="5"/>
  <c r="H172" i="5" s="1"/>
  <c r="B172" i="5"/>
  <c r="E171" i="5"/>
  <c r="H171" i="5" s="1"/>
  <c r="B171" i="5"/>
  <c r="E170" i="5"/>
  <c r="H170" i="5" s="1"/>
  <c r="B170" i="5"/>
  <c r="E169" i="5"/>
  <c r="H169" i="5" s="1"/>
  <c r="D169" i="5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D403" i="5" s="1"/>
  <c r="D404" i="5" s="1"/>
  <c r="D405" i="5" s="1"/>
  <c r="D406" i="5" s="1"/>
  <c r="D407" i="5" s="1"/>
  <c r="D408" i="5" s="1"/>
  <c r="D409" i="5" s="1"/>
  <c r="D410" i="5" s="1"/>
  <c r="D411" i="5" s="1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B169" i="5"/>
  <c r="E168" i="5"/>
  <c r="H168" i="5" s="1"/>
  <c r="B168" i="5"/>
  <c r="E167" i="5"/>
  <c r="B167" i="5"/>
  <c r="E166" i="5"/>
  <c r="H166" i="5" s="1"/>
  <c r="B166" i="5"/>
  <c r="E165" i="5"/>
  <c r="D165" i="5"/>
  <c r="D166" i="5" s="1"/>
  <c r="D167" i="5" s="1"/>
  <c r="D168" i="5" s="1"/>
  <c r="B165" i="5"/>
  <c r="E164" i="5"/>
  <c r="H164" i="5" s="1"/>
  <c r="C164" i="5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C403" i="5" s="1"/>
  <c r="C404" i="5" s="1"/>
  <c r="C405" i="5" s="1"/>
  <c r="C406" i="5" s="1"/>
  <c r="C407" i="5" s="1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B164" i="5"/>
  <c r="E163" i="5"/>
  <c r="H163" i="5" s="1"/>
  <c r="B163" i="5"/>
  <c r="E162" i="5"/>
  <c r="B162" i="5"/>
  <c r="E161" i="5"/>
  <c r="H161" i="5" s="1"/>
  <c r="B161" i="5"/>
  <c r="E160" i="5"/>
  <c r="B160" i="5"/>
  <c r="E159" i="5"/>
  <c r="H159" i="5" s="1"/>
  <c r="B159" i="5"/>
  <c r="E158" i="5"/>
  <c r="B158" i="5"/>
  <c r="E157" i="5"/>
  <c r="I157" i="5" s="1"/>
  <c r="B157" i="5"/>
  <c r="E156" i="5"/>
  <c r="I156" i="5" s="1"/>
  <c r="B156" i="5"/>
  <c r="E155" i="5"/>
  <c r="I155" i="5" s="1"/>
  <c r="D155" i="5"/>
  <c r="D156" i="5" s="1"/>
  <c r="D157" i="5" s="1"/>
  <c r="D158" i="5" s="1"/>
  <c r="D159" i="5" s="1"/>
  <c r="D160" i="5" s="1"/>
  <c r="D161" i="5" s="1"/>
  <c r="D162" i="5" s="1"/>
  <c r="D163" i="5" s="1"/>
  <c r="D164" i="5" s="1"/>
  <c r="B155" i="5"/>
  <c r="E154" i="5"/>
  <c r="I154" i="5" s="1"/>
  <c r="B154" i="5"/>
  <c r="E153" i="5"/>
  <c r="I153" i="5" s="1"/>
  <c r="B153" i="5"/>
  <c r="E152" i="5"/>
  <c r="I152" i="5" s="1"/>
  <c r="B152" i="5"/>
  <c r="E151" i="5"/>
  <c r="I151" i="5" s="1"/>
  <c r="B151" i="5"/>
  <c r="E150" i="5"/>
  <c r="I150" i="5" s="1"/>
  <c r="B150" i="5"/>
  <c r="E149" i="5"/>
  <c r="B149" i="5"/>
  <c r="E148" i="5"/>
  <c r="D148" i="5"/>
  <c r="D149" i="5" s="1"/>
  <c r="D150" i="5" s="1"/>
  <c r="D151" i="5" s="1"/>
  <c r="D152" i="5" s="1"/>
  <c r="D153" i="5" s="1"/>
  <c r="D154" i="5" s="1"/>
  <c r="B148" i="5"/>
  <c r="E147" i="5"/>
  <c r="B147" i="5"/>
  <c r="E146" i="5"/>
  <c r="B146" i="5"/>
  <c r="E145" i="5"/>
  <c r="B145" i="5"/>
  <c r="E144" i="5"/>
  <c r="B144" i="5"/>
  <c r="E143" i="5"/>
  <c r="B143" i="5"/>
  <c r="E142" i="5"/>
  <c r="B142" i="5"/>
  <c r="E141" i="5"/>
  <c r="D141" i="5"/>
  <c r="D142" i="5" s="1"/>
  <c r="D143" i="5" s="1"/>
  <c r="D144" i="5" s="1"/>
  <c r="D145" i="5" s="1"/>
  <c r="D146" i="5" s="1"/>
  <c r="D147" i="5" s="1"/>
  <c r="B141" i="5"/>
  <c r="E140" i="5"/>
  <c r="B140" i="5"/>
  <c r="E139" i="5"/>
  <c r="B139" i="5"/>
  <c r="E138" i="5"/>
  <c r="B138" i="5"/>
  <c r="E137" i="5"/>
  <c r="B137" i="5"/>
  <c r="E136" i="5"/>
  <c r="B136" i="5"/>
  <c r="E135" i="5"/>
  <c r="D135" i="5"/>
  <c r="D136" i="5" s="1"/>
  <c r="D137" i="5" s="1"/>
  <c r="D138" i="5" s="1"/>
  <c r="D139" i="5" s="1"/>
  <c r="D140" i="5" s="1"/>
  <c r="B135" i="5"/>
  <c r="E134" i="5"/>
  <c r="C134" i="5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B134" i="5"/>
  <c r="E133" i="5"/>
  <c r="B133" i="5"/>
  <c r="E132" i="5"/>
  <c r="B132" i="5"/>
  <c r="E131" i="5"/>
  <c r="B131" i="5"/>
  <c r="E130" i="5"/>
  <c r="B130" i="5"/>
  <c r="E129" i="5"/>
  <c r="B129" i="5"/>
  <c r="E128" i="5"/>
  <c r="B128" i="5"/>
  <c r="E127" i="5"/>
  <c r="D127" i="5"/>
  <c r="D128" i="5" s="1"/>
  <c r="D129" i="5" s="1"/>
  <c r="D130" i="5" s="1"/>
  <c r="D131" i="5" s="1"/>
  <c r="D132" i="5" s="1"/>
  <c r="D133" i="5" s="1"/>
  <c r="D134" i="5" s="1"/>
  <c r="B127" i="5"/>
  <c r="E126" i="5"/>
  <c r="B126" i="5"/>
  <c r="E125" i="5"/>
  <c r="B125" i="5"/>
  <c r="E124" i="5"/>
  <c r="B124" i="5"/>
  <c r="E123" i="5"/>
  <c r="B123" i="5"/>
  <c r="E122" i="5"/>
  <c r="B122" i="5"/>
  <c r="E121" i="5"/>
  <c r="B121" i="5"/>
  <c r="E120" i="5"/>
  <c r="D120" i="5"/>
  <c r="D121" i="5" s="1"/>
  <c r="D122" i="5" s="1"/>
  <c r="D123" i="5" s="1"/>
  <c r="D124" i="5" s="1"/>
  <c r="D125" i="5" s="1"/>
  <c r="D126" i="5" s="1"/>
  <c r="B120" i="5"/>
  <c r="E119" i="5"/>
  <c r="B119" i="5"/>
  <c r="E118" i="5"/>
  <c r="B118" i="5"/>
  <c r="E117" i="5"/>
  <c r="B117" i="5"/>
  <c r="E116" i="5"/>
  <c r="D116" i="5"/>
  <c r="D117" i="5" s="1"/>
  <c r="D118" i="5" s="1"/>
  <c r="D119" i="5" s="1"/>
  <c r="B116" i="5"/>
  <c r="E115" i="5"/>
  <c r="B115" i="5"/>
  <c r="E114" i="5"/>
  <c r="B114" i="5"/>
  <c r="E113" i="5"/>
  <c r="B113" i="5"/>
  <c r="E112" i="5"/>
  <c r="D112" i="5"/>
  <c r="D113" i="5" s="1"/>
  <c r="D114" i="5" s="1"/>
  <c r="D115" i="5" s="1"/>
  <c r="B112" i="5"/>
  <c r="E111" i="5"/>
  <c r="B111" i="5"/>
  <c r="E110" i="5"/>
  <c r="B110" i="5"/>
  <c r="E109" i="5"/>
  <c r="B109" i="5"/>
  <c r="E108" i="5"/>
  <c r="B108" i="5"/>
  <c r="E107" i="5"/>
  <c r="B107" i="5"/>
  <c r="E106" i="5"/>
  <c r="B106" i="5"/>
  <c r="E105" i="5"/>
  <c r="D105" i="5"/>
  <c r="D106" i="5" s="1"/>
  <c r="D107" i="5" s="1"/>
  <c r="D108" i="5" s="1"/>
  <c r="D109" i="5" s="1"/>
  <c r="D110" i="5" s="1"/>
  <c r="D111" i="5" s="1"/>
  <c r="B105" i="5"/>
  <c r="E104" i="5"/>
  <c r="B104" i="5"/>
  <c r="E103" i="5"/>
  <c r="B103" i="5"/>
  <c r="E102" i="5"/>
  <c r="B102" i="5"/>
  <c r="E101" i="5"/>
  <c r="B101" i="5"/>
  <c r="E100" i="5"/>
  <c r="B100" i="5"/>
  <c r="E99" i="5"/>
  <c r="D99" i="5"/>
  <c r="D100" i="5" s="1"/>
  <c r="D101" i="5" s="1"/>
  <c r="D102" i="5" s="1"/>
  <c r="D103" i="5" s="1"/>
  <c r="D104" i="5" s="1"/>
  <c r="B99" i="5"/>
  <c r="E98" i="5"/>
  <c r="B98" i="5"/>
  <c r="E97" i="5"/>
  <c r="B97" i="5"/>
  <c r="E96" i="5"/>
  <c r="B96" i="5"/>
  <c r="E95" i="5"/>
  <c r="B95" i="5"/>
  <c r="E94" i="5"/>
  <c r="B94" i="5"/>
  <c r="E93" i="5"/>
  <c r="D93" i="5"/>
  <c r="D94" i="5" s="1"/>
  <c r="D95" i="5" s="1"/>
  <c r="D96" i="5" s="1"/>
  <c r="D97" i="5" s="1"/>
  <c r="D98" i="5" s="1"/>
  <c r="B93" i="5"/>
  <c r="E92" i="5"/>
  <c r="B92" i="5"/>
  <c r="E91" i="5"/>
  <c r="B91" i="5"/>
  <c r="E90" i="5"/>
  <c r="B90" i="5"/>
  <c r="E89" i="5"/>
  <c r="B89" i="5"/>
  <c r="E88" i="5"/>
  <c r="B88" i="5"/>
  <c r="E87" i="5"/>
  <c r="D87" i="5"/>
  <c r="D88" i="5" s="1"/>
  <c r="D89" i="5" s="1"/>
  <c r="D90" i="5" s="1"/>
  <c r="D91" i="5" s="1"/>
  <c r="D92" i="5" s="1"/>
  <c r="B87" i="5"/>
  <c r="E86" i="5"/>
  <c r="B86" i="5"/>
  <c r="E85" i="5"/>
  <c r="B85" i="5"/>
  <c r="E84" i="5"/>
  <c r="B84" i="5"/>
  <c r="E83" i="5"/>
  <c r="B83" i="5"/>
  <c r="E82" i="5"/>
  <c r="B82" i="5"/>
  <c r="E81" i="5"/>
  <c r="B81" i="5"/>
  <c r="E80" i="5"/>
  <c r="B80" i="5"/>
  <c r="E79" i="5"/>
  <c r="D79" i="5"/>
  <c r="D80" i="5" s="1"/>
  <c r="D81" i="5" s="1"/>
  <c r="D82" i="5" s="1"/>
  <c r="D83" i="5" s="1"/>
  <c r="D84" i="5" s="1"/>
  <c r="D85" i="5" s="1"/>
  <c r="D86" i="5" s="1"/>
  <c r="B79" i="5"/>
  <c r="E78" i="5"/>
  <c r="B78" i="5"/>
  <c r="E77" i="5"/>
  <c r="B77" i="5"/>
  <c r="E76" i="5"/>
  <c r="B76" i="5"/>
  <c r="E75" i="5"/>
  <c r="B75" i="5"/>
  <c r="E74" i="5"/>
  <c r="B74" i="5"/>
  <c r="E73" i="5"/>
  <c r="B73" i="5"/>
  <c r="E72" i="5"/>
  <c r="D72" i="5"/>
  <c r="D73" i="5" s="1"/>
  <c r="D74" i="5" s="1"/>
  <c r="D75" i="5" s="1"/>
  <c r="D76" i="5" s="1"/>
  <c r="D77" i="5" s="1"/>
  <c r="D78" i="5" s="1"/>
  <c r="B72" i="5"/>
  <c r="E71" i="5"/>
  <c r="B71" i="5"/>
  <c r="E70" i="5"/>
  <c r="B70" i="5"/>
  <c r="E69" i="5"/>
  <c r="B69" i="5"/>
  <c r="E68" i="5"/>
  <c r="B68" i="5"/>
  <c r="E67" i="5"/>
  <c r="B67" i="5"/>
  <c r="E66" i="5"/>
  <c r="B66" i="5"/>
  <c r="E65" i="5"/>
  <c r="B65" i="5"/>
  <c r="E64" i="5"/>
  <c r="D64" i="5"/>
  <c r="D65" i="5" s="1"/>
  <c r="D66" i="5" s="1"/>
  <c r="D67" i="5" s="1"/>
  <c r="D68" i="5" s="1"/>
  <c r="D69" i="5" s="1"/>
  <c r="D70" i="5" s="1"/>
  <c r="D71" i="5" s="1"/>
  <c r="B64" i="5"/>
  <c r="E63" i="5"/>
  <c r="B63" i="5"/>
  <c r="E62" i="5"/>
  <c r="G62" i="5" s="1"/>
  <c r="B62" i="5"/>
  <c r="E61" i="5"/>
  <c r="G61" i="5" s="1"/>
  <c r="B61" i="5"/>
  <c r="E60" i="5"/>
  <c r="B60" i="5"/>
  <c r="E59" i="5"/>
  <c r="B59" i="5"/>
  <c r="E58" i="5"/>
  <c r="B58" i="5"/>
  <c r="E57" i="5"/>
  <c r="G57" i="5" s="1"/>
  <c r="B57" i="5"/>
  <c r="E56" i="5"/>
  <c r="D56" i="5"/>
  <c r="D57" i="5" s="1"/>
  <c r="D58" i="5" s="1"/>
  <c r="D59" i="5" s="1"/>
  <c r="D60" i="5" s="1"/>
  <c r="D61" i="5" s="1"/>
  <c r="D62" i="5" s="1"/>
  <c r="D63" i="5" s="1"/>
  <c r="B56" i="5"/>
  <c r="E55" i="5"/>
  <c r="G55" i="5" s="1"/>
  <c r="B55" i="5"/>
  <c r="E54" i="5"/>
  <c r="G54" i="5" s="1"/>
  <c r="B54" i="5"/>
  <c r="E53" i="5"/>
  <c r="G53" i="5" s="1"/>
  <c r="B53" i="5"/>
  <c r="E52" i="5"/>
  <c r="B52" i="5"/>
  <c r="E51" i="5"/>
  <c r="B51" i="5"/>
  <c r="E50" i="5"/>
  <c r="B50" i="5"/>
  <c r="E49" i="5"/>
  <c r="G49" i="5" s="1"/>
  <c r="B49" i="5"/>
  <c r="E48" i="5"/>
  <c r="B48" i="5"/>
  <c r="E47" i="5"/>
  <c r="G47" i="5" s="1"/>
  <c r="D47" i="5"/>
  <c r="D48" i="5" s="1"/>
  <c r="D49" i="5" s="1"/>
  <c r="D50" i="5" s="1"/>
  <c r="D51" i="5" s="1"/>
  <c r="D52" i="5" s="1"/>
  <c r="D53" i="5" s="1"/>
  <c r="D54" i="5" s="1"/>
  <c r="D55" i="5" s="1"/>
  <c r="B47" i="5"/>
  <c r="E46" i="5"/>
  <c r="G46" i="5" s="1"/>
  <c r="B46" i="5"/>
  <c r="E45" i="5"/>
  <c r="G45" i="5" s="1"/>
  <c r="B45" i="5"/>
  <c r="E44" i="5"/>
  <c r="B44" i="5"/>
  <c r="E43" i="5"/>
  <c r="B43" i="5"/>
  <c r="E42" i="5"/>
  <c r="B42" i="5"/>
  <c r="E41" i="5"/>
  <c r="G41" i="5" s="1"/>
  <c r="B41" i="5"/>
  <c r="E40" i="5"/>
  <c r="B40" i="5"/>
  <c r="E39" i="5"/>
  <c r="G39" i="5" s="1"/>
  <c r="B39" i="5"/>
  <c r="E38" i="5"/>
  <c r="G38" i="5" s="1"/>
  <c r="D38" i="5"/>
  <c r="D39" i="5" s="1"/>
  <c r="D40" i="5" s="1"/>
  <c r="D41" i="5" s="1"/>
  <c r="D42" i="5" s="1"/>
  <c r="D43" i="5" s="1"/>
  <c r="D44" i="5" s="1"/>
  <c r="D45" i="5" s="1"/>
  <c r="D46" i="5" s="1"/>
  <c r="B38" i="5"/>
  <c r="E37" i="5"/>
  <c r="G37" i="5" s="1"/>
  <c r="B37" i="5"/>
  <c r="E36" i="5"/>
  <c r="B36" i="5"/>
  <c r="E35" i="5"/>
  <c r="B35" i="5"/>
  <c r="E34" i="5"/>
  <c r="B34" i="5"/>
  <c r="E33" i="5"/>
  <c r="G33" i="5" s="1"/>
  <c r="B33" i="5"/>
  <c r="E32" i="5"/>
  <c r="B32" i="5"/>
  <c r="E31" i="5"/>
  <c r="B31" i="5"/>
  <c r="E30" i="5"/>
  <c r="B30" i="5"/>
  <c r="E29" i="5"/>
  <c r="G29" i="5" s="1"/>
  <c r="D29" i="5"/>
  <c r="D30" i="5" s="1"/>
  <c r="D31" i="5" s="1"/>
  <c r="D32" i="5" s="1"/>
  <c r="D33" i="5" s="1"/>
  <c r="D34" i="5" s="1"/>
  <c r="D35" i="5" s="1"/>
  <c r="D36" i="5" s="1"/>
  <c r="D37" i="5" s="1"/>
  <c r="B29" i="5"/>
  <c r="E28" i="5"/>
  <c r="I28" i="5" s="1"/>
  <c r="B28" i="5"/>
  <c r="E27" i="5"/>
  <c r="I27" i="5" s="1"/>
  <c r="B27" i="5"/>
  <c r="E26" i="5"/>
  <c r="B26" i="5"/>
  <c r="E25" i="5"/>
  <c r="G25" i="5" s="1"/>
  <c r="B25" i="5"/>
  <c r="E24" i="5"/>
  <c r="I24" i="5" s="1"/>
  <c r="B24" i="5"/>
  <c r="E23" i="5"/>
  <c r="B23" i="5"/>
  <c r="E22" i="5"/>
  <c r="B22" i="5"/>
  <c r="E21" i="5"/>
  <c r="G21" i="5" s="1"/>
  <c r="B21" i="5"/>
  <c r="E20" i="5"/>
  <c r="I20" i="5" s="1"/>
  <c r="D20" i="5"/>
  <c r="D21" i="5" s="1"/>
  <c r="D22" i="5" s="1"/>
  <c r="D23" i="5" s="1"/>
  <c r="D24" i="5" s="1"/>
  <c r="D25" i="5" s="1"/>
  <c r="D26" i="5" s="1"/>
  <c r="D27" i="5" s="1"/>
  <c r="D28" i="5" s="1"/>
  <c r="B20" i="5"/>
  <c r="E19" i="5"/>
  <c r="B19" i="5"/>
  <c r="E18" i="5"/>
  <c r="B18" i="5"/>
  <c r="E17" i="5"/>
  <c r="G17" i="5" s="1"/>
  <c r="B17" i="5"/>
  <c r="E16" i="5"/>
  <c r="I16" i="5" s="1"/>
  <c r="B16" i="5"/>
  <c r="E15" i="5"/>
  <c r="I15" i="5" s="1"/>
  <c r="B15" i="5"/>
  <c r="E14" i="5"/>
  <c r="D14" i="5"/>
  <c r="D15" i="5" s="1"/>
  <c r="D16" i="5" s="1"/>
  <c r="D17" i="5" s="1"/>
  <c r="D18" i="5" s="1"/>
  <c r="D19" i="5" s="1"/>
  <c r="B14" i="5"/>
  <c r="E13" i="5"/>
  <c r="G13" i="5" s="1"/>
  <c r="B13" i="5"/>
  <c r="E12" i="5"/>
  <c r="I12" i="5" s="1"/>
  <c r="B12" i="5"/>
  <c r="E11" i="5"/>
  <c r="B11" i="5"/>
  <c r="E10" i="5"/>
  <c r="B10" i="5"/>
  <c r="E9" i="5"/>
  <c r="G9" i="5" s="1"/>
  <c r="B9" i="5"/>
  <c r="E8" i="5"/>
  <c r="I8" i="5" s="1"/>
  <c r="D8" i="5"/>
  <c r="D9" i="5" s="1"/>
  <c r="D10" i="5" s="1"/>
  <c r="D11" i="5" s="1"/>
  <c r="D12" i="5" s="1"/>
  <c r="D13" i="5" s="1"/>
  <c r="B8" i="5"/>
  <c r="E7" i="5"/>
  <c r="I7" i="5" s="1"/>
  <c r="D7" i="5"/>
  <c r="B7" i="5"/>
  <c r="E6" i="5"/>
  <c r="C6" i="5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B6" i="5"/>
  <c r="E5" i="5"/>
  <c r="G5" i="5" s="1"/>
  <c r="B5" i="5"/>
  <c r="E4" i="5"/>
  <c r="I4" i="5" s="1"/>
  <c r="B4" i="5"/>
  <c r="E3" i="5"/>
  <c r="B3" i="5"/>
  <c r="E2" i="5"/>
  <c r="D2" i="5"/>
  <c r="C2" i="5"/>
  <c r="C3" i="5" s="1"/>
  <c r="C4" i="5" s="1"/>
  <c r="C5" i="5" s="1"/>
  <c r="B2" i="5"/>
  <c r="D18" i="1"/>
  <c r="D17" i="1"/>
  <c r="D16" i="1"/>
  <c r="D15" i="1"/>
  <c r="D14" i="1"/>
  <c r="D13" i="1"/>
  <c r="B5" i="1"/>
  <c r="C50" i="2"/>
  <c r="C48" i="2"/>
  <c r="C46" i="2"/>
  <c r="I41" i="2"/>
  <c r="G49" i="2" s="1"/>
  <c r="I40" i="2"/>
  <c r="I39" i="2"/>
  <c r="I38" i="2"/>
  <c r="I37" i="2"/>
  <c r="I36" i="2"/>
  <c r="B18" i="2"/>
  <c r="A18" i="2"/>
  <c r="C10" i="2"/>
  <c r="B5" i="2"/>
  <c r="D12" i="1" l="1"/>
  <c r="I18" i="2"/>
  <c r="G338" i="5"/>
  <c r="A19" i="2"/>
  <c r="G579" i="5"/>
  <c r="G646" i="5"/>
  <c r="H913" i="5"/>
  <c r="G412" i="5"/>
  <c r="H30" i="6"/>
  <c r="I30" i="6" s="1"/>
  <c r="K30" i="6" s="1"/>
  <c r="G111" i="6"/>
  <c r="I111" i="6" s="1"/>
  <c r="K111" i="6" s="1"/>
  <c r="H381" i="5"/>
  <c r="I662" i="5"/>
  <c r="I944" i="5"/>
  <c r="G854" i="5"/>
  <c r="G466" i="5"/>
  <c r="G637" i="5"/>
  <c r="I946" i="5"/>
  <c r="F207" i="5"/>
  <c r="G321" i="5"/>
  <c r="J106" i="6"/>
  <c r="I569" i="5"/>
  <c r="G972" i="5"/>
  <c r="B21" i="2"/>
  <c r="I21" i="2" s="1"/>
  <c r="I566" i="5"/>
  <c r="H946" i="5"/>
  <c r="H378" i="5"/>
  <c r="H492" i="5"/>
  <c r="F324" i="5"/>
  <c r="I591" i="5"/>
  <c r="F646" i="5"/>
  <c r="I653" i="5"/>
  <c r="G676" i="5"/>
  <c r="H925" i="5"/>
  <c r="I192" i="5"/>
  <c r="H207" i="5"/>
  <c r="H222" i="5"/>
  <c r="F360" i="5"/>
  <c r="G436" i="5"/>
  <c r="H443" i="5"/>
  <c r="G470" i="5"/>
  <c r="I547" i="5"/>
  <c r="G189" i="5"/>
  <c r="H323" i="5"/>
  <c r="G372" i="5"/>
  <c r="F379" i="5"/>
  <c r="G410" i="5"/>
  <c r="G925" i="5"/>
  <c r="G490" i="5"/>
  <c r="F686" i="5"/>
  <c r="F692" i="5"/>
  <c r="H212" i="5"/>
  <c r="F321" i="5"/>
  <c r="G418" i="5"/>
  <c r="F617" i="5"/>
  <c r="F669" i="5"/>
  <c r="I686" i="5"/>
  <c r="G692" i="5"/>
  <c r="H38" i="6"/>
  <c r="G498" i="5"/>
  <c r="G617" i="5"/>
  <c r="G669" i="5"/>
  <c r="I915" i="5"/>
  <c r="G79" i="6"/>
  <c r="I79" i="6" s="1"/>
  <c r="K79" i="6" s="1"/>
  <c r="B19" i="2"/>
  <c r="I19" i="2" s="1"/>
  <c r="F336" i="5"/>
  <c r="I442" i="5"/>
  <c r="G480" i="5"/>
  <c r="I514" i="5"/>
  <c r="G587" i="5"/>
  <c r="I621" i="5"/>
  <c r="I673" i="5"/>
  <c r="A20" i="2"/>
  <c r="J90" i="6"/>
  <c r="J94" i="6"/>
  <c r="J98" i="6"/>
  <c r="B20" i="2"/>
  <c r="I20" i="2" s="1"/>
  <c r="I163" i="5"/>
  <c r="I169" i="5"/>
  <c r="G353" i="5"/>
  <c r="G370" i="5"/>
  <c r="H389" i="5"/>
  <c r="G400" i="5"/>
  <c r="F403" i="5"/>
  <c r="H604" i="5"/>
  <c r="F685" i="5"/>
  <c r="I697" i="5"/>
  <c r="J92" i="6"/>
  <c r="A21" i="2"/>
  <c r="G322" i="5"/>
  <c r="F356" i="5"/>
  <c r="H370" i="5"/>
  <c r="F406" i="5"/>
  <c r="G469" i="5"/>
  <c r="I546" i="5"/>
  <c r="I685" i="5"/>
  <c r="G40" i="6"/>
  <c r="J40" i="6" s="1"/>
  <c r="A32" i="2"/>
  <c r="I184" i="5"/>
  <c r="G190" i="5"/>
  <c r="I193" i="5"/>
  <c r="A22" i="2"/>
  <c r="I161" i="5"/>
  <c r="G333" i="5"/>
  <c r="F404" i="5"/>
  <c r="I459" i="5"/>
  <c r="G529" i="5"/>
  <c r="H566" i="5"/>
  <c r="G613" i="5"/>
  <c r="G660" i="5"/>
  <c r="G673" i="5"/>
  <c r="F676" i="5"/>
  <c r="I847" i="5"/>
  <c r="H34" i="6"/>
  <c r="J51" i="6"/>
  <c r="J68" i="6"/>
  <c r="G69" i="6"/>
  <c r="J69" i="6" s="1"/>
  <c r="H78" i="6"/>
  <c r="I78" i="6" s="1"/>
  <c r="K78" i="6" s="1"/>
  <c r="B22" i="2"/>
  <c r="I22" i="2" s="1"/>
  <c r="G171" i="5"/>
  <c r="G182" i="5"/>
  <c r="G185" i="5"/>
  <c r="F194" i="5"/>
  <c r="I201" i="5"/>
  <c r="F355" i="5"/>
  <c r="F385" i="5"/>
  <c r="F388" i="5"/>
  <c r="G402" i="5"/>
  <c r="H430" i="5"/>
  <c r="H474" i="5"/>
  <c r="G496" i="5"/>
  <c r="G499" i="5"/>
  <c r="G541" i="5"/>
  <c r="G179" i="5"/>
  <c r="I185" i="5"/>
  <c r="G194" i="5"/>
  <c r="H321" i="5"/>
  <c r="H331" i="5"/>
  <c r="G341" i="5"/>
  <c r="H355" i="5"/>
  <c r="F372" i="5"/>
  <c r="G385" i="5"/>
  <c r="G405" i="5"/>
  <c r="H538" i="5"/>
  <c r="H541" i="5"/>
  <c r="G621" i="5"/>
  <c r="I661" i="5"/>
  <c r="F664" i="5"/>
  <c r="G814" i="5"/>
  <c r="G837" i="5"/>
  <c r="G929" i="5"/>
  <c r="I940" i="5"/>
  <c r="G32" i="6"/>
  <c r="J32" i="6" s="1"/>
  <c r="H42" i="6"/>
  <c r="I42" i="6" s="1"/>
  <c r="K42" i="6" s="1"/>
  <c r="J58" i="6"/>
  <c r="H67" i="6"/>
  <c r="I67" i="6" s="1"/>
  <c r="K67" i="6" s="1"/>
  <c r="I173" i="5"/>
  <c r="I187" i="5"/>
  <c r="G316" i="5"/>
  <c r="G377" i="5"/>
  <c r="I159" i="5"/>
  <c r="I168" i="5"/>
  <c r="I177" i="5"/>
  <c r="G183" i="5"/>
  <c r="F210" i="5"/>
  <c r="H316" i="5"/>
  <c r="G324" i="5"/>
  <c r="H333" i="5"/>
  <c r="G336" i="5"/>
  <c r="G346" i="5"/>
  <c r="F352" i="5"/>
  <c r="G386" i="5"/>
  <c r="F392" i="5"/>
  <c r="H404" i="5"/>
  <c r="G406" i="5"/>
  <c r="I430" i="5"/>
  <c r="G454" i="5"/>
  <c r="G464" i="5"/>
  <c r="G504" i="5"/>
  <c r="G522" i="5"/>
  <c r="G557" i="5"/>
  <c r="I613" i="5"/>
  <c r="F633" i="5"/>
  <c r="F651" i="5"/>
  <c r="F677" i="5"/>
  <c r="F680" i="5"/>
  <c r="G838" i="5"/>
  <c r="H926" i="5"/>
  <c r="G933" i="5"/>
  <c r="G939" i="5"/>
  <c r="G951" i="5"/>
  <c r="G956" i="5"/>
  <c r="J48" i="6"/>
  <c r="J82" i="6"/>
  <c r="H99" i="6"/>
  <c r="I99" i="6" s="1"/>
  <c r="K99" i="6" s="1"/>
  <c r="I183" i="5"/>
  <c r="H346" i="5"/>
  <c r="G352" i="5"/>
  <c r="F384" i="5"/>
  <c r="G392" i="5"/>
  <c r="H454" i="5"/>
  <c r="G677" i="5"/>
  <c r="H838" i="5"/>
  <c r="H914" i="5"/>
  <c r="G924" i="5"/>
  <c r="H933" i="5"/>
  <c r="H939" i="5"/>
  <c r="H951" i="5"/>
  <c r="H954" i="5"/>
  <c r="H48" i="6"/>
  <c r="I48" i="6" s="1"/>
  <c r="K48" i="6" s="1"/>
  <c r="G87" i="6"/>
  <c r="H98" i="6"/>
  <c r="B29" i="2"/>
  <c r="F29" i="2" s="1"/>
  <c r="G29" i="2" s="1"/>
  <c r="I181" i="5"/>
  <c r="I188" i="5"/>
  <c r="I190" i="5"/>
  <c r="F193" i="5"/>
  <c r="I954" i="5"/>
  <c r="I166" i="5"/>
  <c r="I186" i="5"/>
  <c r="G193" i="5"/>
  <c r="H199" i="5"/>
  <c r="H208" i="5"/>
  <c r="G317" i="5"/>
  <c r="H325" i="5"/>
  <c r="F328" i="5"/>
  <c r="F405" i="5"/>
  <c r="F407" i="5"/>
  <c r="G442" i="5"/>
  <c r="G448" i="5"/>
  <c r="G474" i="5"/>
  <c r="G477" i="5"/>
  <c r="G509" i="5"/>
  <c r="I538" i="5"/>
  <c r="I555" i="5"/>
  <c r="G562" i="5"/>
  <c r="G604" i="5"/>
  <c r="I614" i="5"/>
  <c r="F681" i="5"/>
  <c r="H955" i="5"/>
  <c r="G962" i="5"/>
  <c r="G988" i="5"/>
  <c r="G173" i="5"/>
  <c r="G187" i="5"/>
  <c r="I189" i="5"/>
  <c r="F200" i="5"/>
  <c r="I220" i="5"/>
  <c r="F316" i="5"/>
  <c r="H338" i="5"/>
  <c r="F348" i="5"/>
  <c r="F377" i="5"/>
  <c r="G388" i="5"/>
  <c r="F394" i="5"/>
  <c r="H426" i="5"/>
  <c r="I436" i="5"/>
  <c r="G446" i="5"/>
  <c r="I469" i="5"/>
  <c r="I510" i="5"/>
  <c r="H546" i="5"/>
  <c r="G598" i="5"/>
  <c r="G685" i="5"/>
  <c r="F697" i="5"/>
  <c r="G700" i="5"/>
  <c r="I913" i="5"/>
  <c r="I923" i="5"/>
  <c r="H944" i="5"/>
  <c r="I953" i="5"/>
  <c r="I962" i="5"/>
  <c r="F1000" i="5"/>
  <c r="H68" i="6"/>
  <c r="I68" i="6" s="1"/>
  <c r="K68" i="6" s="1"/>
  <c r="H90" i="6"/>
  <c r="I90" i="6" s="1"/>
  <c r="K90" i="6" s="1"/>
  <c r="G105" i="6"/>
  <c r="J105" i="6" s="1"/>
  <c r="H106" i="6"/>
  <c r="I106" i="6" s="1"/>
  <c r="K106" i="6" s="1"/>
  <c r="I339" i="5"/>
  <c r="F339" i="5"/>
  <c r="I357" i="5"/>
  <c r="H357" i="5"/>
  <c r="G357" i="5"/>
  <c r="F414" i="5"/>
  <c r="I414" i="5"/>
  <c r="H414" i="5"/>
  <c r="G414" i="5"/>
  <c r="F517" i="5"/>
  <c r="H517" i="5"/>
  <c r="F918" i="5"/>
  <c r="I918" i="5"/>
  <c r="G76" i="6"/>
  <c r="J76" i="6" s="1"/>
  <c r="H76" i="6"/>
  <c r="G166" i="5"/>
  <c r="G181" i="5"/>
  <c r="F191" i="5"/>
  <c r="H195" i="5"/>
  <c r="F323" i="5"/>
  <c r="G325" i="5"/>
  <c r="F331" i="5"/>
  <c r="H411" i="5"/>
  <c r="G428" i="5"/>
  <c r="I497" i="5"/>
  <c r="G517" i="5"/>
  <c r="F545" i="5"/>
  <c r="H545" i="5"/>
  <c r="G545" i="5"/>
  <c r="H672" i="5"/>
  <c r="G672" i="5"/>
  <c r="F672" i="5"/>
  <c r="G851" i="5"/>
  <c r="H918" i="5"/>
  <c r="F937" i="5"/>
  <c r="H937" i="5"/>
  <c r="H963" i="5"/>
  <c r="I337" i="5"/>
  <c r="G337" i="5"/>
  <c r="F337" i="5"/>
  <c r="I340" i="5"/>
  <c r="G340" i="5"/>
  <c r="F340" i="5"/>
  <c r="I373" i="5"/>
  <c r="H373" i="5"/>
  <c r="I395" i="5"/>
  <c r="H395" i="5"/>
  <c r="F422" i="5"/>
  <c r="H422" i="5"/>
  <c r="F452" i="5"/>
  <c r="I452" i="5"/>
  <c r="F462" i="5"/>
  <c r="H462" i="5"/>
  <c r="F484" i="5"/>
  <c r="I484" i="5"/>
  <c r="F612" i="5"/>
  <c r="I612" i="5"/>
  <c r="H612" i="5"/>
  <c r="F845" i="5"/>
  <c r="H845" i="5"/>
  <c r="H75" i="6"/>
  <c r="G75" i="6"/>
  <c r="J75" i="6" s="1"/>
  <c r="I171" i="5"/>
  <c r="I179" i="5"/>
  <c r="F202" i="5"/>
  <c r="I210" i="5"/>
  <c r="I218" i="5"/>
  <c r="I313" i="5"/>
  <c r="H313" i="5"/>
  <c r="F313" i="5"/>
  <c r="G365" i="5"/>
  <c r="F368" i="5"/>
  <c r="G422" i="5"/>
  <c r="G462" i="5"/>
  <c r="G495" i="5"/>
  <c r="G612" i="5"/>
  <c r="I696" i="5"/>
  <c r="G696" i="5"/>
  <c r="G845" i="5"/>
  <c r="F916" i="5"/>
  <c r="H916" i="5"/>
  <c r="H85" i="6"/>
  <c r="G85" i="6"/>
  <c r="J85" i="6" s="1"/>
  <c r="G169" i="5"/>
  <c r="G177" i="5"/>
  <c r="G184" i="5"/>
  <c r="G186" i="5"/>
  <c r="G188" i="5"/>
  <c r="F190" i="5"/>
  <c r="F192" i="5"/>
  <c r="F208" i="5"/>
  <c r="H365" i="5"/>
  <c r="G368" i="5"/>
  <c r="I371" i="5"/>
  <c r="H371" i="5"/>
  <c r="F371" i="5"/>
  <c r="F387" i="5"/>
  <c r="F402" i="5"/>
  <c r="F416" i="5"/>
  <c r="I416" i="5"/>
  <c r="F419" i="5"/>
  <c r="H419" i="5"/>
  <c r="F515" i="5"/>
  <c r="I515" i="5"/>
  <c r="H515" i="5"/>
  <c r="F602" i="5"/>
  <c r="G602" i="5"/>
  <c r="H635" i="5"/>
  <c r="F635" i="5"/>
  <c r="G916" i="5"/>
  <c r="B27" i="2"/>
  <c r="F27" i="2" s="1"/>
  <c r="G27" i="2" s="1"/>
  <c r="I345" i="5"/>
  <c r="H345" i="5"/>
  <c r="F345" i="5"/>
  <c r="I393" i="5"/>
  <c r="H393" i="5"/>
  <c r="G393" i="5"/>
  <c r="F393" i="5"/>
  <c r="F440" i="5"/>
  <c r="G440" i="5"/>
  <c r="F526" i="5"/>
  <c r="I526" i="5"/>
  <c r="F533" i="5"/>
  <c r="H533" i="5"/>
  <c r="G533" i="5"/>
  <c r="G730" i="5"/>
  <c r="F730" i="5"/>
  <c r="F959" i="5"/>
  <c r="H959" i="5"/>
  <c r="G54" i="6"/>
  <c r="J54" i="6" s="1"/>
  <c r="H54" i="6"/>
  <c r="G84" i="6"/>
  <c r="J84" i="6" s="1"/>
  <c r="H84" i="6"/>
  <c r="A28" i="2"/>
  <c r="G175" i="5"/>
  <c r="G180" i="5"/>
  <c r="H203" i="5"/>
  <c r="F211" i="5"/>
  <c r="H216" i="5"/>
  <c r="G314" i="5"/>
  <c r="I363" i="5"/>
  <c r="H363" i="5"/>
  <c r="F363" i="5"/>
  <c r="F380" i="5"/>
  <c r="I397" i="5"/>
  <c r="H397" i="5"/>
  <c r="F460" i="5"/>
  <c r="I460" i="5"/>
  <c r="F493" i="5"/>
  <c r="I493" i="5"/>
  <c r="H526" i="5"/>
  <c r="H619" i="5"/>
  <c r="I619" i="5"/>
  <c r="F947" i="5"/>
  <c r="H947" i="5"/>
  <c r="G959" i="5"/>
  <c r="H28" i="6"/>
  <c r="G28" i="6"/>
  <c r="J28" i="6" s="1"/>
  <c r="G77" i="6"/>
  <c r="J77" i="6" s="1"/>
  <c r="H77" i="6"/>
  <c r="G163" i="5"/>
  <c r="G168" i="5"/>
  <c r="I175" i="5"/>
  <c r="H211" i="5"/>
  <c r="G354" i="5"/>
  <c r="G378" i="5"/>
  <c r="G380" i="5"/>
  <c r="F397" i="5"/>
  <c r="F467" i="5"/>
  <c r="H467" i="5"/>
  <c r="G506" i="5"/>
  <c r="I589" i="5"/>
  <c r="G589" i="5"/>
  <c r="G619" i="5"/>
  <c r="F921" i="5"/>
  <c r="H921" i="5"/>
  <c r="F942" i="5"/>
  <c r="I942" i="5"/>
  <c r="I604" i="5"/>
  <c r="I669" i="5"/>
  <c r="I681" i="5"/>
  <c r="F353" i="5"/>
  <c r="G426" i="5"/>
  <c r="G475" i="5"/>
  <c r="G478" i="5"/>
  <c r="G488" i="5"/>
  <c r="G491" i="5"/>
  <c r="H510" i="5"/>
  <c r="I542" i="5"/>
  <c r="H547" i="5"/>
  <c r="I554" i="5"/>
  <c r="G596" i="5"/>
  <c r="G610" i="5"/>
  <c r="H950" i="5"/>
  <c r="G955" i="5"/>
  <c r="J46" i="6"/>
  <c r="J52" i="6"/>
  <c r="J72" i="6"/>
  <c r="H59" i="6"/>
  <c r="I59" i="6" s="1"/>
  <c r="K59" i="6" s="1"/>
  <c r="H64" i="6"/>
  <c r="I64" i="6" s="1"/>
  <c r="K64" i="6" s="1"/>
  <c r="G73" i="6"/>
  <c r="J73" i="6" s="1"/>
  <c r="H317" i="5"/>
  <c r="G348" i="5"/>
  <c r="H353" i="5"/>
  <c r="H377" i="5"/>
  <c r="H379" i="5"/>
  <c r="G384" i="5"/>
  <c r="H386" i="5"/>
  <c r="F398" i="5"/>
  <c r="H405" i="5"/>
  <c r="G407" i="5"/>
  <c r="H410" i="5"/>
  <c r="H412" i="5"/>
  <c r="G432" i="5"/>
  <c r="G438" i="5"/>
  <c r="I443" i="5"/>
  <c r="G456" i="5"/>
  <c r="G459" i="5"/>
  <c r="G461" i="5"/>
  <c r="H466" i="5"/>
  <c r="I468" i="5"/>
  <c r="H470" i="5"/>
  <c r="G482" i="5"/>
  <c r="G494" i="5"/>
  <c r="H496" i="5"/>
  <c r="H498" i="5"/>
  <c r="I501" i="5"/>
  <c r="G514" i="5"/>
  <c r="H518" i="5"/>
  <c r="I581" i="5"/>
  <c r="G600" i="5"/>
  <c r="I603" i="5"/>
  <c r="G605" i="5"/>
  <c r="H608" i="5"/>
  <c r="F630" i="5"/>
  <c r="G633" i="5"/>
  <c r="I646" i="5"/>
  <c r="F653" i="5"/>
  <c r="I659" i="5"/>
  <c r="G668" i="5"/>
  <c r="I677" i="5"/>
  <c r="G680" i="5"/>
  <c r="H837" i="5"/>
  <c r="I855" i="5"/>
  <c r="H917" i="5"/>
  <c r="H922" i="5"/>
  <c r="H924" i="5"/>
  <c r="I926" i="5"/>
  <c r="H929" i="5"/>
  <c r="I938" i="5"/>
  <c r="G943" i="5"/>
  <c r="H948" i="5"/>
  <c r="I955" i="5"/>
  <c r="G958" i="5"/>
  <c r="G960" i="5"/>
  <c r="H962" i="5"/>
  <c r="J38" i="6"/>
  <c r="H52" i="6"/>
  <c r="I52" i="6" s="1"/>
  <c r="K52" i="6" s="1"/>
  <c r="J64" i="6"/>
  <c r="G71" i="6"/>
  <c r="J71" i="6" s="1"/>
  <c r="H72" i="6"/>
  <c r="I72" i="6" s="1"/>
  <c r="K72" i="6" s="1"/>
  <c r="G93" i="6"/>
  <c r="I93" i="6" s="1"/>
  <c r="K93" i="6" s="1"/>
  <c r="G101" i="6"/>
  <c r="I101" i="6" s="1"/>
  <c r="K101" i="6" s="1"/>
  <c r="G108" i="6"/>
  <c r="J108" i="6" s="1"/>
  <c r="G398" i="5"/>
  <c r="I410" i="5"/>
  <c r="G430" i="5"/>
  <c r="I432" i="5"/>
  <c r="H459" i="5"/>
  <c r="I461" i="5"/>
  <c r="I466" i="5"/>
  <c r="G492" i="5"/>
  <c r="H494" i="5"/>
  <c r="I496" i="5"/>
  <c r="H514" i="5"/>
  <c r="I518" i="5"/>
  <c r="G538" i="5"/>
  <c r="G546" i="5"/>
  <c r="H555" i="5"/>
  <c r="I571" i="5"/>
  <c r="H605" i="5"/>
  <c r="I608" i="5"/>
  <c r="I611" i="5"/>
  <c r="F613" i="5"/>
  <c r="G644" i="5"/>
  <c r="G653" i="5"/>
  <c r="F673" i="5"/>
  <c r="I840" i="5"/>
  <c r="I850" i="5"/>
  <c r="G913" i="5"/>
  <c r="I917" i="5"/>
  <c r="I922" i="5"/>
  <c r="I948" i="5"/>
  <c r="I958" i="5"/>
  <c r="H960" i="5"/>
  <c r="H45" i="6"/>
  <c r="I45" i="6" s="1"/>
  <c r="K45" i="6" s="1"/>
  <c r="H51" i="6"/>
  <c r="I51" i="6" s="1"/>
  <c r="K51" i="6" s="1"/>
  <c r="J62" i="6"/>
  <c r="G91" i="6"/>
  <c r="J91" i="6" s="1"/>
  <c r="H92" i="6"/>
  <c r="I92" i="6" s="1"/>
  <c r="K92" i="6" s="1"/>
  <c r="I960" i="5"/>
  <c r="J42" i="6"/>
  <c r="J67" i="6"/>
  <c r="J78" i="6"/>
  <c r="H81" i="6"/>
  <c r="I81" i="6" s="1"/>
  <c r="K81" i="6" s="1"/>
  <c r="H158" i="5"/>
  <c r="I158" i="5"/>
  <c r="I214" i="5"/>
  <c r="H214" i="5"/>
  <c r="I376" i="5"/>
  <c r="G376" i="5"/>
  <c r="F376" i="5"/>
  <c r="I347" i="5"/>
  <c r="H347" i="5"/>
  <c r="F347" i="5"/>
  <c r="I409" i="5"/>
  <c r="G409" i="5"/>
  <c r="F409" i="5"/>
  <c r="H409" i="5"/>
  <c r="F458" i="5"/>
  <c r="H458" i="5"/>
  <c r="G458" i="5"/>
  <c r="I458" i="5"/>
  <c r="H162" i="5"/>
  <c r="I162" i="5"/>
  <c r="G162" i="5"/>
  <c r="H167" i="5"/>
  <c r="I167" i="5"/>
  <c r="G167" i="5"/>
  <c r="I332" i="5"/>
  <c r="G332" i="5"/>
  <c r="F332" i="5"/>
  <c r="H332" i="5"/>
  <c r="I369" i="5"/>
  <c r="G369" i="5"/>
  <c r="F369" i="5"/>
  <c r="H369" i="5"/>
  <c r="G158" i="5"/>
  <c r="I315" i="5"/>
  <c r="H315" i="5"/>
  <c r="F315" i="5"/>
  <c r="F435" i="5"/>
  <c r="I435" i="5"/>
  <c r="H435" i="5"/>
  <c r="F453" i="5"/>
  <c r="I453" i="5"/>
  <c r="G453" i="5"/>
  <c r="H165" i="5"/>
  <c r="I165" i="5"/>
  <c r="G165" i="5"/>
  <c r="I330" i="5"/>
  <c r="H330" i="5"/>
  <c r="G330" i="5"/>
  <c r="I364" i="5"/>
  <c r="G364" i="5"/>
  <c r="F364" i="5"/>
  <c r="H160" i="5"/>
  <c r="I160" i="5"/>
  <c r="G160" i="5"/>
  <c r="F424" i="5"/>
  <c r="I424" i="5"/>
  <c r="G424" i="5"/>
  <c r="I349" i="5"/>
  <c r="H349" i="5"/>
  <c r="G349" i="5"/>
  <c r="I362" i="5"/>
  <c r="H362" i="5"/>
  <c r="G362" i="5"/>
  <c r="F444" i="5"/>
  <c r="I444" i="5"/>
  <c r="F451" i="5"/>
  <c r="H451" i="5"/>
  <c r="G451" i="5"/>
  <c r="I451" i="5"/>
  <c r="H666" i="5"/>
  <c r="I666" i="5"/>
  <c r="G666" i="5"/>
  <c r="H682" i="5"/>
  <c r="I682" i="5"/>
  <c r="H36" i="6"/>
  <c r="G36" i="6"/>
  <c r="J36" i="6" s="1"/>
  <c r="G164" i="5"/>
  <c r="G191" i="5"/>
  <c r="I194" i="5"/>
  <c r="F196" i="5"/>
  <c r="H200" i="5"/>
  <c r="I202" i="5"/>
  <c r="F204" i="5"/>
  <c r="I208" i="5"/>
  <c r="H224" i="5"/>
  <c r="H324" i="5"/>
  <c r="F329" i="5"/>
  <c r="H337" i="5"/>
  <c r="H339" i="5"/>
  <c r="H341" i="5"/>
  <c r="F344" i="5"/>
  <c r="H354" i="5"/>
  <c r="G356" i="5"/>
  <c r="F361" i="5"/>
  <c r="H385" i="5"/>
  <c r="H387" i="5"/>
  <c r="H394" i="5"/>
  <c r="H401" i="5"/>
  <c r="G403" i="5"/>
  <c r="H406" i="5"/>
  <c r="F408" i="5"/>
  <c r="I411" i="5"/>
  <c r="H418" i="5"/>
  <c r="G420" i="5"/>
  <c r="I422" i="5"/>
  <c r="H427" i="5"/>
  <c r="G434" i="5"/>
  <c r="H438" i="5"/>
  <c r="G445" i="5"/>
  <c r="G450" i="5"/>
  <c r="I467" i="5"/>
  <c r="G472" i="5"/>
  <c r="I474" i="5"/>
  <c r="I476" i="5"/>
  <c r="H478" i="5"/>
  <c r="G483" i="5"/>
  <c r="G485" i="5"/>
  <c r="G487" i="5"/>
  <c r="I489" i="5"/>
  <c r="G500" i="5"/>
  <c r="G502" i="5"/>
  <c r="H504" i="5"/>
  <c r="H506" i="5"/>
  <c r="H522" i="5"/>
  <c r="H529" i="5"/>
  <c r="H531" i="5"/>
  <c r="H550" i="5"/>
  <c r="G553" i="5"/>
  <c r="H557" i="5"/>
  <c r="H562" i="5"/>
  <c r="G577" i="5"/>
  <c r="I596" i="5"/>
  <c r="I598" i="5"/>
  <c r="I600" i="5"/>
  <c r="H602" i="5"/>
  <c r="I605" i="5"/>
  <c r="G607" i="5"/>
  <c r="H610" i="5"/>
  <c r="G630" i="5"/>
  <c r="G635" i="5"/>
  <c r="F649" i="5"/>
  <c r="G651" i="5"/>
  <c r="G658" i="5"/>
  <c r="H662" i="5"/>
  <c r="G662" i="5"/>
  <c r="G664" i="5"/>
  <c r="F666" i="5"/>
  <c r="F682" i="5"/>
  <c r="H690" i="5"/>
  <c r="F690" i="5"/>
  <c r="F931" i="5"/>
  <c r="I931" i="5"/>
  <c r="G931" i="5"/>
  <c r="F934" i="5"/>
  <c r="I934" i="5"/>
  <c r="H934" i="5"/>
  <c r="F961" i="5"/>
  <c r="I961" i="5"/>
  <c r="H961" i="5"/>
  <c r="G961" i="5"/>
  <c r="I164" i="5"/>
  <c r="I191" i="5"/>
  <c r="H196" i="5"/>
  <c r="I200" i="5"/>
  <c r="H204" i="5"/>
  <c r="G329" i="5"/>
  <c r="G344" i="5"/>
  <c r="G361" i="5"/>
  <c r="H403" i="5"/>
  <c r="G408" i="5"/>
  <c r="I418" i="5"/>
  <c r="I420" i="5"/>
  <c r="I427" i="5"/>
  <c r="H434" i="5"/>
  <c r="I438" i="5"/>
  <c r="I445" i="5"/>
  <c r="H450" i="5"/>
  <c r="H483" i="5"/>
  <c r="I485" i="5"/>
  <c r="H500" i="5"/>
  <c r="H502" i="5"/>
  <c r="I504" i="5"/>
  <c r="I506" i="5"/>
  <c r="I522" i="5"/>
  <c r="I531" i="5"/>
  <c r="I550" i="5"/>
  <c r="H553" i="5"/>
  <c r="I562" i="5"/>
  <c r="I602" i="5"/>
  <c r="H607" i="5"/>
  <c r="I610" i="5"/>
  <c r="I630" i="5"/>
  <c r="I635" i="5"/>
  <c r="G649" i="5"/>
  <c r="I651" i="5"/>
  <c r="H678" i="5"/>
  <c r="I678" i="5"/>
  <c r="G678" i="5"/>
  <c r="H693" i="5"/>
  <c r="I693" i="5"/>
  <c r="G693" i="5"/>
  <c r="F957" i="5"/>
  <c r="I957" i="5"/>
  <c r="H957" i="5"/>
  <c r="G957" i="5"/>
  <c r="G170" i="5"/>
  <c r="G172" i="5"/>
  <c r="G174" i="5"/>
  <c r="G176" i="5"/>
  <c r="G178" i="5"/>
  <c r="I196" i="5"/>
  <c r="I204" i="5"/>
  <c r="H329" i="5"/>
  <c r="H361" i="5"/>
  <c r="H408" i="5"/>
  <c r="I434" i="5"/>
  <c r="I450" i="5"/>
  <c r="I483" i="5"/>
  <c r="I500" i="5"/>
  <c r="G525" i="5"/>
  <c r="H534" i="5"/>
  <c r="G537" i="5"/>
  <c r="G565" i="5"/>
  <c r="G575" i="5"/>
  <c r="G585" i="5"/>
  <c r="I607" i="5"/>
  <c r="G609" i="5"/>
  <c r="F622" i="5"/>
  <c r="F627" i="5"/>
  <c r="F629" i="5"/>
  <c r="F643" i="5"/>
  <c r="F645" i="5"/>
  <c r="H654" i="5"/>
  <c r="F654" i="5"/>
  <c r="F678" i="5"/>
  <c r="H688" i="5"/>
  <c r="G688" i="5"/>
  <c r="F693" i="5"/>
  <c r="F839" i="5"/>
  <c r="I839" i="5"/>
  <c r="H839" i="5"/>
  <c r="G839" i="5"/>
  <c r="F932" i="5"/>
  <c r="H932" i="5"/>
  <c r="J34" i="6"/>
  <c r="I34" i="6"/>
  <c r="K34" i="6" s="1"/>
  <c r="G159" i="5"/>
  <c r="G161" i="5"/>
  <c r="I170" i="5"/>
  <c r="I172" i="5"/>
  <c r="I174" i="5"/>
  <c r="I176" i="5"/>
  <c r="I178" i="5"/>
  <c r="I180" i="5"/>
  <c r="I182" i="5"/>
  <c r="F195" i="5"/>
  <c r="F199" i="5"/>
  <c r="F203" i="5"/>
  <c r="I209" i="5"/>
  <c r="H509" i="5"/>
  <c r="G521" i="5"/>
  <c r="H525" i="5"/>
  <c r="G530" i="5"/>
  <c r="I534" i="5"/>
  <c r="H537" i="5"/>
  <c r="H539" i="5"/>
  <c r="H558" i="5"/>
  <c r="G561" i="5"/>
  <c r="H565" i="5"/>
  <c r="G573" i="5"/>
  <c r="G595" i="5"/>
  <c r="G597" i="5"/>
  <c r="G599" i="5"/>
  <c r="G601" i="5"/>
  <c r="G606" i="5"/>
  <c r="H609" i="5"/>
  <c r="G622" i="5"/>
  <c r="F625" i="5"/>
  <c r="G627" i="5"/>
  <c r="G629" i="5"/>
  <c r="F638" i="5"/>
  <c r="G643" i="5"/>
  <c r="G645" i="5"/>
  <c r="H652" i="5"/>
  <c r="G652" i="5"/>
  <c r="G654" i="5"/>
  <c r="F665" i="5"/>
  <c r="H674" i="5"/>
  <c r="I674" i="5"/>
  <c r="G674" i="5"/>
  <c r="F688" i="5"/>
  <c r="H701" i="5"/>
  <c r="F701" i="5"/>
  <c r="F746" i="5"/>
  <c r="F846" i="5"/>
  <c r="I846" i="5"/>
  <c r="H846" i="5"/>
  <c r="G846" i="5"/>
  <c r="G983" i="5"/>
  <c r="F983" i="5"/>
  <c r="H475" i="5"/>
  <c r="I477" i="5"/>
  <c r="H482" i="5"/>
  <c r="G486" i="5"/>
  <c r="H488" i="5"/>
  <c r="H490" i="5"/>
  <c r="I492" i="5"/>
  <c r="G503" i="5"/>
  <c r="I505" i="5"/>
  <c r="H507" i="5"/>
  <c r="H521" i="5"/>
  <c r="H523" i="5"/>
  <c r="H530" i="5"/>
  <c r="I539" i="5"/>
  <c r="G549" i="5"/>
  <c r="G554" i="5"/>
  <c r="I558" i="5"/>
  <c r="H561" i="5"/>
  <c r="H563" i="5"/>
  <c r="G583" i="5"/>
  <c r="G593" i="5"/>
  <c r="I595" i="5"/>
  <c r="I597" i="5"/>
  <c r="I599" i="5"/>
  <c r="I601" i="5"/>
  <c r="G603" i="5"/>
  <c r="H606" i="5"/>
  <c r="I609" i="5"/>
  <c r="G611" i="5"/>
  <c r="F614" i="5"/>
  <c r="I622" i="5"/>
  <c r="G625" i="5"/>
  <c r="I627" i="5"/>
  <c r="I629" i="5"/>
  <c r="G636" i="5"/>
  <c r="G638" i="5"/>
  <c r="F641" i="5"/>
  <c r="I643" i="5"/>
  <c r="I645" i="5"/>
  <c r="G650" i="5"/>
  <c r="I654" i="5"/>
  <c r="F657" i="5"/>
  <c r="F659" i="5"/>
  <c r="F661" i="5"/>
  <c r="G665" i="5"/>
  <c r="F674" i="5"/>
  <c r="H684" i="5"/>
  <c r="F684" i="5"/>
  <c r="H694" i="5"/>
  <c r="I694" i="5"/>
  <c r="H699" i="5"/>
  <c r="F699" i="5"/>
  <c r="G701" i="5"/>
  <c r="G995" i="5"/>
  <c r="F995" i="5"/>
  <c r="G192" i="5"/>
  <c r="G313" i="5"/>
  <c r="G345" i="5"/>
  <c r="G360" i="5"/>
  <c r="H400" i="5"/>
  <c r="G404" i="5"/>
  <c r="H407" i="5"/>
  <c r="I412" i="5"/>
  <c r="I419" i="5"/>
  <c r="I426" i="5"/>
  <c r="I428" i="5"/>
  <c r="H442" i="5"/>
  <c r="H446" i="5"/>
  <c r="I475" i="5"/>
  <c r="I482" i="5"/>
  <c r="H486" i="5"/>
  <c r="I488" i="5"/>
  <c r="I507" i="5"/>
  <c r="I523" i="5"/>
  <c r="I530" i="5"/>
  <c r="H542" i="5"/>
  <c r="H549" i="5"/>
  <c r="H554" i="5"/>
  <c r="I563" i="5"/>
  <c r="H603" i="5"/>
  <c r="I606" i="5"/>
  <c r="G608" i="5"/>
  <c r="H611" i="5"/>
  <c r="G614" i="5"/>
  <c r="F619" i="5"/>
  <c r="F621" i="5"/>
  <c r="I638" i="5"/>
  <c r="G641" i="5"/>
  <c r="G657" i="5"/>
  <c r="G659" i="5"/>
  <c r="G661" i="5"/>
  <c r="I665" i="5"/>
  <c r="F668" i="5"/>
  <c r="H670" i="5"/>
  <c r="I670" i="5"/>
  <c r="G670" i="5"/>
  <c r="G684" i="5"/>
  <c r="H689" i="5"/>
  <c r="G689" i="5"/>
  <c r="F689" i="5"/>
  <c r="F694" i="5"/>
  <c r="G699" i="5"/>
  <c r="I701" i="5"/>
  <c r="G980" i="5"/>
  <c r="F980" i="5"/>
  <c r="H637" i="5"/>
  <c r="F637" i="5"/>
  <c r="F930" i="5"/>
  <c r="I930" i="5"/>
  <c r="H930" i="5"/>
  <c r="G992" i="5"/>
  <c r="F992" i="5"/>
  <c r="I98" i="6"/>
  <c r="K98" i="6" s="1"/>
  <c r="I837" i="5"/>
  <c r="I914" i="5"/>
  <c r="I921" i="5"/>
  <c r="I925" i="5"/>
  <c r="H943" i="5"/>
  <c r="I950" i="5"/>
  <c r="H956" i="5"/>
  <c r="I959" i="5"/>
  <c r="G53" i="6"/>
  <c r="I53" i="6" s="1"/>
  <c r="K53" i="6" s="1"/>
  <c r="H56" i="6"/>
  <c r="H70" i="6"/>
  <c r="I70" i="6" s="1"/>
  <c r="K70" i="6" s="1"/>
  <c r="H80" i="6"/>
  <c r="I80" i="6" s="1"/>
  <c r="K80" i="6" s="1"/>
  <c r="H112" i="6"/>
  <c r="I112" i="6" s="1"/>
  <c r="K112" i="6" s="1"/>
  <c r="I841" i="5"/>
  <c r="I956" i="5"/>
  <c r="H82" i="6"/>
  <c r="I82" i="6" s="1"/>
  <c r="K82" i="6" s="1"/>
  <c r="G83" i="6"/>
  <c r="G100" i="6"/>
  <c r="J100" i="6" s="1"/>
  <c r="G107" i="6"/>
  <c r="J107" i="6" s="1"/>
  <c r="H958" i="5"/>
  <c r="G963" i="5"/>
  <c r="G74" i="6"/>
  <c r="J74" i="6" s="1"/>
  <c r="H86" i="6"/>
  <c r="I86" i="6" s="1"/>
  <c r="K86" i="6" s="1"/>
  <c r="G88" i="6"/>
  <c r="J88" i="6" s="1"/>
  <c r="H94" i="6"/>
  <c r="I94" i="6" s="1"/>
  <c r="K94" i="6" s="1"/>
  <c r="G95" i="6"/>
  <c r="J95" i="6" s="1"/>
  <c r="G102" i="6"/>
  <c r="J102" i="6" s="1"/>
  <c r="I108" i="6"/>
  <c r="K108" i="6" s="1"/>
  <c r="I963" i="5"/>
  <c r="F976" i="5"/>
  <c r="F979" i="5"/>
  <c r="F984" i="5"/>
  <c r="F996" i="5"/>
  <c r="G96" i="6"/>
  <c r="J96" i="6" s="1"/>
  <c r="G103" i="6"/>
  <c r="J103" i="6" s="1"/>
  <c r="G109" i="6"/>
  <c r="I109" i="6" s="1"/>
  <c r="K109" i="6" s="1"/>
  <c r="I838" i="5"/>
  <c r="H840" i="5"/>
  <c r="I845" i="5"/>
  <c r="I929" i="5"/>
  <c r="I933" i="5"/>
  <c r="H938" i="5"/>
  <c r="H940" i="5"/>
  <c r="G947" i="5"/>
  <c r="I951" i="5"/>
  <c r="G26" i="6"/>
  <c r="J26" i="6" s="1"/>
  <c r="G61" i="6"/>
  <c r="I61" i="6" s="1"/>
  <c r="K61" i="6" s="1"/>
  <c r="G89" i="6"/>
  <c r="J89" i="6" s="1"/>
  <c r="G97" i="6"/>
  <c r="J97" i="6" s="1"/>
  <c r="G104" i="6"/>
  <c r="J104" i="6" s="1"/>
  <c r="G110" i="6"/>
  <c r="J110" i="6" s="1"/>
  <c r="H44" i="6"/>
  <c r="I44" i="6" s="1"/>
  <c r="K44" i="6" s="1"/>
  <c r="H46" i="6"/>
  <c r="I46" i="6" s="1"/>
  <c r="K46" i="6" s="1"/>
  <c r="H50" i="6"/>
  <c r="I50" i="6" s="1"/>
  <c r="K50" i="6" s="1"/>
  <c r="H58" i="6"/>
  <c r="I58" i="6" s="1"/>
  <c r="K58" i="6" s="1"/>
  <c r="H60" i="6"/>
  <c r="I60" i="6" s="1"/>
  <c r="K60" i="6" s="1"/>
  <c r="H62" i="6"/>
  <c r="I62" i="6" s="1"/>
  <c r="K62" i="6" s="1"/>
  <c r="H66" i="6"/>
  <c r="I66" i="6" s="1"/>
  <c r="K66" i="6" s="1"/>
  <c r="H11" i="5"/>
  <c r="F11" i="5"/>
  <c r="G11" i="5"/>
  <c r="I58" i="5"/>
  <c r="H58" i="5"/>
  <c r="F58" i="5"/>
  <c r="G58" i="5"/>
  <c r="H233" i="5"/>
  <c r="G233" i="5"/>
  <c r="F233" i="5"/>
  <c r="I233" i="5"/>
  <c r="I11" i="5"/>
  <c r="H18" i="5"/>
  <c r="F18" i="5"/>
  <c r="I18" i="5"/>
  <c r="G18" i="5"/>
  <c r="H23" i="5"/>
  <c r="F23" i="5"/>
  <c r="G23" i="5"/>
  <c r="H265" i="5"/>
  <c r="G265" i="5"/>
  <c r="F265" i="5"/>
  <c r="I265" i="5"/>
  <c r="I42" i="2"/>
  <c r="H2" i="5"/>
  <c r="F2" i="5"/>
  <c r="I2" i="5"/>
  <c r="G2" i="5"/>
  <c r="H7" i="5"/>
  <c r="F7" i="5"/>
  <c r="G7" i="5"/>
  <c r="I23" i="5"/>
  <c r="I90" i="5"/>
  <c r="H90" i="5"/>
  <c r="G90" i="5"/>
  <c r="F90" i="5"/>
  <c r="I100" i="5"/>
  <c r="H100" i="5"/>
  <c r="G100" i="5"/>
  <c r="F100" i="5"/>
  <c r="I120" i="5"/>
  <c r="H120" i="5"/>
  <c r="G120" i="5"/>
  <c r="F120" i="5"/>
  <c r="H297" i="5"/>
  <c r="G297" i="5"/>
  <c r="F297" i="5"/>
  <c r="I297" i="5"/>
  <c r="H19" i="5"/>
  <c r="F19" i="5"/>
  <c r="G19" i="5"/>
  <c r="H30" i="5"/>
  <c r="F30" i="5"/>
  <c r="I30" i="5"/>
  <c r="G30" i="5"/>
  <c r="I36" i="5"/>
  <c r="H36" i="5"/>
  <c r="F36" i="5"/>
  <c r="G36" i="5"/>
  <c r="I138" i="5"/>
  <c r="H138" i="5"/>
  <c r="G138" i="5"/>
  <c r="F138" i="5"/>
  <c r="I148" i="5"/>
  <c r="H148" i="5"/>
  <c r="G148" i="5"/>
  <c r="F148" i="5"/>
  <c r="H3" i="5"/>
  <c r="F3" i="5"/>
  <c r="G3" i="5"/>
  <c r="H14" i="5"/>
  <c r="F14" i="5"/>
  <c r="I14" i="5"/>
  <c r="G14" i="5"/>
  <c r="I19" i="5"/>
  <c r="H26" i="5"/>
  <c r="F26" i="5"/>
  <c r="I26" i="5"/>
  <c r="G26" i="5"/>
  <c r="I44" i="5"/>
  <c r="H44" i="5"/>
  <c r="F44" i="5"/>
  <c r="G44" i="5"/>
  <c r="I52" i="5"/>
  <c r="H52" i="5"/>
  <c r="F52" i="5"/>
  <c r="G52" i="5"/>
  <c r="I3" i="5"/>
  <c r="H31" i="5"/>
  <c r="F31" i="5"/>
  <c r="G31" i="5"/>
  <c r="I60" i="5"/>
  <c r="H60" i="5"/>
  <c r="F60" i="5"/>
  <c r="G60" i="5"/>
  <c r="H10" i="5"/>
  <c r="F10" i="5"/>
  <c r="I10" i="5"/>
  <c r="G10" i="5"/>
  <c r="H15" i="5"/>
  <c r="F15" i="5"/>
  <c r="G15" i="5"/>
  <c r="H27" i="5"/>
  <c r="F27" i="5"/>
  <c r="G27" i="5"/>
  <c r="I31" i="5"/>
  <c r="I34" i="5"/>
  <c r="H34" i="5"/>
  <c r="F34" i="5"/>
  <c r="G34" i="5"/>
  <c r="I95" i="5"/>
  <c r="H95" i="5"/>
  <c r="G95" i="5"/>
  <c r="F95" i="5"/>
  <c r="I105" i="5"/>
  <c r="H105" i="5"/>
  <c r="G105" i="5"/>
  <c r="F105" i="5"/>
  <c r="H6" i="5"/>
  <c r="F6" i="5"/>
  <c r="I6" i="5"/>
  <c r="G6" i="5"/>
  <c r="H22" i="5"/>
  <c r="F22" i="5"/>
  <c r="I22" i="5"/>
  <c r="G22" i="5"/>
  <c r="I42" i="5"/>
  <c r="H42" i="5"/>
  <c r="F42" i="5"/>
  <c r="G42" i="5"/>
  <c r="I50" i="5"/>
  <c r="H50" i="5"/>
  <c r="F50" i="5"/>
  <c r="G50" i="5"/>
  <c r="I133" i="5"/>
  <c r="H133" i="5"/>
  <c r="G133" i="5"/>
  <c r="F133" i="5"/>
  <c r="I143" i="5"/>
  <c r="H143" i="5"/>
  <c r="G143" i="5"/>
  <c r="F143" i="5"/>
  <c r="I92" i="5"/>
  <c r="H92" i="5"/>
  <c r="G92" i="5"/>
  <c r="F92" i="5"/>
  <c r="I97" i="5"/>
  <c r="H97" i="5"/>
  <c r="G97" i="5"/>
  <c r="F97" i="5"/>
  <c r="I102" i="5"/>
  <c r="H102" i="5"/>
  <c r="G102" i="5"/>
  <c r="F102" i="5"/>
  <c r="I107" i="5"/>
  <c r="H107" i="5"/>
  <c r="G107" i="5"/>
  <c r="F107" i="5"/>
  <c r="I112" i="5"/>
  <c r="H112" i="5"/>
  <c r="G112" i="5"/>
  <c r="F112" i="5"/>
  <c r="I117" i="5"/>
  <c r="H117" i="5"/>
  <c r="G117" i="5"/>
  <c r="F117" i="5"/>
  <c r="I122" i="5"/>
  <c r="H122" i="5"/>
  <c r="G122" i="5"/>
  <c r="F122" i="5"/>
  <c r="I127" i="5"/>
  <c r="H127" i="5"/>
  <c r="G127" i="5"/>
  <c r="F127" i="5"/>
  <c r="I140" i="5"/>
  <c r="H140" i="5"/>
  <c r="G140" i="5"/>
  <c r="F140" i="5"/>
  <c r="I145" i="5"/>
  <c r="H145" i="5"/>
  <c r="G145" i="5"/>
  <c r="F145" i="5"/>
  <c r="H257" i="5"/>
  <c r="G257" i="5"/>
  <c r="F257" i="5"/>
  <c r="I257" i="5"/>
  <c r="H289" i="5"/>
  <c r="G289" i="5"/>
  <c r="F289" i="5"/>
  <c r="I289" i="5"/>
  <c r="I320" i="5"/>
  <c r="H320" i="5"/>
  <c r="G320" i="5"/>
  <c r="I342" i="5"/>
  <c r="H342" i="5"/>
  <c r="G342" i="5"/>
  <c r="F342" i="5"/>
  <c r="B28" i="2"/>
  <c r="A29" i="2"/>
  <c r="I39" i="5"/>
  <c r="H39" i="5"/>
  <c r="F39" i="5"/>
  <c r="I47" i="5"/>
  <c r="H47" i="5"/>
  <c r="F47" i="5"/>
  <c r="I55" i="5"/>
  <c r="H55" i="5"/>
  <c r="F55" i="5"/>
  <c r="I63" i="5"/>
  <c r="H63" i="5"/>
  <c r="G63" i="5"/>
  <c r="F63" i="5"/>
  <c r="I65" i="5"/>
  <c r="H65" i="5"/>
  <c r="G65" i="5"/>
  <c r="F65" i="5"/>
  <c r="I67" i="5"/>
  <c r="H67" i="5"/>
  <c r="G67" i="5"/>
  <c r="F67" i="5"/>
  <c r="I69" i="5"/>
  <c r="H69" i="5"/>
  <c r="G69" i="5"/>
  <c r="F69" i="5"/>
  <c r="I71" i="5"/>
  <c r="H71" i="5"/>
  <c r="G71" i="5"/>
  <c r="F71" i="5"/>
  <c r="I73" i="5"/>
  <c r="H73" i="5"/>
  <c r="G73" i="5"/>
  <c r="F73" i="5"/>
  <c r="I75" i="5"/>
  <c r="H75" i="5"/>
  <c r="G75" i="5"/>
  <c r="F75" i="5"/>
  <c r="I77" i="5"/>
  <c r="H77" i="5"/>
  <c r="G77" i="5"/>
  <c r="F77" i="5"/>
  <c r="I79" i="5"/>
  <c r="H79" i="5"/>
  <c r="G79" i="5"/>
  <c r="F79" i="5"/>
  <c r="I81" i="5"/>
  <c r="H81" i="5"/>
  <c r="G81" i="5"/>
  <c r="F81" i="5"/>
  <c r="I83" i="5"/>
  <c r="H83" i="5"/>
  <c r="G83" i="5"/>
  <c r="F83" i="5"/>
  <c r="I85" i="5"/>
  <c r="H85" i="5"/>
  <c r="G85" i="5"/>
  <c r="F85" i="5"/>
  <c r="I87" i="5"/>
  <c r="H87" i="5"/>
  <c r="G87" i="5"/>
  <c r="F87" i="5"/>
  <c r="I110" i="5"/>
  <c r="H110" i="5"/>
  <c r="G110" i="5"/>
  <c r="F110" i="5"/>
  <c r="I115" i="5"/>
  <c r="H115" i="5"/>
  <c r="G115" i="5"/>
  <c r="F115" i="5"/>
  <c r="I125" i="5"/>
  <c r="H125" i="5"/>
  <c r="G125" i="5"/>
  <c r="F125" i="5"/>
  <c r="I130" i="5"/>
  <c r="H130" i="5"/>
  <c r="G130" i="5"/>
  <c r="F130" i="5"/>
  <c r="I135" i="5"/>
  <c r="H135" i="5"/>
  <c r="G135" i="5"/>
  <c r="F135" i="5"/>
  <c r="G206" i="5"/>
  <c r="I206" i="5"/>
  <c r="H206" i="5"/>
  <c r="H228" i="5"/>
  <c r="G228" i="5"/>
  <c r="F228" i="5"/>
  <c r="H260" i="5"/>
  <c r="G260" i="5"/>
  <c r="F260" i="5"/>
  <c r="H292" i="5"/>
  <c r="G292" i="5"/>
  <c r="F292" i="5"/>
  <c r="I312" i="5"/>
  <c r="H312" i="5"/>
  <c r="G312" i="5"/>
  <c r="F312" i="5"/>
  <c r="F320" i="5"/>
  <c r="A23" i="2"/>
  <c r="A31" i="2"/>
  <c r="B32" i="2"/>
  <c r="I33" i="5"/>
  <c r="H33" i="5"/>
  <c r="F33" i="5"/>
  <c r="I41" i="5"/>
  <c r="H41" i="5"/>
  <c r="F41" i="5"/>
  <c r="I49" i="5"/>
  <c r="H49" i="5"/>
  <c r="F49" i="5"/>
  <c r="I57" i="5"/>
  <c r="H57" i="5"/>
  <c r="F57" i="5"/>
  <c r="I98" i="5"/>
  <c r="H98" i="5"/>
  <c r="G98" i="5"/>
  <c r="F98" i="5"/>
  <c r="I103" i="5"/>
  <c r="H103" i="5"/>
  <c r="G103" i="5"/>
  <c r="F103" i="5"/>
  <c r="I108" i="5"/>
  <c r="H108" i="5"/>
  <c r="G108" i="5"/>
  <c r="F108" i="5"/>
  <c r="I113" i="5"/>
  <c r="H113" i="5"/>
  <c r="G113" i="5"/>
  <c r="F113" i="5"/>
  <c r="I118" i="5"/>
  <c r="H118" i="5"/>
  <c r="G118" i="5"/>
  <c r="F118" i="5"/>
  <c r="I123" i="5"/>
  <c r="H123" i="5"/>
  <c r="G123" i="5"/>
  <c r="F123" i="5"/>
  <c r="I128" i="5"/>
  <c r="H128" i="5"/>
  <c r="G128" i="5"/>
  <c r="F128" i="5"/>
  <c r="I146" i="5"/>
  <c r="H146" i="5"/>
  <c r="G146" i="5"/>
  <c r="F146" i="5"/>
  <c r="H236" i="5"/>
  <c r="G236" i="5"/>
  <c r="F236" i="5"/>
  <c r="H268" i="5"/>
  <c r="G268" i="5"/>
  <c r="F268" i="5"/>
  <c r="H300" i="5"/>
  <c r="G300" i="5"/>
  <c r="F300" i="5"/>
  <c r="I318" i="5"/>
  <c r="H318" i="5"/>
  <c r="G318" i="5"/>
  <c r="F318" i="5"/>
  <c r="I326" i="5"/>
  <c r="H326" i="5"/>
  <c r="G326" i="5"/>
  <c r="F326" i="5"/>
  <c r="B23" i="2"/>
  <c r="A24" i="2"/>
  <c r="A30" i="2"/>
  <c r="B31" i="2"/>
  <c r="H5" i="5"/>
  <c r="F5" i="5"/>
  <c r="H9" i="5"/>
  <c r="F9" i="5"/>
  <c r="H13" i="5"/>
  <c r="F13" i="5"/>
  <c r="H17" i="5"/>
  <c r="F17" i="5"/>
  <c r="H21" i="5"/>
  <c r="F21" i="5"/>
  <c r="H25" i="5"/>
  <c r="F25" i="5"/>
  <c r="H29" i="5"/>
  <c r="F29" i="5"/>
  <c r="I38" i="5"/>
  <c r="H38" i="5"/>
  <c r="F38" i="5"/>
  <c r="I46" i="5"/>
  <c r="H46" i="5"/>
  <c r="F46" i="5"/>
  <c r="I54" i="5"/>
  <c r="H54" i="5"/>
  <c r="F54" i="5"/>
  <c r="I62" i="5"/>
  <c r="H62" i="5"/>
  <c r="F62" i="5"/>
  <c r="I88" i="5"/>
  <c r="H88" i="5"/>
  <c r="G88" i="5"/>
  <c r="F88" i="5"/>
  <c r="I93" i="5"/>
  <c r="H93" i="5"/>
  <c r="G93" i="5"/>
  <c r="F93" i="5"/>
  <c r="I111" i="5"/>
  <c r="H111" i="5"/>
  <c r="G111" i="5"/>
  <c r="F111" i="5"/>
  <c r="I126" i="5"/>
  <c r="H126" i="5"/>
  <c r="G126" i="5"/>
  <c r="F126" i="5"/>
  <c r="I131" i="5"/>
  <c r="H131" i="5"/>
  <c r="G131" i="5"/>
  <c r="F131" i="5"/>
  <c r="I136" i="5"/>
  <c r="H136" i="5"/>
  <c r="G136" i="5"/>
  <c r="F136" i="5"/>
  <c r="I141" i="5"/>
  <c r="H141" i="5"/>
  <c r="G141" i="5"/>
  <c r="F141" i="5"/>
  <c r="H241" i="5"/>
  <c r="G241" i="5"/>
  <c r="F241" i="5"/>
  <c r="I241" i="5"/>
  <c r="H273" i="5"/>
  <c r="G273" i="5"/>
  <c r="F273" i="5"/>
  <c r="I273" i="5"/>
  <c r="H305" i="5"/>
  <c r="G305" i="5"/>
  <c r="F305" i="5"/>
  <c r="I305" i="5"/>
  <c r="I335" i="5"/>
  <c r="H335" i="5"/>
  <c r="G335" i="5"/>
  <c r="I382" i="5"/>
  <c r="H382" i="5"/>
  <c r="G382" i="5"/>
  <c r="F382" i="5"/>
  <c r="B24" i="2"/>
  <c r="A25" i="2"/>
  <c r="B30" i="2"/>
  <c r="I35" i="5"/>
  <c r="H35" i="5"/>
  <c r="F35" i="5"/>
  <c r="I43" i="5"/>
  <c r="H43" i="5"/>
  <c r="F43" i="5"/>
  <c r="I51" i="5"/>
  <c r="H51" i="5"/>
  <c r="F51" i="5"/>
  <c r="I59" i="5"/>
  <c r="H59" i="5"/>
  <c r="F59" i="5"/>
  <c r="I64" i="5"/>
  <c r="H64" i="5"/>
  <c r="G64" i="5"/>
  <c r="F64" i="5"/>
  <c r="I66" i="5"/>
  <c r="H66" i="5"/>
  <c r="G66" i="5"/>
  <c r="F66" i="5"/>
  <c r="I68" i="5"/>
  <c r="H68" i="5"/>
  <c r="G68" i="5"/>
  <c r="F68" i="5"/>
  <c r="I70" i="5"/>
  <c r="H70" i="5"/>
  <c r="G70" i="5"/>
  <c r="F70" i="5"/>
  <c r="I72" i="5"/>
  <c r="H72" i="5"/>
  <c r="G72" i="5"/>
  <c r="F72" i="5"/>
  <c r="I74" i="5"/>
  <c r="H74" i="5"/>
  <c r="G74" i="5"/>
  <c r="F74" i="5"/>
  <c r="I76" i="5"/>
  <c r="H76" i="5"/>
  <c r="G76" i="5"/>
  <c r="F76" i="5"/>
  <c r="I78" i="5"/>
  <c r="H78" i="5"/>
  <c r="G78" i="5"/>
  <c r="F78" i="5"/>
  <c r="I80" i="5"/>
  <c r="H80" i="5"/>
  <c r="G80" i="5"/>
  <c r="F80" i="5"/>
  <c r="I82" i="5"/>
  <c r="H82" i="5"/>
  <c r="G82" i="5"/>
  <c r="F82" i="5"/>
  <c r="I84" i="5"/>
  <c r="H84" i="5"/>
  <c r="G84" i="5"/>
  <c r="F84" i="5"/>
  <c r="I86" i="5"/>
  <c r="H86" i="5"/>
  <c r="G86" i="5"/>
  <c r="F86" i="5"/>
  <c r="I91" i="5"/>
  <c r="H91" i="5"/>
  <c r="G91" i="5"/>
  <c r="F91" i="5"/>
  <c r="I96" i="5"/>
  <c r="H96" i="5"/>
  <c r="G96" i="5"/>
  <c r="F96" i="5"/>
  <c r="I101" i="5"/>
  <c r="H101" i="5"/>
  <c r="G101" i="5"/>
  <c r="F101" i="5"/>
  <c r="I106" i="5"/>
  <c r="H106" i="5"/>
  <c r="G106" i="5"/>
  <c r="F106" i="5"/>
  <c r="I116" i="5"/>
  <c r="H116" i="5"/>
  <c r="G116" i="5"/>
  <c r="F116" i="5"/>
  <c r="I121" i="5"/>
  <c r="H121" i="5"/>
  <c r="G121" i="5"/>
  <c r="F121" i="5"/>
  <c r="I134" i="5"/>
  <c r="H134" i="5"/>
  <c r="G134" i="5"/>
  <c r="F134" i="5"/>
  <c r="I139" i="5"/>
  <c r="H139" i="5"/>
  <c r="G139" i="5"/>
  <c r="F139" i="5"/>
  <c r="I144" i="5"/>
  <c r="H144" i="5"/>
  <c r="G144" i="5"/>
  <c r="F144" i="5"/>
  <c r="I149" i="5"/>
  <c r="H149" i="5"/>
  <c r="G149" i="5"/>
  <c r="F149" i="5"/>
  <c r="G197" i="5"/>
  <c r="I197" i="5"/>
  <c r="H197" i="5"/>
  <c r="F197" i="5"/>
  <c r="H244" i="5"/>
  <c r="G244" i="5"/>
  <c r="F244" i="5"/>
  <c r="H276" i="5"/>
  <c r="G276" i="5"/>
  <c r="F276" i="5"/>
  <c r="H308" i="5"/>
  <c r="G308" i="5"/>
  <c r="F308" i="5"/>
  <c r="F335" i="5"/>
  <c r="B25" i="2"/>
  <c r="A26" i="2"/>
  <c r="G48" i="2"/>
  <c r="D19" i="1"/>
  <c r="H4" i="5"/>
  <c r="F4" i="5"/>
  <c r="I5" i="5"/>
  <c r="H8" i="5"/>
  <c r="F8" i="5"/>
  <c r="I9" i="5"/>
  <c r="H12" i="5"/>
  <c r="F12" i="5"/>
  <c r="I13" i="5"/>
  <c r="H16" i="5"/>
  <c r="F16" i="5"/>
  <c r="I17" i="5"/>
  <c r="H20" i="5"/>
  <c r="F20" i="5"/>
  <c r="I21" i="5"/>
  <c r="H24" i="5"/>
  <c r="F24" i="5"/>
  <c r="I25" i="5"/>
  <c r="H28" i="5"/>
  <c r="F28" i="5"/>
  <c r="I29" i="5"/>
  <c r="I32" i="5"/>
  <c r="H32" i="5"/>
  <c r="F32" i="5"/>
  <c r="G35" i="5"/>
  <c r="I40" i="5"/>
  <c r="H40" i="5"/>
  <c r="F40" i="5"/>
  <c r="G43" i="5"/>
  <c r="I48" i="5"/>
  <c r="H48" i="5"/>
  <c r="F48" i="5"/>
  <c r="G51" i="5"/>
  <c r="I56" i="5"/>
  <c r="H56" i="5"/>
  <c r="F56" i="5"/>
  <c r="G59" i="5"/>
  <c r="I104" i="5"/>
  <c r="H104" i="5"/>
  <c r="G104" i="5"/>
  <c r="F104" i="5"/>
  <c r="I109" i="5"/>
  <c r="H109" i="5"/>
  <c r="G109" i="5"/>
  <c r="F109" i="5"/>
  <c r="I114" i="5"/>
  <c r="H114" i="5"/>
  <c r="G114" i="5"/>
  <c r="F114" i="5"/>
  <c r="I119" i="5"/>
  <c r="H119" i="5"/>
  <c r="G119" i="5"/>
  <c r="F119" i="5"/>
  <c r="I124" i="5"/>
  <c r="H124" i="5"/>
  <c r="G124" i="5"/>
  <c r="F124" i="5"/>
  <c r="I129" i="5"/>
  <c r="H129" i="5"/>
  <c r="G129" i="5"/>
  <c r="F129" i="5"/>
  <c r="I147" i="5"/>
  <c r="H147" i="5"/>
  <c r="G147" i="5"/>
  <c r="F147" i="5"/>
  <c r="H249" i="5"/>
  <c r="G249" i="5"/>
  <c r="F249" i="5"/>
  <c r="I249" i="5"/>
  <c r="H281" i="5"/>
  <c r="G281" i="5"/>
  <c r="F281" i="5"/>
  <c r="I281" i="5"/>
  <c r="I367" i="5"/>
  <c r="H367" i="5"/>
  <c r="G367" i="5"/>
  <c r="F367" i="5"/>
  <c r="B26" i="2"/>
  <c r="A27" i="2"/>
  <c r="D3" i="5"/>
  <c r="D4" i="5" s="1"/>
  <c r="D5" i="5" s="1"/>
  <c r="D6" i="5" s="1"/>
  <c r="G4" i="5"/>
  <c r="G8" i="5"/>
  <c r="G12" i="5"/>
  <c r="G16" i="5"/>
  <c r="G20" i="5"/>
  <c r="G24" i="5"/>
  <c r="G28" i="5"/>
  <c r="G32" i="5"/>
  <c r="I37" i="5"/>
  <c r="H37" i="5"/>
  <c r="F37" i="5"/>
  <c r="G40" i="5"/>
  <c r="I45" i="5"/>
  <c r="H45" i="5"/>
  <c r="F45" i="5"/>
  <c r="G48" i="5"/>
  <c r="I53" i="5"/>
  <c r="H53" i="5"/>
  <c r="F53" i="5"/>
  <c r="G56" i="5"/>
  <c r="I61" i="5"/>
  <c r="H61" i="5"/>
  <c r="F61" i="5"/>
  <c r="I89" i="5"/>
  <c r="H89" i="5"/>
  <c r="G89" i="5"/>
  <c r="F89" i="5"/>
  <c r="I94" i="5"/>
  <c r="H94" i="5"/>
  <c r="G94" i="5"/>
  <c r="F94" i="5"/>
  <c r="I99" i="5"/>
  <c r="H99" i="5"/>
  <c r="G99" i="5"/>
  <c r="F99" i="5"/>
  <c r="I132" i="5"/>
  <c r="H132" i="5"/>
  <c r="G132" i="5"/>
  <c r="F132" i="5"/>
  <c r="I137" i="5"/>
  <c r="H137" i="5"/>
  <c r="G137" i="5"/>
  <c r="F137" i="5"/>
  <c r="I142" i="5"/>
  <c r="H142" i="5"/>
  <c r="G142" i="5"/>
  <c r="F142" i="5"/>
  <c r="G198" i="5"/>
  <c r="I198" i="5"/>
  <c r="H198" i="5"/>
  <c r="G205" i="5"/>
  <c r="I205" i="5"/>
  <c r="H205" i="5"/>
  <c r="F205" i="5"/>
  <c r="G213" i="5"/>
  <c r="F213" i="5"/>
  <c r="I213" i="5"/>
  <c r="G217" i="5"/>
  <c r="F217" i="5"/>
  <c r="I217" i="5"/>
  <c r="G221" i="5"/>
  <c r="F221" i="5"/>
  <c r="I221" i="5"/>
  <c r="G225" i="5"/>
  <c r="F225" i="5"/>
  <c r="I225" i="5"/>
  <c r="H252" i="5"/>
  <c r="G252" i="5"/>
  <c r="F252" i="5"/>
  <c r="H284" i="5"/>
  <c r="G284" i="5"/>
  <c r="F284" i="5"/>
  <c r="I375" i="5"/>
  <c r="H375" i="5"/>
  <c r="G375" i="5"/>
  <c r="I390" i="5"/>
  <c r="H390" i="5"/>
  <c r="G390" i="5"/>
  <c r="F390" i="5"/>
  <c r="F417" i="5"/>
  <c r="I417" i="5"/>
  <c r="G417" i="5"/>
  <c r="H417" i="5"/>
  <c r="H691" i="5"/>
  <c r="I691" i="5"/>
  <c r="G691" i="5"/>
  <c r="F691" i="5"/>
  <c r="I199" i="5"/>
  <c r="I207" i="5"/>
  <c r="G212" i="5"/>
  <c r="F212" i="5"/>
  <c r="G216" i="5"/>
  <c r="F216" i="5"/>
  <c r="G220" i="5"/>
  <c r="F220" i="5"/>
  <c r="G224" i="5"/>
  <c r="F224" i="5"/>
  <c r="H230" i="5"/>
  <c r="G230" i="5"/>
  <c r="F230" i="5"/>
  <c r="H238" i="5"/>
  <c r="G238" i="5"/>
  <c r="F238" i="5"/>
  <c r="H246" i="5"/>
  <c r="G246" i="5"/>
  <c r="F246" i="5"/>
  <c r="H254" i="5"/>
  <c r="G254" i="5"/>
  <c r="F254" i="5"/>
  <c r="H262" i="5"/>
  <c r="G262" i="5"/>
  <c r="F262" i="5"/>
  <c r="H270" i="5"/>
  <c r="G270" i="5"/>
  <c r="F270" i="5"/>
  <c r="H278" i="5"/>
  <c r="G278" i="5"/>
  <c r="F278" i="5"/>
  <c r="H286" i="5"/>
  <c r="G286" i="5"/>
  <c r="F286" i="5"/>
  <c r="H294" i="5"/>
  <c r="G294" i="5"/>
  <c r="F294" i="5"/>
  <c r="H302" i="5"/>
  <c r="G302" i="5"/>
  <c r="F302" i="5"/>
  <c r="I310" i="5"/>
  <c r="H310" i="5"/>
  <c r="G310" i="5"/>
  <c r="F310" i="5"/>
  <c r="I322" i="5"/>
  <c r="F322" i="5"/>
  <c r="I343" i="5"/>
  <c r="H343" i="5"/>
  <c r="G343" i="5"/>
  <c r="I350" i="5"/>
  <c r="H350" i="5"/>
  <c r="G350" i="5"/>
  <c r="F350" i="5"/>
  <c r="F375" i="5"/>
  <c r="I383" i="5"/>
  <c r="H383" i="5"/>
  <c r="G383" i="5"/>
  <c r="F568" i="5"/>
  <c r="I568" i="5"/>
  <c r="H568" i="5"/>
  <c r="G568" i="5"/>
  <c r="H227" i="5"/>
  <c r="G227" i="5"/>
  <c r="F227" i="5"/>
  <c r="H235" i="5"/>
  <c r="G235" i="5"/>
  <c r="F235" i="5"/>
  <c r="H243" i="5"/>
  <c r="G243" i="5"/>
  <c r="F243" i="5"/>
  <c r="H251" i="5"/>
  <c r="G251" i="5"/>
  <c r="F251" i="5"/>
  <c r="H259" i="5"/>
  <c r="G259" i="5"/>
  <c r="F259" i="5"/>
  <c r="H267" i="5"/>
  <c r="G267" i="5"/>
  <c r="F267" i="5"/>
  <c r="H275" i="5"/>
  <c r="G275" i="5"/>
  <c r="F275" i="5"/>
  <c r="H283" i="5"/>
  <c r="G283" i="5"/>
  <c r="F283" i="5"/>
  <c r="H291" i="5"/>
  <c r="G291" i="5"/>
  <c r="F291" i="5"/>
  <c r="H299" i="5"/>
  <c r="G299" i="5"/>
  <c r="F299" i="5"/>
  <c r="H307" i="5"/>
  <c r="G307" i="5"/>
  <c r="F307" i="5"/>
  <c r="I314" i="5"/>
  <c r="F314" i="5"/>
  <c r="I327" i="5"/>
  <c r="H327" i="5"/>
  <c r="G327" i="5"/>
  <c r="I391" i="5"/>
  <c r="H391" i="5"/>
  <c r="G391" i="5"/>
  <c r="I399" i="5"/>
  <c r="H399" i="5"/>
  <c r="G399" i="5"/>
  <c r="F413" i="5"/>
  <c r="I413" i="5"/>
  <c r="H413" i="5"/>
  <c r="G413" i="5"/>
  <c r="F415" i="5"/>
  <c r="I415" i="5"/>
  <c r="G415" i="5"/>
  <c r="H415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G215" i="5"/>
  <c r="F215" i="5"/>
  <c r="G219" i="5"/>
  <c r="F219" i="5"/>
  <c r="G223" i="5"/>
  <c r="F223" i="5"/>
  <c r="H232" i="5"/>
  <c r="G232" i="5"/>
  <c r="F232" i="5"/>
  <c r="H240" i="5"/>
  <c r="G240" i="5"/>
  <c r="F240" i="5"/>
  <c r="H248" i="5"/>
  <c r="G248" i="5"/>
  <c r="F248" i="5"/>
  <c r="H256" i="5"/>
  <c r="G256" i="5"/>
  <c r="F256" i="5"/>
  <c r="H264" i="5"/>
  <c r="G264" i="5"/>
  <c r="F264" i="5"/>
  <c r="H272" i="5"/>
  <c r="G272" i="5"/>
  <c r="F272" i="5"/>
  <c r="H280" i="5"/>
  <c r="G280" i="5"/>
  <c r="F280" i="5"/>
  <c r="H288" i="5"/>
  <c r="G288" i="5"/>
  <c r="F288" i="5"/>
  <c r="H296" i="5"/>
  <c r="G296" i="5"/>
  <c r="F296" i="5"/>
  <c r="H304" i="5"/>
  <c r="G304" i="5"/>
  <c r="F304" i="5"/>
  <c r="I319" i="5"/>
  <c r="H319" i="5"/>
  <c r="G319" i="5"/>
  <c r="I351" i="5"/>
  <c r="H351" i="5"/>
  <c r="G351" i="5"/>
  <c r="I358" i="5"/>
  <c r="H358" i="5"/>
  <c r="G358" i="5"/>
  <c r="F358" i="5"/>
  <c r="F391" i="5"/>
  <c r="F399" i="5"/>
  <c r="F552" i="5"/>
  <c r="I552" i="5"/>
  <c r="H552" i="5"/>
  <c r="G552" i="5"/>
  <c r="H655" i="5"/>
  <c r="I655" i="5"/>
  <c r="G655" i="5"/>
  <c r="F655" i="5"/>
  <c r="G150" i="5"/>
  <c r="G151" i="5"/>
  <c r="G152" i="5"/>
  <c r="G153" i="5"/>
  <c r="G154" i="5"/>
  <c r="G155" i="5"/>
  <c r="G156" i="5"/>
  <c r="G157" i="5"/>
  <c r="H229" i="5"/>
  <c r="G229" i="5"/>
  <c r="F229" i="5"/>
  <c r="H237" i="5"/>
  <c r="G237" i="5"/>
  <c r="F237" i="5"/>
  <c r="H245" i="5"/>
  <c r="G245" i="5"/>
  <c r="F245" i="5"/>
  <c r="H253" i="5"/>
  <c r="G253" i="5"/>
  <c r="F253" i="5"/>
  <c r="H261" i="5"/>
  <c r="G261" i="5"/>
  <c r="F261" i="5"/>
  <c r="H269" i="5"/>
  <c r="G269" i="5"/>
  <c r="F269" i="5"/>
  <c r="H277" i="5"/>
  <c r="G277" i="5"/>
  <c r="F277" i="5"/>
  <c r="H285" i="5"/>
  <c r="G285" i="5"/>
  <c r="F285" i="5"/>
  <c r="H293" i="5"/>
  <c r="G293" i="5"/>
  <c r="F293" i="5"/>
  <c r="H301" i="5"/>
  <c r="G301" i="5"/>
  <c r="F301" i="5"/>
  <c r="H309" i="5"/>
  <c r="G309" i="5"/>
  <c r="F309" i="5"/>
  <c r="I311" i="5"/>
  <c r="H311" i="5"/>
  <c r="G311" i="5"/>
  <c r="I334" i="5"/>
  <c r="H334" i="5"/>
  <c r="G334" i="5"/>
  <c r="F334" i="5"/>
  <c r="F479" i="5"/>
  <c r="I479" i="5"/>
  <c r="H479" i="5"/>
  <c r="G479" i="5"/>
  <c r="H150" i="5"/>
  <c r="H151" i="5"/>
  <c r="H152" i="5"/>
  <c r="H153" i="5"/>
  <c r="H154" i="5"/>
  <c r="H155" i="5"/>
  <c r="H156" i="5"/>
  <c r="H157" i="5"/>
  <c r="I195" i="5"/>
  <c r="F201" i="5"/>
  <c r="H202" i="5"/>
  <c r="I203" i="5"/>
  <c r="F209" i="5"/>
  <c r="H210" i="5"/>
  <c r="I211" i="5"/>
  <c r="G214" i="5"/>
  <c r="F214" i="5"/>
  <c r="I215" i="5"/>
  <c r="G218" i="5"/>
  <c r="F218" i="5"/>
  <c r="I219" i="5"/>
  <c r="G222" i="5"/>
  <c r="F222" i="5"/>
  <c r="I223" i="5"/>
  <c r="H226" i="5"/>
  <c r="G226" i="5"/>
  <c r="F226" i="5"/>
  <c r="I229" i="5"/>
  <c r="H234" i="5"/>
  <c r="G234" i="5"/>
  <c r="F234" i="5"/>
  <c r="I237" i="5"/>
  <c r="H242" i="5"/>
  <c r="G242" i="5"/>
  <c r="F242" i="5"/>
  <c r="I245" i="5"/>
  <c r="H250" i="5"/>
  <c r="G250" i="5"/>
  <c r="F250" i="5"/>
  <c r="I253" i="5"/>
  <c r="H258" i="5"/>
  <c r="G258" i="5"/>
  <c r="F258" i="5"/>
  <c r="I261" i="5"/>
  <c r="H266" i="5"/>
  <c r="G266" i="5"/>
  <c r="F266" i="5"/>
  <c r="I269" i="5"/>
  <c r="H274" i="5"/>
  <c r="G274" i="5"/>
  <c r="F274" i="5"/>
  <c r="I277" i="5"/>
  <c r="H282" i="5"/>
  <c r="G282" i="5"/>
  <c r="F282" i="5"/>
  <c r="I285" i="5"/>
  <c r="H290" i="5"/>
  <c r="G290" i="5"/>
  <c r="F290" i="5"/>
  <c r="I293" i="5"/>
  <c r="H298" i="5"/>
  <c r="G298" i="5"/>
  <c r="F298" i="5"/>
  <c r="I301" i="5"/>
  <c r="H306" i="5"/>
  <c r="G306" i="5"/>
  <c r="F306" i="5"/>
  <c r="I309" i="5"/>
  <c r="F311" i="5"/>
  <c r="I328" i="5"/>
  <c r="H328" i="5"/>
  <c r="I359" i="5"/>
  <c r="H359" i="5"/>
  <c r="G359" i="5"/>
  <c r="I366" i="5"/>
  <c r="H366" i="5"/>
  <c r="G366" i="5"/>
  <c r="F366" i="5"/>
  <c r="H201" i="5"/>
  <c r="H209" i="5"/>
  <c r="H231" i="5"/>
  <c r="G231" i="5"/>
  <c r="F231" i="5"/>
  <c r="H239" i="5"/>
  <c r="G239" i="5"/>
  <c r="F239" i="5"/>
  <c r="H247" i="5"/>
  <c r="G247" i="5"/>
  <c r="F247" i="5"/>
  <c r="H255" i="5"/>
  <c r="G255" i="5"/>
  <c r="F255" i="5"/>
  <c r="H263" i="5"/>
  <c r="G263" i="5"/>
  <c r="F263" i="5"/>
  <c r="H271" i="5"/>
  <c r="G271" i="5"/>
  <c r="F271" i="5"/>
  <c r="H279" i="5"/>
  <c r="G279" i="5"/>
  <c r="F279" i="5"/>
  <c r="H287" i="5"/>
  <c r="G287" i="5"/>
  <c r="F287" i="5"/>
  <c r="H295" i="5"/>
  <c r="G295" i="5"/>
  <c r="F295" i="5"/>
  <c r="H303" i="5"/>
  <c r="G303" i="5"/>
  <c r="F303" i="5"/>
  <c r="I374" i="5"/>
  <c r="H374" i="5"/>
  <c r="G374" i="5"/>
  <c r="F374" i="5"/>
  <c r="I396" i="5"/>
  <c r="H396" i="5"/>
  <c r="G396" i="5"/>
  <c r="F471" i="5"/>
  <c r="I471" i="5"/>
  <c r="H471" i="5"/>
  <c r="G471" i="5"/>
  <c r="H336" i="5"/>
  <c r="H344" i="5"/>
  <c r="H352" i="5"/>
  <c r="H360" i="5"/>
  <c r="H368" i="5"/>
  <c r="H376" i="5"/>
  <c r="H384" i="5"/>
  <c r="H392" i="5"/>
  <c r="H402" i="5"/>
  <c r="F425" i="5"/>
  <c r="I425" i="5"/>
  <c r="G425" i="5"/>
  <c r="H580" i="5"/>
  <c r="F580" i="5"/>
  <c r="I580" i="5"/>
  <c r="G580" i="5"/>
  <c r="I785" i="5"/>
  <c r="H785" i="5"/>
  <c r="G785" i="5"/>
  <c r="F785" i="5"/>
  <c r="F317" i="5"/>
  <c r="F325" i="5"/>
  <c r="F333" i="5"/>
  <c r="F341" i="5"/>
  <c r="F349" i="5"/>
  <c r="F357" i="5"/>
  <c r="F365" i="5"/>
  <c r="F373" i="5"/>
  <c r="F381" i="5"/>
  <c r="F389" i="5"/>
  <c r="F395" i="5"/>
  <c r="F401" i="5"/>
  <c r="F423" i="5"/>
  <c r="I423" i="5"/>
  <c r="H423" i="5"/>
  <c r="G423" i="5"/>
  <c r="H425" i="5"/>
  <c r="F433" i="5"/>
  <c r="I433" i="5"/>
  <c r="G433" i="5"/>
  <c r="F441" i="5"/>
  <c r="I441" i="5"/>
  <c r="G441" i="5"/>
  <c r="F449" i="5"/>
  <c r="I449" i="5"/>
  <c r="G449" i="5"/>
  <c r="F559" i="5"/>
  <c r="I559" i="5"/>
  <c r="H559" i="5"/>
  <c r="G559" i="5"/>
  <c r="H623" i="5"/>
  <c r="G623" i="5"/>
  <c r="F623" i="5"/>
  <c r="I623" i="5"/>
  <c r="G373" i="5"/>
  <c r="G381" i="5"/>
  <c r="G389" i="5"/>
  <c r="G395" i="5"/>
  <c r="G401" i="5"/>
  <c r="F431" i="5"/>
  <c r="I431" i="5"/>
  <c r="H431" i="5"/>
  <c r="G431" i="5"/>
  <c r="F457" i="5"/>
  <c r="I457" i="5"/>
  <c r="G457" i="5"/>
  <c r="F439" i="5"/>
  <c r="I439" i="5"/>
  <c r="H439" i="5"/>
  <c r="G439" i="5"/>
  <c r="F447" i="5"/>
  <c r="I447" i="5"/>
  <c r="H447" i="5"/>
  <c r="G447" i="5"/>
  <c r="F465" i="5"/>
  <c r="I465" i="5"/>
  <c r="G465" i="5"/>
  <c r="F544" i="5"/>
  <c r="I544" i="5"/>
  <c r="H544" i="5"/>
  <c r="G544" i="5"/>
  <c r="F560" i="5"/>
  <c r="I560" i="5"/>
  <c r="H560" i="5"/>
  <c r="G560" i="5"/>
  <c r="H642" i="5"/>
  <c r="F642" i="5"/>
  <c r="I642" i="5"/>
  <c r="G642" i="5"/>
  <c r="G315" i="5"/>
  <c r="G323" i="5"/>
  <c r="F330" i="5"/>
  <c r="G331" i="5"/>
  <c r="F338" i="5"/>
  <c r="G339" i="5"/>
  <c r="H340" i="5"/>
  <c r="F346" i="5"/>
  <c r="G347" i="5"/>
  <c r="H348" i="5"/>
  <c r="F354" i="5"/>
  <c r="G355" i="5"/>
  <c r="H356" i="5"/>
  <c r="F362" i="5"/>
  <c r="G363" i="5"/>
  <c r="H364" i="5"/>
  <c r="F370" i="5"/>
  <c r="G371" i="5"/>
  <c r="H372" i="5"/>
  <c r="F378" i="5"/>
  <c r="G379" i="5"/>
  <c r="H380" i="5"/>
  <c r="F386" i="5"/>
  <c r="G387" i="5"/>
  <c r="H388" i="5"/>
  <c r="G394" i="5"/>
  <c r="H398" i="5"/>
  <c r="F400" i="5"/>
  <c r="F455" i="5"/>
  <c r="I455" i="5"/>
  <c r="H455" i="5"/>
  <c r="G455" i="5"/>
  <c r="H465" i="5"/>
  <c r="F473" i="5"/>
  <c r="I473" i="5"/>
  <c r="G473" i="5"/>
  <c r="F528" i="5"/>
  <c r="I528" i="5"/>
  <c r="H528" i="5"/>
  <c r="G528" i="5"/>
  <c r="H572" i="5"/>
  <c r="F572" i="5"/>
  <c r="I572" i="5"/>
  <c r="G572" i="5"/>
  <c r="F463" i="5"/>
  <c r="I463" i="5"/>
  <c r="H463" i="5"/>
  <c r="G463" i="5"/>
  <c r="F481" i="5"/>
  <c r="I481" i="5"/>
  <c r="G481" i="5"/>
  <c r="F535" i="5"/>
  <c r="H535" i="5"/>
  <c r="G535" i="5"/>
  <c r="I535" i="5"/>
  <c r="F551" i="5"/>
  <c r="I551" i="5"/>
  <c r="H551" i="5"/>
  <c r="G551" i="5"/>
  <c r="F567" i="5"/>
  <c r="I567" i="5"/>
  <c r="H567" i="5"/>
  <c r="G567" i="5"/>
  <c r="H695" i="5"/>
  <c r="I695" i="5"/>
  <c r="G695" i="5"/>
  <c r="F695" i="5"/>
  <c r="I717" i="5"/>
  <c r="H717" i="5"/>
  <c r="F717" i="5"/>
  <c r="G717" i="5"/>
  <c r="F512" i="5"/>
  <c r="I512" i="5"/>
  <c r="H512" i="5"/>
  <c r="F524" i="5"/>
  <c r="I524" i="5"/>
  <c r="H524" i="5"/>
  <c r="G524" i="5"/>
  <c r="H576" i="5"/>
  <c r="F576" i="5"/>
  <c r="I576" i="5"/>
  <c r="G576" i="5"/>
  <c r="H615" i="5"/>
  <c r="G615" i="5"/>
  <c r="F615" i="5"/>
  <c r="H671" i="5"/>
  <c r="I671" i="5"/>
  <c r="G671" i="5"/>
  <c r="F671" i="5"/>
  <c r="H416" i="5"/>
  <c r="H424" i="5"/>
  <c r="H432" i="5"/>
  <c r="H440" i="5"/>
  <c r="H448" i="5"/>
  <c r="H456" i="5"/>
  <c r="H464" i="5"/>
  <c r="H472" i="5"/>
  <c r="H480" i="5"/>
  <c r="H487" i="5"/>
  <c r="H491" i="5"/>
  <c r="H495" i="5"/>
  <c r="H499" i="5"/>
  <c r="H503" i="5"/>
  <c r="F516" i="5"/>
  <c r="H516" i="5"/>
  <c r="G516" i="5"/>
  <c r="F519" i="5"/>
  <c r="H519" i="5"/>
  <c r="G519" i="5"/>
  <c r="H631" i="5"/>
  <c r="G631" i="5"/>
  <c r="F631" i="5"/>
  <c r="I440" i="5"/>
  <c r="I448" i="5"/>
  <c r="I456" i="5"/>
  <c r="I464" i="5"/>
  <c r="I472" i="5"/>
  <c r="I480" i="5"/>
  <c r="I487" i="5"/>
  <c r="I491" i="5"/>
  <c r="I495" i="5"/>
  <c r="I499" i="5"/>
  <c r="I503" i="5"/>
  <c r="F513" i="5"/>
  <c r="I513" i="5"/>
  <c r="F532" i="5"/>
  <c r="I532" i="5"/>
  <c r="H532" i="5"/>
  <c r="G532" i="5"/>
  <c r="H640" i="5"/>
  <c r="I640" i="5"/>
  <c r="G640" i="5"/>
  <c r="F640" i="5"/>
  <c r="G421" i="5"/>
  <c r="G429" i="5"/>
  <c r="G437" i="5"/>
  <c r="F508" i="5"/>
  <c r="H508" i="5"/>
  <c r="G508" i="5"/>
  <c r="F511" i="5"/>
  <c r="H511" i="5"/>
  <c r="G511" i="5"/>
  <c r="G513" i="5"/>
  <c r="F536" i="5"/>
  <c r="I536" i="5"/>
  <c r="H536" i="5"/>
  <c r="F543" i="5"/>
  <c r="H543" i="5"/>
  <c r="G543" i="5"/>
  <c r="H592" i="5"/>
  <c r="F592" i="5"/>
  <c r="I592" i="5"/>
  <c r="G592" i="5"/>
  <c r="I709" i="5"/>
  <c r="H709" i="5"/>
  <c r="F709" i="5"/>
  <c r="G709" i="5"/>
  <c r="I770" i="5"/>
  <c r="H770" i="5"/>
  <c r="F770" i="5"/>
  <c r="G770" i="5"/>
  <c r="H421" i="5"/>
  <c r="H429" i="5"/>
  <c r="H437" i="5"/>
  <c r="G444" i="5"/>
  <c r="H445" i="5"/>
  <c r="I446" i="5"/>
  <c r="G452" i="5"/>
  <c r="H453" i="5"/>
  <c r="I454" i="5"/>
  <c r="G460" i="5"/>
  <c r="H461" i="5"/>
  <c r="I462" i="5"/>
  <c r="G468" i="5"/>
  <c r="H469" i="5"/>
  <c r="I470" i="5"/>
  <c r="G476" i="5"/>
  <c r="H477" i="5"/>
  <c r="I478" i="5"/>
  <c r="G484" i="5"/>
  <c r="H485" i="5"/>
  <c r="I486" i="5"/>
  <c r="G489" i="5"/>
  <c r="I490" i="5"/>
  <c r="G493" i="5"/>
  <c r="I494" i="5"/>
  <c r="G497" i="5"/>
  <c r="I498" i="5"/>
  <c r="G501" i="5"/>
  <c r="I502" i="5"/>
  <c r="G505" i="5"/>
  <c r="I508" i="5"/>
  <c r="I511" i="5"/>
  <c r="H513" i="5"/>
  <c r="G536" i="5"/>
  <c r="I543" i="5"/>
  <c r="H588" i="5"/>
  <c r="F588" i="5"/>
  <c r="I588" i="5"/>
  <c r="G588" i="5"/>
  <c r="I794" i="5"/>
  <c r="H794" i="5"/>
  <c r="F794" i="5"/>
  <c r="G411" i="5"/>
  <c r="G419" i="5"/>
  <c r="H420" i="5"/>
  <c r="I421" i="5"/>
  <c r="G427" i="5"/>
  <c r="H428" i="5"/>
  <c r="I429" i="5"/>
  <c r="G435" i="5"/>
  <c r="H436" i="5"/>
  <c r="I437" i="5"/>
  <c r="G443" i="5"/>
  <c r="H444" i="5"/>
  <c r="H452" i="5"/>
  <c r="H460" i="5"/>
  <c r="H468" i="5"/>
  <c r="H476" i="5"/>
  <c r="H484" i="5"/>
  <c r="H489" i="5"/>
  <c r="H493" i="5"/>
  <c r="H497" i="5"/>
  <c r="H501" i="5"/>
  <c r="H505" i="5"/>
  <c r="F520" i="5"/>
  <c r="I520" i="5"/>
  <c r="H520" i="5"/>
  <c r="F527" i="5"/>
  <c r="H527" i="5"/>
  <c r="G527" i="5"/>
  <c r="F540" i="5"/>
  <c r="I540" i="5"/>
  <c r="H540" i="5"/>
  <c r="G540" i="5"/>
  <c r="H584" i="5"/>
  <c r="F584" i="5"/>
  <c r="I584" i="5"/>
  <c r="G584" i="5"/>
  <c r="G794" i="5"/>
  <c r="I521" i="5"/>
  <c r="I529" i="5"/>
  <c r="I537" i="5"/>
  <c r="I545" i="5"/>
  <c r="I553" i="5"/>
  <c r="I561" i="5"/>
  <c r="I726" i="5"/>
  <c r="H726" i="5"/>
  <c r="G726" i="5"/>
  <c r="F726" i="5"/>
  <c r="I737" i="5"/>
  <c r="H737" i="5"/>
  <c r="G737" i="5"/>
  <c r="F737" i="5"/>
  <c r="I761" i="5"/>
  <c r="H761" i="5"/>
  <c r="G761" i="5"/>
  <c r="F761" i="5"/>
  <c r="I809" i="5"/>
  <c r="H809" i="5"/>
  <c r="G809" i="5"/>
  <c r="F809" i="5"/>
  <c r="I826" i="5"/>
  <c r="H826" i="5"/>
  <c r="G826" i="5"/>
  <c r="F826" i="5"/>
  <c r="G510" i="5"/>
  <c r="G518" i="5"/>
  <c r="G526" i="5"/>
  <c r="G534" i="5"/>
  <c r="G542" i="5"/>
  <c r="G550" i="5"/>
  <c r="G558" i="5"/>
  <c r="G566" i="5"/>
  <c r="H571" i="5"/>
  <c r="F571" i="5"/>
  <c r="H575" i="5"/>
  <c r="F575" i="5"/>
  <c r="H579" i="5"/>
  <c r="F579" i="5"/>
  <c r="H583" i="5"/>
  <c r="F583" i="5"/>
  <c r="H587" i="5"/>
  <c r="F587" i="5"/>
  <c r="H591" i="5"/>
  <c r="F591" i="5"/>
  <c r="H647" i="5"/>
  <c r="I647" i="5"/>
  <c r="G647" i="5"/>
  <c r="F647" i="5"/>
  <c r="H656" i="5"/>
  <c r="I656" i="5"/>
  <c r="G656" i="5"/>
  <c r="H658" i="5"/>
  <c r="F658" i="5"/>
  <c r="H675" i="5"/>
  <c r="I675" i="5"/>
  <c r="G675" i="5"/>
  <c r="F675" i="5"/>
  <c r="H696" i="5"/>
  <c r="F696" i="5"/>
  <c r="H698" i="5"/>
  <c r="I698" i="5"/>
  <c r="G698" i="5"/>
  <c r="I786" i="5"/>
  <c r="H786" i="5"/>
  <c r="F786" i="5"/>
  <c r="I801" i="5"/>
  <c r="H801" i="5"/>
  <c r="G801" i="5"/>
  <c r="F801" i="5"/>
  <c r="H616" i="5"/>
  <c r="I616" i="5"/>
  <c r="G616" i="5"/>
  <c r="H624" i="5"/>
  <c r="I624" i="5"/>
  <c r="G624" i="5"/>
  <c r="H632" i="5"/>
  <c r="I632" i="5"/>
  <c r="G632" i="5"/>
  <c r="H634" i="5"/>
  <c r="F634" i="5"/>
  <c r="I762" i="5"/>
  <c r="H762" i="5"/>
  <c r="F762" i="5"/>
  <c r="I777" i="5"/>
  <c r="H777" i="5"/>
  <c r="G777" i="5"/>
  <c r="F777" i="5"/>
  <c r="G548" i="5"/>
  <c r="G556" i="5"/>
  <c r="G564" i="5"/>
  <c r="H570" i="5"/>
  <c r="F570" i="5"/>
  <c r="H574" i="5"/>
  <c r="F574" i="5"/>
  <c r="H578" i="5"/>
  <c r="F578" i="5"/>
  <c r="H582" i="5"/>
  <c r="F582" i="5"/>
  <c r="H586" i="5"/>
  <c r="F586" i="5"/>
  <c r="H590" i="5"/>
  <c r="F590" i="5"/>
  <c r="H594" i="5"/>
  <c r="F594" i="5"/>
  <c r="F616" i="5"/>
  <c r="H618" i="5"/>
  <c r="F618" i="5"/>
  <c r="F624" i="5"/>
  <c r="H626" i="5"/>
  <c r="F626" i="5"/>
  <c r="F632" i="5"/>
  <c r="G634" i="5"/>
  <c r="H663" i="5"/>
  <c r="I663" i="5"/>
  <c r="G663" i="5"/>
  <c r="F663" i="5"/>
  <c r="H679" i="5"/>
  <c r="I679" i="5"/>
  <c r="G679" i="5"/>
  <c r="F679" i="5"/>
  <c r="I705" i="5"/>
  <c r="H705" i="5"/>
  <c r="F705" i="5"/>
  <c r="G705" i="5"/>
  <c r="I713" i="5"/>
  <c r="H713" i="5"/>
  <c r="F713" i="5"/>
  <c r="G713" i="5"/>
  <c r="I721" i="5"/>
  <c r="H721" i="5"/>
  <c r="G721" i="5"/>
  <c r="F721" i="5"/>
  <c r="I753" i="5"/>
  <c r="H753" i="5"/>
  <c r="G753" i="5"/>
  <c r="F753" i="5"/>
  <c r="G762" i="5"/>
  <c r="I802" i="5"/>
  <c r="H802" i="5"/>
  <c r="F802" i="5"/>
  <c r="G507" i="5"/>
  <c r="I509" i="5"/>
  <c r="G515" i="5"/>
  <c r="I517" i="5"/>
  <c r="G523" i="5"/>
  <c r="I525" i="5"/>
  <c r="G531" i="5"/>
  <c r="I533" i="5"/>
  <c r="G539" i="5"/>
  <c r="I541" i="5"/>
  <c r="G547" i="5"/>
  <c r="H548" i="5"/>
  <c r="I549" i="5"/>
  <c r="G555" i="5"/>
  <c r="H556" i="5"/>
  <c r="I557" i="5"/>
  <c r="G563" i="5"/>
  <c r="H564" i="5"/>
  <c r="I565" i="5"/>
  <c r="G570" i="5"/>
  <c r="G574" i="5"/>
  <c r="G578" i="5"/>
  <c r="G582" i="5"/>
  <c r="G586" i="5"/>
  <c r="G590" i="5"/>
  <c r="G594" i="5"/>
  <c r="G618" i="5"/>
  <c r="G626" i="5"/>
  <c r="I634" i="5"/>
  <c r="H639" i="5"/>
  <c r="I639" i="5"/>
  <c r="G639" i="5"/>
  <c r="F639" i="5"/>
  <c r="H648" i="5"/>
  <c r="I648" i="5"/>
  <c r="G648" i="5"/>
  <c r="H650" i="5"/>
  <c r="F650" i="5"/>
  <c r="H683" i="5"/>
  <c r="I683" i="5"/>
  <c r="G683" i="5"/>
  <c r="F683" i="5"/>
  <c r="I778" i="5"/>
  <c r="H778" i="5"/>
  <c r="F778" i="5"/>
  <c r="I793" i="5"/>
  <c r="H793" i="5"/>
  <c r="G793" i="5"/>
  <c r="F793" i="5"/>
  <c r="G802" i="5"/>
  <c r="I548" i="5"/>
  <c r="I556" i="5"/>
  <c r="I564" i="5"/>
  <c r="H569" i="5"/>
  <c r="F569" i="5"/>
  <c r="H573" i="5"/>
  <c r="F573" i="5"/>
  <c r="H577" i="5"/>
  <c r="F577" i="5"/>
  <c r="H581" i="5"/>
  <c r="F581" i="5"/>
  <c r="H585" i="5"/>
  <c r="F585" i="5"/>
  <c r="H589" i="5"/>
  <c r="F589" i="5"/>
  <c r="H593" i="5"/>
  <c r="F593" i="5"/>
  <c r="H620" i="5"/>
  <c r="I620" i="5"/>
  <c r="F620" i="5"/>
  <c r="H628" i="5"/>
  <c r="I628" i="5"/>
  <c r="F628" i="5"/>
  <c r="H667" i="5"/>
  <c r="I667" i="5"/>
  <c r="G667" i="5"/>
  <c r="F667" i="5"/>
  <c r="H687" i="5"/>
  <c r="I687" i="5"/>
  <c r="G687" i="5"/>
  <c r="F687" i="5"/>
  <c r="I742" i="5"/>
  <c r="H742" i="5"/>
  <c r="G742" i="5"/>
  <c r="F742" i="5"/>
  <c r="I754" i="5"/>
  <c r="H754" i="5"/>
  <c r="F754" i="5"/>
  <c r="I769" i="5"/>
  <c r="H769" i="5"/>
  <c r="G769" i="5"/>
  <c r="F769" i="5"/>
  <c r="I828" i="5"/>
  <c r="H828" i="5"/>
  <c r="G828" i="5"/>
  <c r="F828" i="5"/>
  <c r="I617" i="5"/>
  <c r="I625" i="5"/>
  <c r="I633" i="5"/>
  <c r="I641" i="5"/>
  <c r="I649" i="5"/>
  <c r="I657" i="5"/>
  <c r="I664" i="5"/>
  <c r="I668" i="5"/>
  <c r="I672" i="5"/>
  <c r="I676" i="5"/>
  <c r="I680" i="5"/>
  <c r="I684" i="5"/>
  <c r="I688" i="5"/>
  <c r="I692" i="5"/>
  <c r="I749" i="5"/>
  <c r="H749" i="5"/>
  <c r="G749" i="5"/>
  <c r="F749" i="5"/>
  <c r="I757" i="5"/>
  <c r="H757" i="5"/>
  <c r="G757" i="5"/>
  <c r="F757" i="5"/>
  <c r="I765" i="5"/>
  <c r="H765" i="5"/>
  <c r="G765" i="5"/>
  <c r="F765" i="5"/>
  <c r="I773" i="5"/>
  <c r="H773" i="5"/>
  <c r="G773" i="5"/>
  <c r="F773" i="5"/>
  <c r="I781" i="5"/>
  <c r="H781" i="5"/>
  <c r="G781" i="5"/>
  <c r="F781" i="5"/>
  <c r="I789" i="5"/>
  <c r="H789" i="5"/>
  <c r="G789" i="5"/>
  <c r="F789" i="5"/>
  <c r="I797" i="5"/>
  <c r="H797" i="5"/>
  <c r="G797" i="5"/>
  <c r="F797" i="5"/>
  <c r="I810" i="5"/>
  <c r="H810" i="5"/>
  <c r="F810" i="5"/>
  <c r="I820" i="5"/>
  <c r="H820" i="5"/>
  <c r="G820" i="5"/>
  <c r="F820" i="5"/>
  <c r="F595" i="5"/>
  <c r="F596" i="5"/>
  <c r="F597" i="5"/>
  <c r="F598" i="5"/>
  <c r="F599" i="5"/>
  <c r="F600" i="5"/>
  <c r="F601" i="5"/>
  <c r="F700" i="5"/>
  <c r="I722" i="5"/>
  <c r="H722" i="5"/>
  <c r="I733" i="5"/>
  <c r="H733" i="5"/>
  <c r="G733" i="5"/>
  <c r="F733" i="5"/>
  <c r="I738" i="5"/>
  <c r="H738" i="5"/>
  <c r="I805" i="5"/>
  <c r="H805" i="5"/>
  <c r="G805" i="5"/>
  <c r="F805" i="5"/>
  <c r="I833" i="5"/>
  <c r="H833" i="5"/>
  <c r="G833" i="5"/>
  <c r="F833" i="5"/>
  <c r="L23" i="6"/>
  <c r="I702" i="5"/>
  <c r="H702" i="5"/>
  <c r="I706" i="5"/>
  <c r="H706" i="5"/>
  <c r="I710" i="5"/>
  <c r="H710" i="5"/>
  <c r="I714" i="5"/>
  <c r="H714" i="5"/>
  <c r="I718" i="5"/>
  <c r="H718" i="5"/>
  <c r="I750" i="5"/>
  <c r="H750" i="5"/>
  <c r="F750" i="5"/>
  <c r="I758" i="5"/>
  <c r="H758" i="5"/>
  <c r="F758" i="5"/>
  <c r="I766" i="5"/>
  <c r="H766" i="5"/>
  <c r="F766" i="5"/>
  <c r="I774" i="5"/>
  <c r="H774" i="5"/>
  <c r="F774" i="5"/>
  <c r="I782" i="5"/>
  <c r="H782" i="5"/>
  <c r="F782" i="5"/>
  <c r="I790" i="5"/>
  <c r="H790" i="5"/>
  <c r="F790" i="5"/>
  <c r="I798" i="5"/>
  <c r="H798" i="5"/>
  <c r="F798" i="5"/>
  <c r="I824" i="5"/>
  <c r="H824" i="5"/>
  <c r="G824" i="5"/>
  <c r="F824" i="5"/>
  <c r="F843" i="5"/>
  <c r="I843" i="5"/>
  <c r="H843" i="5"/>
  <c r="G843" i="5"/>
  <c r="I888" i="5"/>
  <c r="H888" i="5"/>
  <c r="G888" i="5"/>
  <c r="F888" i="5"/>
  <c r="I896" i="5"/>
  <c r="H896" i="5"/>
  <c r="G896" i="5"/>
  <c r="F896" i="5"/>
  <c r="F636" i="5"/>
  <c r="F644" i="5"/>
  <c r="F652" i="5"/>
  <c r="F660" i="5"/>
  <c r="G682" i="5"/>
  <c r="G686" i="5"/>
  <c r="G690" i="5"/>
  <c r="G694" i="5"/>
  <c r="G697" i="5"/>
  <c r="I700" i="5"/>
  <c r="F702" i="5"/>
  <c r="I704" i="5"/>
  <c r="H704" i="5"/>
  <c r="G704" i="5"/>
  <c r="F704" i="5"/>
  <c r="F706" i="5"/>
  <c r="I708" i="5"/>
  <c r="H708" i="5"/>
  <c r="G708" i="5"/>
  <c r="F708" i="5"/>
  <c r="F710" i="5"/>
  <c r="I712" i="5"/>
  <c r="H712" i="5"/>
  <c r="G712" i="5"/>
  <c r="F712" i="5"/>
  <c r="F714" i="5"/>
  <c r="I716" i="5"/>
  <c r="H716" i="5"/>
  <c r="G716" i="5"/>
  <c r="F716" i="5"/>
  <c r="F718" i="5"/>
  <c r="G722" i="5"/>
  <c r="I729" i="5"/>
  <c r="H729" i="5"/>
  <c r="G729" i="5"/>
  <c r="F729" i="5"/>
  <c r="I734" i="5"/>
  <c r="H734" i="5"/>
  <c r="G738" i="5"/>
  <c r="I745" i="5"/>
  <c r="H745" i="5"/>
  <c r="G745" i="5"/>
  <c r="F745" i="5"/>
  <c r="G750" i="5"/>
  <c r="G758" i="5"/>
  <c r="G766" i="5"/>
  <c r="G774" i="5"/>
  <c r="G782" i="5"/>
  <c r="G790" i="5"/>
  <c r="G798" i="5"/>
  <c r="I806" i="5"/>
  <c r="H806" i="5"/>
  <c r="F806" i="5"/>
  <c r="I813" i="5"/>
  <c r="H813" i="5"/>
  <c r="G813" i="5"/>
  <c r="F813" i="5"/>
  <c r="I818" i="5"/>
  <c r="H818" i="5"/>
  <c r="G818" i="5"/>
  <c r="F818" i="5"/>
  <c r="F927" i="5"/>
  <c r="I927" i="5"/>
  <c r="H927" i="5"/>
  <c r="G927" i="5"/>
  <c r="F945" i="5"/>
  <c r="I945" i="5"/>
  <c r="H945" i="5"/>
  <c r="G945" i="5"/>
  <c r="I636" i="5"/>
  <c r="I644" i="5"/>
  <c r="I652" i="5"/>
  <c r="I660" i="5"/>
  <c r="I725" i="5"/>
  <c r="H725" i="5"/>
  <c r="G725" i="5"/>
  <c r="F725" i="5"/>
  <c r="I730" i="5"/>
  <c r="H730" i="5"/>
  <c r="G734" i="5"/>
  <c r="I741" i="5"/>
  <c r="H741" i="5"/>
  <c r="G741" i="5"/>
  <c r="F741" i="5"/>
  <c r="I746" i="5"/>
  <c r="H746" i="5"/>
  <c r="I822" i="5"/>
  <c r="H822" i="5"/>
  <c r="G822" i="5"/>
  <c r="F822" i="5"/>
  <c r="I835" i="5"/>
  <c r="H835" i="5"/>
  <c r="G835" i="5"/>
  <c r="F835" i="5"/>
  <c r="F941" i="5"/>
  <c r="I941" i="5"/>
  <c r="H941" i="5"/>
  <c r="G941" i="5"/>
  <c r="I816" i="5"/>
  <c r="H816" i="5"/>
  <c r="I830" i="5"/>
  <c r="H830" i="5"/>
  <c r="G830" i="5"/>
  <c r="H849" i="5"/>
  <c r="F849" i="5"/>
  <c r="I849" i="5"/>
  <c r="G849" i="5"/>
  <c r="G816" i="5"/>
  <c r="F836" i="5"/>
  <c r="I836" i="5"/>
  <c r="H836" i="5"/>
  <c r="I893" i="5"/>
  <c r="H893" i="5"/>
  <c r="G893" i="5"/>
  <c r="F893" i="5"/>
  <c r="I720" i="5"/>
  <c r="H720" i="5"/>
  <c r="I724" i="5"/>
  <c r="H724" i="5"/>
  <c r="I728" i="5"/>
  <c r="H728" i="5"/>
  <c r="I732" i="5"/>
  <c r="H732" i="5"/>
  <c r="I736" i="5"/>
  <c r="H736" i="5"/>
  <c r="I740" i="5"/>
  <c r="H740" i="5"/>
  <c r="I744" i="5"/>
  <c r="H744" i="5"/>
  <c r="I748" i="5"/>
  <c r="H748" i="5"/>
  <c r="I752" i="5"/>
  <c r="H752" i="5"/>
  <c r="I756" i="5"/>
  <c r="H756" i="5"/>
  <c r="I760" i="5"/>
  <c r="H760" i="5"/>
  <c r="I764" i="5"/>
  <c r="H764" i="5"/>
  <c r="I768" i="5"/>
  <c r="H768" i="5"/>
  <c r="I772" i="5"/>
  <c r="H772" i="5"/>
  <c r="I776" i="5"/>
  <c r="H776" i="5"/>
  <c r="I780" i="5"/>
  <c r="H780" i="5"/>
  <c r="I784" i="5"/>
  <c r="H784" i="5"/>
  <c r="I788" i="5"/>
  <c r="H788" i="5"/>
  <c r="I792" i="5"/>
  <c r="H792" i="5"/>
  <c r="I796" i="5"/>
  <c r="H796" i="5"/>
  <c r="I800" i="5"/>
  <c r="H800" i="5"/>
  <c r="I804" i="5"/>
  <c r="H804" i="5"/>
  <c r="I808" i="5"/>
  <c r="H808" i="5"/>
  <c r="I812" i="5"/>
  <c r="H812" i="5"/>
  <c r="I815" i="5"/>
  <c r="H815" i="5"/>
  <c r="I831" i="5"/>
  <c r="H831" i="5"/>
  <c r="G831" i="5"/>
  <c r="F844" i="5"/>
  <c r="I844" i="5"/>
  <c r="H844" i="5"/>
  <c r="I904" i="5"/>
  <c r="H904" i="5"/>
  <c r="G904" i="5"/>
  <c r="F904" i="5"/>
  <c r="F920" i="5"/>
  <c r="I920" i="5"/>
  <c r="H920" i="5"/>
  <c r="G920" i="5"/>
  <c r="F720" i="5"/>
  <c r="F724" i="5"/>
  <c r="F728" i="5"/>
  <c r="F732" i="5"/>
  <c r="F736" i="5"/>
  <c r="F740" i="5"/>
  <c r="F744" i="5"/>
  <c r="F748" i="5"/>
  <c r="F752" i="5"/>
  <c r="F756" i="5"/>
  <c r="F760" i="5"/>
  <c r="F764" i="5"/>
  <c r="F768" i="5"/>
  <c r="F772" i="5"/>
  <c r="F776" i="5"/>
  <c r="F780" i="5"/>
  <c r="F784" i="5"/>
  <c r="F788" i="5"/>
  <c r="F792" i="5"/>
  <c r="F796" i="5"/>
  <c r="F800" i="5"/>
  <c r="I834" i="5"/>
  <c r="H834" i="5"/>
  <c r="G834" i="5"/>
  <c r="H857" i="5"/>
  <c r="F857" i="5"/>
  <c r="I857" i="5"/>
  <c r="G857" i="5"/>
  <c r="H860" i="5"/>
  <c r="G860" i="5"/>
  <c r="F860" i="5"/>
  <c r="I860" i="5"/>
  <c r="H863" i="5"/>
  <c r="G863" i="5"/>
  <c r="F863" i="5"/>
  <c r="H868" i="5"/>
  <c r="G868" i="5"/>
  <c r="F868" i="5"/>
  <c r="I868" i="5"/>
  <c r="H871" i="5"/>
  <c r="G871" i="5"/>
  <c r="F871" i="5"/>
  <c r="H876" i="5"/>
  <c r="G876" i="5"/>
  <c r="F876" i="5"/>
  <c r="I876" i="5"/>
  <c r="I901" i="5"/>
  <c r="H901" i="5"/>
  <c r="G901" i="5"/>
  <c r="F901" i="5"/>
  <c r="F912" i="5"/>
  <c r="I912" i="5"/>
  <c r="H912" i="5"/>
  <c r="I703" i="5"/>
  <c r="H703" i="5"/>
  <c r="I707" i="5"/>
  <c r="H707" i="5"/>
  <c r="I711" i="5"/>
  <c r="H711" i="5"/>
  <c r="I715" i="5"/>
  <c r="H715" i="5"/>
  <c r="I719" i="5"/>
  <c r="H719" i="5"/>
  <c r="G720" i="5"/>
  <c r="I723" i="5"/>
  <c r="H723" i="5"/>
  <c r="G724" i="5"/>
  <c r="I727" i="5"/>
  <c r="H727" i="5"/>
  <c r="G728" i="5"/>
  <c r="I731" i="5"/>
  <c r="H731" i="5"/>
  <c r="G732" i="5"/>
  <c r="I735" i="5"/>
  <c r="H735" i="5"/>
  <c r="G736" i="5"/>
  <c r="I739" i="5"/>
  <c r="H739" i="5"/>
  <c r="G740" i="5"/>
  <c r="I743" i="5"/>
  <c r="H743" i="5"/>
  <c r="G744" i="5"/>
  <c r="I747" i="5"/>
  <c r="H747" i="5"/>
  <c r="G748" i="5"/>
  <c r="I751" i="5"/>
  <c r="H751" i="5"/>
  <c r="G752" i="5"/>
  <c r="I755" i="5"/>
  <c r="H755" i="5"/>
  <c r="G756" i="5"/>
  <c r="I759" i="5"/>
  <c r="H759" i="5"/>
  <c r="G760" i="5"/>
  <c r="I763" i="5"/>
  <c r="H763" i="5"/>
  <c r="G764" i="5"/>
  <c r="I767" i="5"/>
  <c r="H767" i="5"/>
  <c r="G768" i="5"/>
  <c r="I771" i="5"/>
  <c r="H771" i="5"/>
  <c r="G772" i="5"/>
  <c r="I775" i="5"/>
  <c r="H775" i="5"/>
  <c r="G776" i="5"/>
  <c r="I779" i="5"/>
  <c r="H779" i="5"/>
  <c r="G780" i="5"/>
  <c r="I783" i="5"/>
  <c r="H783" i="5"/>
  <c r="G784" i="5"/>
  <c r="I787" i="5"/>
  <c r="H787" i="5"/>
  <c r="G788" i="5"/>
  <c r="I791" i="5"/>
  <c r="H791" i="5"/>
  <c r="G792" i="5"/>
  <c r="I795" i="5"/>
  <c r="H795" i="5"/>
  <c r="G796" i="5"/>
  <c r="I799" i="5"/>
  <c r="H799" i="5"/>
  <c r="G800" i="5"/>
  <c r="I803" i="5"/>
  <c r="H803" i="5"/>
  <c r="G804" i="5"/>
  <c r="I807" i="5"/>
  <c r="H807" i="5"/>
  <c r="G808" i="5"/>
  <c r="I811" i="5"/>
  <c r="H811" i="5"/>
  <c r="G812" i="5"/>
  <c r="G815" i="5"/>
  <c r="I817" i="5"/>
  <c r="H817" i="5"/>
  <c r="I819" i="5"/>
  <c r="H819" i="5"/>
  <c r="I821" i="5"/>
  <c r="H821" i="5"/>
  <c r="I823" i="5"/>
  <c r="H823" i="5"/>
  <c r="I825" i="5"/>
  <c r="H825" i="5"/>
  <c r="I827" i="5"/>
  <c r="H827" i="5"/>
  <c r="I829" i="5"/>
  <c r="H829" i="5"/>
  <c r="G829" i="5"/>
  <c r="F834" i="5"/>
  <c r="I863" i="5"/>
  <c r="I871" i="5"/>
  <c r="G912" i="5"/>
  <c r="F949" i="5"/>
  <c r="I949" i="5"/>
  <c r="H949" i="5"/>
  <c r="G949" i="5"/>
  <c r="F703" i="5"/>
  <c r="F707" i="5"/>
  <c r="F711" i="5"/>
  <c r="F715" i="5"/>
  <c r="F719" i="5"/>
  <c r="F723" i="5"/>
  <c r="F727" i="5"/>
  <c r="F731" i="5"/>
  <c r="F735" i="5"/>
  <c r="F739" i="5"/>
  <c r="F743" i="5"/>
  <c r="F747" i="5"/>
  <c r="F751" i="5"/>
  <c r="F755" i="5"/>
  <c r="F759" i="5"/>
  <c r="F763" i="5"/>
  <c r="F767" i="5"/>
  <c r="F771" i="5"/>
  <c r="F775" i="5"/>
  <c r="F779" i="5"/>
  <c r="F783" i="5"/>
  <c r="F787" i="5"/>
  <c r="F791" i="5"/>
  <c r="F795" i="5"/>
  <c r="F799" i="5"/>
  <c r="F803" i="5"/>
  <c r="F807" i="5"/>
  <c r="F811" i="5"/>
  <c r="I814" i="5"/>
  <c r="H814" i="5"/>
  <c r="F817" i="5"/>
  <c r="F819" i="5"/>
  <c r="F821" i="5"/>
  <c r="F823" i="5"/>
  <c r="F825" i="5"/>
  <c r="F827" i="5"/>
  <c r="F829" i="5"/>
  <c r="I832" i="5"/>
  <c r="H832" i="5"/>
  <c r="G832" i="5"/>
  <c r="H853" i="5"/>
  <c r="F853" i="5"/>
  <c r="I853" i="5"/>
  <c r="G853" i="5"/>
  <c r="I909" i="5"/>
  <c r="H909" i="5"/>
  <c r="G909" i="5"/>
  <c r="F909" i="5"/>
  <c r="H865" i="5"/>
  <c r="G865" i="5"/>
  <c r="F865" i="5"/>
  <c r="H873" i="5"/>
  <c r="G873" i="5"/>
  <c r="F873" i="5"/>
  <c r="I878" i="5"/>
  <c r="H878" i="5"/>
  <c r="G878" i="5"/>
  <c r="F878" i="5"/>
  <c r="I880" i="5"/>
  <c r="H880" i="5"/>
  <c r="G880" i="5"/>
  <c r="F880" i="5"/>
  <c r="I882" i="5"/>
  <c r="H882" i="5"/>
  <c r="G882" i="5"/>
  <c r="F882" i="5"/>
  <c r="I884" i="5"/>
  <c r="H884" i="5"/>
  <c r="G884" i="5"/>
  <c r="F884" i="5"/>
  <c r="I886" i="5"/>
  <c r="H886" i="5"/>
  <c r="G886" i="5"/>
  <c r="F886" i="5"/>
  <c r="I891" i="5"/>
  <c r="H891" i="5"/>
  <c r="G891" i="5"/>
  <c r="F891" i="5"/>
  <c r="I899" i="5"/>
  <c r="H899" i="5"/>
  <c r="G899" i="5"/>
  <c r="F899" i="5"/>
  <c r="I907" i="5"/>
  <c r="H907" i="5"/>
  <c r="G907" i="5"/>
  <c r="F907" i="5"/>
  <c r="I998" i="5"/>
  <c r="H998" i="5"/>
  <c r="G998" i="5"/>
  <c r="F998" i="5"/>
  <c r="G842" i="5"/>
  <c r="H848" i="5"/>
  <c r="F848" i="5"/>
  <c r="H852" i="5"/>
  <c r="F852" i="5"/>
  <c r="H856" i="5"/>
  <c r="F856" i="5"/>
  <c r="H862" i="5"/>
  <c r="G862" i="5"/>
  <c r="F862" i="5"/>
  <c r="I865" i="5"/>
  <c r="H870" i="5"/>
  <c r="G870" i="5"/>
  <c r="F870" i="5"/>
  <c r="I873" i="5"/>
  <c r="I894" i="5"/>
  <c r="H894" i="5"/>
  <c r="G894" i="5"/>
  <c r="F894" i="5"/>
  <c r="I902" i="5"/>
  <c r="H902" i="5"/>
  <c r="G902" i="5"/>
  <c r="F902" i="5"/>
  <c r="I910" i="5"/>
  <c r="H910" i="5"/>
  <c r="G910" i="5"/>
  <c r="F910" i="5"/>
  <c r="F928" i="5"/>
  <c r="I928" i="5"/>
  <c r="H928" i="5"/>
  <c r="F935" i="5"/>
  <c r="I935" i="5"/>
  <c r="H935" i="5"/>
  <c r="G935" i="5"/>
  <c r="G841" i="5"/>
  <c r="H842" i="5"/>
  <c r="G848" i="5"/>
  <c r="G852" i="5"/>
  <c r="G856" i="5"/>
  <c r="H859" i="5"/>
  <c r="G859" i="5"/>
  <c r="F859" i="5"/>
  <c r="I862" i="5"/>
  <c r="H867" i="5"/>
  <c r="G867" i="5"/>
  <c r="F867" i="5"/>
  <c r="I870" i="5"/>
  <c r="H875" i="5"/>
  <c r="G875" i="5"/>
  <c r="F875" i="5"/>
  <c r="I889" i="5"/>
  <c r="H889" i="5"/>
  <c r="G889" i="5"/>
  <c r="F889" i="5"/>
  <c r="I897" i="5"/>
  <c r="H897" i="5"/>
  <c r="G897" i="5"/>
  <c r="F897" i="5"/>
  <c r="I905" i="5"/>
  <c r="H905" i="5"/>
  <c r="G905" i="5"/>
  <c r="F905" i="5"/>
  <c r="G928" i="5"/>
  <c r="I967" i="5"/>
  <c r="H967" i="5"/>
  <c r="G967" i="5"/>
  <c r="I975" i="5"/>
  <c r="H975" i="5"/>
  <c r="G975" i="5"/>
  <c r="J50" i="6"/>
  <c r="J66" i="6"/>
  <c r="G840" i="5"/>
  <c r="H841" i="5"/>
  <c r="I842" i="5"/>
  <c r="H847" i="5"/>
  <c r="F847" i="5"/>
  <c r="I848" i="5"/>
  <c r="H851" i="5"/>
  <c r="F851" i="5"/>
  <c r="I852" i="5"/>
  <c r="H855" i="5"/>
  <c r="F855" i="5"/>
  <c r="I856" i="5"/>
  <c r="I859" i="5"/>
  <c r="H864" i="5"/>
  <c r="G864" i="5"/>
  <c r="F864" i="5"/>
  <c r="I867" i="5"/>
  <c r="H872" i="5"/>
  <c r="G872" i="5"/>
  <c r="F872" i="5"/>
  <c r="I875" i="5"/>
  <c r="I892" i="5"/>
  <c r="H892" i="5"/>
  <c r="G892" i="5"/>
  <c r="F892" i="5"/>
  <c r="I900" i="5"/>
  <c r="H900" i="5"/>
  <c r="G900" i="5"/>
  <c r="F900" i="5"/>
  <c r="I908" i="5"/>
  <c r="H908" i="5"/>
  <c r="G908" i="5"/>
  <c r="F908" i="5"/>
  <c r="F936" i="5"/>
  <c r="I936" i="5"/>
  <c r="H936" i="5"/>
  <c r="F952" i="5"/>
  <c r="I952" i="5"/>
  <c r="H952" i="5"/>
  <c r="F967" i="5"/>
  <c r="F975" i="5"/>
  <c r="H861" i="5"/>
  <c r="G861" i="5"/>
  <c r="F861" i="5"/>
  <c r="H869" i="5"/>
  <c r="G869" i="5"/>
  <c r="F869" i="5"/>
  <c r="I877" i="5"/>
  <c r="H877" i="5"/>
  <c r="G877" i="5"/>
  <c r="F877" i="5"/>
  <c r="I879" i="5"/>
  <c r="H879" i="5"/>
  <c r="G879" i="5"/>
  <c r="F879" i="5"/>
  <c r="I881" i="5"/>
  <c r="H881" i="5"/>
  <c r="G881" i="5"/>
  <c r="F881" i="5"/>
  <c r="I883" i="5"/>
  <c r="H883" i="5"/>
  <c r="G883" i="5"/>
  <c r="F883" i="5"/>
  <c r="I885" i="5"/>
  <c r="H885" i="5"/>
  <c r="G885" i="5"/>
  <c r="F885" i="5"/>
  <c r="I887" i="5"/>
  <c r="H887" i="5"/>
  <c r="G887" i="5"/>
  <c r="F887" i="5"/>
  <c r="I895" i="5"/>
  <c r="H895" i="5"/>
  <c r="G895" i="5"/>
  <c r="F895" i="5"/>
  <c r="I903" i="5"/>
  <c r="H903" i="5"/>
  <c r="G903" i="5"/>
  <c r="F903" i="5"/>
  <c r="F911" i="5"/>
  <c r="I911" i="5"/>
  <c r="H911" i="5"/>
  <c r="G911" i="5"/>
  <c r="I994" i="5"/>
  <c r="H994" i="5"/>
  <c r="G994" i="5"/>
  <c r="F994" i="5"/>
  <c r="H43" i="6"/>
  <c r="G43" i="6"/>
  <c r="H850" i="5"/>
  <c r="F850" i="5"/>
  <c r="H854" i="5"/>
  <c r="F854" i="5"/>
  <c r="H858" i="5"/>
  <c r="G858" i="5"/>
  <c r="F858" i="5"/>
  <c r="H866" i="5"/>
  <c r="G866" i="5"/>
  <c r="F866" i="5"/>
  <c r="H874" i="5"/>
  <c r="G874" i="5"/>
  <c r="F874" i="5"/>
  <c r="I890" i="5"/>
  <c r="H890" i="5"/>
  <c r="G890" i="5"/>
  <c r="F890" i="5"/>
  <c r="I898" i="5"/>
  <c r="H898" i="5"/>
  <c r="G898" i="5"/>
  <c r="F898" i="5"/>
  <c r="I906" i="5"/>
  <c r="H906" i="5"/>
  <c r="G906" i="5"/>
  <c r="F906" i="5"/>
  <c r="F919" i="5"/>
  <c r="I919" i="5"/>
  <c r="H919" i="5"/>
  <c r="G919" i="5"/>
  <c r="I971" i="5"/>
  <c r="H971" i="5"/>
  <c r="G971" i="5"/>
  <c r="J30" i="6"/>
  <c r="I937" i="5"/>
  <c r="I990" i="5"/>
  <c r="H990" i="5"/>
  <c r="G990" i="5"/>
  <c r="F990" i="5"/>
  <c r="I999" i="5"/>
  <c r="H999" i="5"/>
  <c r="H49" i="6"/>
  <c r="G49" i="6"/>
  <c r="H57" i="6"/>
  <c r="G57" i="6"/>
  <c r="G918" i="5"/>
  <c r="G926" i="5"/>
  <c r="G934" i="5"/>
  <c r="G940" i="5"/>
  <c r="G944" i="5"/>
  <c r="G948" i="5"/>
  <c r="G954" i="5"/>
  <c r="I986" i="5"/>
  <c r="H986" i="5"/>
  <c r="G986" i="5"/>
  <c r="F986" i="5"/>
  <c r="I995" i="5"/>
  <c r="H995" i="5"/>
  <c r="F999" i="5"/>
  <c r="J56" i="6"/>
  <c r="I56" i="6"/>
  <c r="K56" i="6" s="1"/>
  <c r="H65" i="6"/>
  <c r="G65" i="6"/>
  <c r="G917" i="5"/>
  <c r="I982" i="5"/>
  <c r="H982" i="5"/>
  <c r="G982" i="5"/>
  <c r="F982" i="5"/>
  <c r="I991" i="5"/>
  <c r="H991" i="5"/>
  <c r="G932" i="5"/>
  <c r="I966" i="5"/>
  <c r="H966" i="5"/>
  <c r="G966" i="5"/>
  <c r="I970" i="5"/>
  <c r="H970" i="5"/>
  <c r="G970" i="5"/>
  <c r="I978" i="5"/>
  <c r="H978" i="5"/>
  <c r="G978" i="5"/>
  <c r="F978" i="5"/>
  <c r="I987" i="5"/>
  <c r="H987" i="5"/>
  <c r="F991" i="5"/>
  <c r="I55" i="6"/>
  <c r="K55" i="6" s="1"/>
  <c r="J55" i="6"/>
  <c r="J80" i="6"/>
  <c r="G915" i="5"/>
  <c r="G923" i="5"/>
  <c r="G953" i="5"/>
  <c r="F966" i="5"/>
  <c r="F970" i="5"/>
  <c r="I974" i="5"/>
  <c r="H974" i="5"/>
  <c r="G974" i="5"/>
  <c r="F974" i="5"/>
  <c r="I983" i="5"/>
  <c r="H983" i="5"/>
  <c r="F987" i="5"/>
  <c r="G991" i="5"/>
  <c r="H27" i="6"/>
  <c r="G27" i="6"/>
  <c r="G914" i="5"/>
  <c r="H915" i="5"/>
  <c r="I916" i="5"/>
  <c r="G922" i="5"/>
  <c r="H923" i="5"/>
  <c r="I924" i="5"/>
  <c r="G930" i="5"/>
  <c r="H931" i="5"/>
  <c r="I932" i="5"/>
  <c r="G938" i="5"/>
  <c r="I939" i="5"/>
  <c r="G942" i="5"/>
  <c r="I943" i="5"/>
  <c r="G946" i="5"/>
  <c r="I947" i="5"/>
  <c r="G950" i="5"/>
  <c r="H953" i="5"/>
  <c r="I979" i="5"/>
  <c r="H979" i="5"/>
  <c r="G987" i="5"/>
  <c r="H31" i="6"/>
  <c r="G31" i="6"/>
  <c r="H37" i="6"/>
  <c r="G37" i="6"/>
  <c r="J44" i="6"/>
  <c r="H33" i="6"/>
  <c r="G33" i="6"/>
  <c r="J60" i="6"/>
  <c r="I965" i="5"/>
  <c r="H965" i="5"/>
  <c r="I969" i="5"/>
  <c r="H969" i="5"/>
  <c r="I973" i="5"/>
  <c r="H973" i="5"/>
  <c r="I977" i="5"/>
  <c r="H977" i="5"/>
  <c r="I981" i="5"/>
  <c r="H981" i="5"/>
  <c r="I985" i="5"/>
  <c r="H985" i="5"/>
  <c r="I989" i="5"/>
  <c r="H989" i="5"/>
  <c r="I993" i="5"/>
  <c r="H993" i="5"/>
  <c r="I997" i="5"/>
  <c r="H997" i="5"/>
  <c r="H39" i="6"/>
  <c r="G39" i="6"/>
  <c r="F965" i="5"/>
  <c r="F969" i="5"/>
  <c r="F973" i="5"/>
  <c r="F977" i="5"/>
  <c r="F981" i="5"/>
  <c r="F985" i="5"/>
  <c r="F989" i="5"/>
  <c r="F993" i="5"/>
  <c r="F997" i="5"/>
  <c r="H29" i="6"/>
  <c r="G29" i="6"/>
  <c r="I32" i="6"/>
  <c r="K32" i="6" s="1"/>
  <c r="J59" i="6"/>
  <c r="I964" i="5"/>
  <c r="H964" i="5"/>
  <c r="G965" i="5"/>
  <c r="I968" i="5"/>
  <c r="H968" i="5"/>
  <c r="G969" i="5"/>
  <c r="I972" i="5"/>
  <c r="H972" i="5"/>
  <c r="G973" i="5"/>
  <c r="I976" i="5"/>
  <c r="H976" i="5"/>
  <c r="G977" i="5"/>
  <c r="I980" i="5"/>
  <c r="H980" i="5"/>
  <c r="G981" i="5"/>
  <c r="I984" i="5"/>
  <c r="H984" i="5"/>
  <c r="G985" i="5"/>
  <c r="I988" i="5"/>
  <c r="H988" i="5"/>
  <c r="G989" i="5"/>
  <c r="I992" i="5"/>
  <c r="H992" i="5"/>
  <c r="G993" i="5"/>
  <c r="I996" i="5"/>
  <c r="H996" i="5"/>
  <c r="G997" i="5"/>
  <c r="I1000" i="5"/>
  <c r="H1000" i="5"/>
  <c r="H35" i="6"/>
  <c r="G35" i="6"/>
  <c r="I38" i="6"/>
  <c r="K38" i="6" s="1"/>
  <c r="J83" i="6"/>
  <c r="I83" i="6"/>
  <c r="K83" i="6" s="1"/>
  <c r="J86" i="6"/>
  <c r="F964" i="5"/>
  <c r="F968" i="5"/>
  <c r="L22" i="6"/>
  <c r="H41" i="6"/>
  <c r="G41" i="6"/>
  <c r="J45" i="6"/>
  <c r="H47" i="6"/>
  <c r="G47" i="6"/>
  <c r="H63" i="6"/>
  <c r="G63" i="6"/>
  <c r="J70" i="6"/>
  <c r="J99" i="6"/>
  <c r="J111" i="6"/>
  <c r="J81" i="6"/>
  <c r="J87" i="6"/>
  <c r="I87" i="6"/>
  <c r="K87" i="6" s="1"/>
  <c r="J112" i="6"/>
  <c r="J109" i="6" l="1"/>
  <c r="J93" i="6"/>
  <c r="I95" i="6"/>
  <c r="K95" i="6" s="1"/>
  <c r="I69" i="6"/>
  <c r="K69" i="6" s="1"/>
  <c r="J79" i="6"/>
  <c r="I105" i="6"/>
  <c r="K105" i="6" s="1"/>
  <c r="I84" i="6"/>
  <c r="K84" i="6" s="1"/>
  <c r="I103" i="6"/>
  <c r="K103" i="6" s="1"/>
  <c r="I73" i="6"/>
  <c r="K73" i="6" s="1"/>
  <c r="J101" i="6"/>
  <c r="I107" i="6"/>
  <c r="K107" i="6" s="1"/>
  <c r="I76" i="6"/>
  <c r="K76" i="6" s="1"/>
  <c r="J61" i="6"/>
  <c r="I91" i="6"/>
  <c r="K91" i="6" s="1"/>
  <c r="I26" i="6"/>
  <c r="K26" i="6" s="1"/>
  <c r="J53" i="6"/>
  <c r="I40" i="6"/>
  <c r="K40" i="6" s="1"/>
  <c r="I54" i="6"/>
  <c r="K54" i="6" s="1"/>
  <c r="I75" i="6"/>
  <c r="K75" i="6" s="1"/>
  <c r="I89" i="6"/>
  <c r="K89" i="6" s="1"/>
  <c r="I77" i="6"/>
  <c r="K77" i="6" s="1"/>
  <c r="I85" i="6"/>
  <c r="K85" i="6" s="1"/>
  <c r="H27" i="2"/>
  <c r="I28" i="6"/>
  <c r="K28" i="6" s="1"/>
  <c r="I71" i="6"/>
  <c r="K71" i="6" s="1"/>
  <c r="I29" i="2"/>
  <c r="C29" i="2"/>
  <c r="D29" i="2"/>
  <c r="E29" i="2" s="1"/>
  <c r="H29" i="2"/>
  <c r="I74" i="6"/>
  <c r="K74" i="6" s="1"/>
  <c r="I27" i="2"/>
  <c r="D27" i="2"/>
  <c r="E27" i="2" s="1"/>
  <c r="I36" i="6"/>
  <c r="K36" i="6" s="1"/>
  <c r="C27" i="2"/>
  <c r="I110" i="6"/>
  <c r="K110" i="6" s="1"/>
  <c r="G25" i="6"/>
  <c r="J25" i="6" s="1"/>
  <c r="B18" i="1" s="1"/>
  <c r="I96" i="6"/>
  <c r="K96" i="6" s="1"/>
  <c r="I100" i="6"/>
  <c r="K100" i="6" s="1"/>
  <c r="I102" i="6"/>
  <c r="K102" i="6" s="1"/>
  <c r="I97" i="6"/>
  <c r="K97" i="6" s="1"/>
  <c r="G17" i="6"/>
  <c r="C22" i="2" s="1"/>
  <c r="G13" i="6"/>
  <c r="G19" i="6"/>
  <c r="L19" i="6" s="1"/>
  <c r="G15" i="6"/>
  <c r="H19" i="6"/>
  <c r="G23" i="6"/>
  <c r="J23" i="6" s="1"/>
  <c r="G22" i="6"/>
  <c r="J22" i="6" s="1"/>
  <c r="H23" i="6"/>
  <c r="G21" i="6"/>
  <c r="L21" i="6" s="1"/>
  <c r="H25" i="6"/>
  <c r="I25" i="6" s="1"/>
  <c r="K25" i="6" s="1"/>
  <c r="C18" i="1" s="1"/>
  <c r="E18" i="1" s="1"/>
  <c r="H15" i="6"/>
  <c r="F20" i="2" s="1"/>
  <c r="G20" i="2" s="1"/>
  <c r="H16" i="6"/>
  <c r="F21" i="2" s="1"/>
  <c r="G21" i="2" s="1"/>
  <c r="H13" i="6"/>
  <c r="F18" i="2" s="1"/>
  <c r="I104" i="6"/>
  <c r="K104" i="6" s="1"/>
  <c r="H17" i="6"/>
  <c r="F22" i="2" s="1"/>
  <c r="G22" i="2" s="1"/>
  <c r="H21" i="6"/>
  <c r="I88" i="6"/>
  <c r="K88" i="6" s="1"/>
  <c r="I37" i="6"/>
  <c r="K37" i="6" s="1"/>
  <c r="J37" i="6"/>
  <c r="I57" i="6"/>
  <c r="K57" i="6" s="1"/>
  <c r="J57" i="6"/>
  <c r="C25" i="2"/>
  <c r="I25" i="2"/>
  <c r="H25" i="2"/>
  <c r="F25" i="2"/>
  <c r="G25" i="2" s="1"/>
  <c r="D25" i="2"/>
  <c r="E25" i="2" s="1"/>
  <c r="F31" i="2"/>
  <c r="G31" i="2" s="1"/>
  <c r="D31" i="2"/>
  <c r="E31" i="2" s="1"/>
  <c r="C31" i="2"/>
  <c r="I31" i="2"/>
  <c r="H31" i="2"/>
  <c r="H28" i="2"/>
  <c r="F28" i="2"/>
  <c r="G28" i="2" s="1"/>
  <c r="D28" i="2"/>
  <c r="E28" i="2" s="1"/>
  <c r="I28" i="2"/>
  <c r="C28" i="2"/>
  <c r="I41" i="6"/>
  <c r="K41" i="6" s="1"/>
  <c r="J41" i="6"/>
  <c r="I39" i="6"/>
  <c r="K39" i="6" s="1"/>
  <c r="J39" i="6"/>
  <c r="I31" i="6"/>
  <c r="K31" i="6" s="1"/>
  <c r="J31" i="6"/>
  <c r="I49" i="6"/>
  <c r="K49" i="6" s="1"/>
  <c r="J49" i="6"/>
  <c r="H14" i="6"/>
  <c r="F19" i="2" s="1"/>
  <c r="G19" i="2" s="1"/>
  <c r="H22" i="6"/>
  <c r="I29" i="6"/>
  <c r="K29" i="6" s="1"/>
  <c r="J29" i="6"/>
  <c r="I65" i="6"/>
  <c r="K65" i="6" s="1"/>
  <c r="J65" i="6"/>
  <c r="H30" i="2"/>
  <c r="F30" i="2"/>
  <c r="G30" i="2" s="1"/>
  <c r="D30" i="2"/>
  <c r="E30" i="2" s="1"/>
  <c r="C30" i="2"/>
  <c r="I30" i="2"/>
  <c r="D23" i="2"/>
  <c r="E23" i="2" s="1"/>
  <c r="C23" i="2"/>
  <c r="I23" i="2"/>
  <c r="H23" i="2"/>
  <c r="F23" i="2"/>
  <c r="G23" i="2" s="1"/>
  <c r="G20" i="6"/>
  <c r="G18" i="6"/>
  <c r="I63" i="6"/>
  <c r="K63" i="6" s="1"/>
  <c r="J63" i="6"/>
  <c r="H20" i="6"/>
  <c r="H18" i="6"/>
  <c r="I33" i="6"/>
  <c r="K33" i="6" s="1"/>
  <c r="J33" i="6"/>
  <c r="I43" i="6"/>
  <c r="K43" i="6" s="1"/>
  <c r="J43" i="6"/>
  <c r="I26" i="2"/>
  <c r="H26" i="2"/>
  <c r="F26" i="2"/>
  <c r="G26" i="2" s="1"/>
  <c r="D26" i="2"/>
  <c r="E26" i="2" s="1"/>
  <c r="C26" i="2"/>
  <c r="D24" i="2"/>
  <c r="E24" i="2" s="1"/>
  <c r="C24" i="2"/>
  <c r="I24" i="2"/>
  <c r="H24" i="2"/>
  <c r="F24" i="2"/>
  <c r="G24" i="2" s="1"/>
  <c r="G14" i="6"/>
  <c r="G24" i="6"/>
  <c r="I35" i="6"/>
  <c r="K35" i="6" s="1"/>
  <c r="J35" i="6"/>
  <c r="I27" i="6"/>
  <c r="K27" i="6" s="1"/>
  <c r="J27" i="6"/>
  <c r="F32" i="2"/>
  <c r="G32" i="2" s="1"/>
  <c r="D32" i="2"/>
  <c r="E32" i="2" s="1"/>
  <c r="H32" i="2"/>
  <c r="C32" i="2"/>
  <c r="I32" i="2"/>
  <c r="H24" i="6"/>
  <c r="I47" i="6"/>
  <c r="K47" i="6" s="1"/>
  <c r="J47" i="6"/>
  <c r="G16" i="6"/>
  <c r="I15" i="6" l="1"/>
  <c r="K15" i="6" s="1"/>
  <c r="L15" i="6"/>
  <c r="C20" i="2"/>
  <c r="J15" i="6"/>
  <c r="L25" i="6"/>
  <c r="I23" i="6"/>
  <c r="K23" i="6" s="1"/>
  <c r="L17" i="6"/>
  <c r="I21" i="6"/>
  <c r="K21" i="6" s="1"/>
  <c r="J21" i="6"/>
  <c r="I19" i="6"/>
  <c r="K19" i="6" s="1"/>
  <c r="C14" i="1" s="1"/>
  <c r="E14" i="1" s="1"/>
  <c r="I13" i="6"/>
  <c r="K13" i="6" s="1"/>
  <c r="I17" i="6"/>
  <c r="K17" i="6" s="1"/>
  <c r="I22" i="6"/>
  <c r="K22" i="6" s="1"/>
  <c r="J19" i="6"/>
  <c r="B14" i="1" s="1"/>
  <c r="J17" i="6"/>
  <c r="I33" i="2"/>
  <c r="G47" i="2" s="1"/>
  <c r="L13" i="6"/>
  <c r="C18" i="2"/>
  <c r="J13" i="6"/>
  <c r="G113" i="6"/>
  <c r="J20" i="6"/>
  <c r="I20" i="6"/>
  <c r="K20" i="6" s="1"/>
  <c r="L20" i="6"/>
  <c r="B16" i="1"/>
  <c r="I24" i="6"/>
  <c r="K24" i="6" s="1"/>
  <c r="C17" i="1" s="1"/>
  <c r="E17" i="1" s="1"/>
  <c r="J24" i="6"/>
  <c r="B17" i="1" s="1"/>
  <c r="L24" i="6"/>
  <c r="J14" i="6"/>
  <c r="I14" i="6"/>
  <c r="C19" i="2"/>
  <c r="L14" i="6"/>
  <c r="G18" i="2"/>
  <c r="G33" i="2" s="1"/>
  <c r="F33" i="2"/>
  <c r="C14" i="2" s="1"/>
  <c r="J16" i="6"/>
  <c r="I16" i="6"/>
  <c r="C21" i="2"/>
  <c r="L16" i="6"/>
  <c r="J18" i="6"/>
  <c r="B13" i="1" s="1"/>
  <c r="I18" i="6"/>
  <c r="K18" i="6" s="1"/>
  <c r="C13" i="1" s="1"/>
  <c r="E13" i="1" s="1"/>
  <c r="L18" i="6"/>
  <c r="H113" i="6"/>
  <c r="D20" i="2" l="1"/>
  <c r="E20" i="2" s="1"/>
  <c r="H20" i="2" s="1"/>
  <c r="D22" i="2"/>
  <c r="E22" i="2" s="1"/>
  <c r="H22" i="2" s="1"/>
  <c r="B15" i="1"/>
  <c r="C16" i="1"/>
  <c r="E16" i="1" s="1"/>
  <c r="C15" i="1"/>
  <c r="E15" i="1" s="1"/>
  <c r="D18" i="2"/>
  <c r="E18" i="2" s="1"/>
  <c r="J113" i="6"/>
  <c r="B12" i="1"/>
  <c r="C33" i="2"/>
  <c r="D14" i="2" s="1"/>
  <c r="K16" i="6"/>
  <c r="D21" i="2"/>
  <c r="E21" i="2" s="1"/>
  <c r="H21" i="2" s="1"/>
  <c r="I113" i="6"/>
  <c r="K14" i="6"/>
  <c r="D19" i="2"/>
  <c r="E19" i="2" s="1"/>
  <c r="H19" i="2" s="1"/>
  <c r="B19" i="1" l="1"/>
  <c r="K113" i="6"/>
  <c r="C12" i="1"/>
  <c r="E12" i="1" s="1"/>
  <c r="E19" i="1" s="1"/>
  <c r="E33" i="2"/>
  <c r="F14" i="2" s="1"/>
  <c r="H18" i="2"/>
  <c r="H33" i="2" s="1"/>
  <c r="D33" i="2"/>
  <c r="C19" i="1" l="1"/>
  <c r="G6" i="2"/>
  <c r="G46" i="2"/>
  <c r="E14" i="2"/>
  <c r="B14" i="2"/>
</calcChain>
</file>

<file path=xl/sharedStrings.xml><?xml version="1.0" encoding="utf-8"?>
<sst xmlns="http://schemas.openxmlformats.org/spreadsheetml/2006/main" count="1491" uniqueCount="894">
  <si>
    <t>SETTLEMENT STATEMENT</t>
  </si>
  <si>
    <t>LEVY • UNM ATHLETICS</t>
  </si>
  <si>
    <t>TOTAL PAYABLE</t>
  </si>
  <si>
    <t>EVENT DATE</t>
  </si>
  <si>
    <t>INVOICE</t>
  </si>
  <si>
    <t>PAYEE / NPO</t>
  </si>
  <si>
    <t>SAP ID</t>
  </si>
  <si>
    <t>BSS ID</t>
  </si>
  <si>
    <t>ARVC</t>
  </si>
  <si>
    <t>Controls: Event Date (B10) + Payee/NPO (E10). Location rows filter from EVENT ASSIGNMENT via CONTRACT CALC. Flow: SOURCE → CALCULATION → OUTPUT (never reverse).</t>
  </si>
  <si>
    <t>SALES COMMISSION (DONATION TO NPO): POS SALES</t>
  </si>
  <si>
    <t>NON-CALCULATED SALES DATA</t>
  </si>
  <si>
    <t>FOOD / NON-ALCOHOLIC</t>
  </si>
  <si>
    <t>ALCOHOL</t>
  </si>
  <si>
    <t>GROUP NET</t>
  </si>
  <si>
    <t>SALES TAX</t>
  </si>
  <si>
    <t>GROSS SALES</t>
  </si>
  <si>
    <t>LOCATION SERVICE DETAIL</t>
  </si>
  <si>
    <t>#</t>
  </si>
  <si>
    <t>SERVICE AREA</t>
  </si>
  <si>
    <t>NET SALES</t>
  </si>
  <si>
    <t>FOOD / NON-ALC
NET SALES</t>
  </si>
  <si>
    <t>10% FOOD / NON-ALC
COMMISSION</t>
  </si>
  <si>
    <t>ALCOHOL
NET SALES</t>
  </si>
  <si>
    <t>8% ALCOHOL
COMMISSION</t>
  </si>
  <si>
    <t>TOTAL
COMMISSION</t>
  </si>
  <si>
    <t>GRATUITIES</t>
  </si>
  <si>
    <t>TOTAL</t>
  </si>
  <si>
    <t>Location rows are filtered from EVENT ASSIGNMENT / CONTRACT CALC by Event Date + Payee. Location Total = Contractual Donation + Gratuities; commission rates are shown explicitly by sales category above.</t>
  </si>
  <si>
    <t>SUPPLEMENTAL PAYOUT:</t>
  </si>
  <si>
    <t>SETTLEMENT NOTES</t>
  </si>
  <si>
    <t>Sales Incentive</t>
  </si>
  <si>
    <t>Culinary - Cook Fee</t>
  </si>
  <si>
    <t>Minimum Donation</t>
  </si>
  <si>
    <t>Bonus (Other)</t>
  </si>
  <si>
    <t>Deductible POS Shortages</t>
  </si>
  <si>
    <t>Uniform / Staffing / Cleaning Fees</t>
  </si>
  <si>
    <t>INTERNAL AUTHORIZATION CHECK REQUEST</t>
  </si>
  <si>
    <t>INTERNAL - ACCOUNTING GL ENTRY - SUMMARY</t>
  </si>
  <si>
    <t>Abigail Tenorio</t>
  </si>
  <si>
    <t>Group Commission</t>
  </si>
  <si>
    <t>241 | 36127 | GL:611225</t>
  </si>
  <si>
    <t>Concessions Manager</t>
  </si>
  <si>
    <t>Gratuities</t>
  </si>
  <si>
    <t>241 | 36127 | GL:212113</t>
  </si>
  <si>
    <t>Ray Velasquez</t>
  </si>
  <si>
    <t>Misc. (to be reclassed)</t>
  </si>
  <si>
    <t>241 | 36127 | GL:673000</t>
  </si>
  <si>
    <t>Director of Operations</t>
  </si>
  <si>
    <t>Cleaning Fee - Expense</t>
  </si>
  <si>
    <t>241 | 36127 | GL:674102</t>
  </si>
  <si>
    <t>Evan E. Gonzales</t>
  </si>
  <si>
    <t>Finance Manager</t>
  </si>
  <si>
    <t>SUMMARY - NPO PAYOUT - AP</t>
  </si>
  <si>
    <t>PAYOUT EVENT DETAILS - SETUP</t>
  </si>
  <si>
    <t>Event Date:</t>
  </si>
  <si>
    <t>Event Day of  Week:</t>
  </si>
  <si>
    <t>Event Description:</t>
  </si>
  <si>
    <t>Football</t>
  </si>
  <si>
    <t>SUMMARY REPORT — ASSIGNMENT-DRIVEN</t>
  </si>
  <si>
    <t>NPO</t>
  </si>
  <si>
    <t>ASSIGNMENT SALES</t>
  </si>
  <si>
    <t>CONTRACT DONATION</t>
  </si>
  <si>
    <t>TIPS</t>
  </si>
  <si>
    <t>TOTAL PAYOUT*</t>
  </si>
  <si>
    <t>AIRFORCE</t>
  </si>
  <si>
    <t>UNITED FIT</t>
  </si>
  <si>
    <t>DCVA</t>
  </si>
  <si>
    <t>DEL N CHEER</t>
  </si>
  <si>
    <t>RIO GRANDE RGHS</t>
  </si>
  <si>
    <t>VICTORY OUTREACH</t>
  </si>
  <si>
    <t>VENDOR PAYOUT is the reusable settlement OUTPUT controlled by Event Date + Payee/NPO. Update source data, select Event + Payee on VENDOR PAYOUT, review, export PDF. One-way only: SOURCE → CALCULATION → OUTPUT.</t>
  </si>
  <si>
    <t>SETUP - STAND LOCATIONS</t>
  </si>
  <si>
    <t>STAND ID</t>
  </si>
  <si>
    <t>STAND DESCRIPTION</t>
  </si>
  <si>
    <t>BASEBALL</t>
  </si>
  <si>
    <t>TRAILER</t>
  </si>
  <si>
    <t>baseball</t>
  </si>
  <si>
    <t>207 - PREM</t>
  </si>
  <si>
    <t>DESSERT CART</t>
  </si>
  <si>
    <t>PIT</t>
  </si>
  <si>
    <t>PREM 000</t>
  </si>
  <si>
    <t>PREMIUM BANQUET</t>
  </si>
  <si>
    <t xml:space="preserve">FB 100 </t>
  </si>
  <si>
    <t xml:space="preserve"> TRAILER N CONCOURSE</t>
  </si>
  <si>
    <t>FB</t>
  </si>
  <si>
    <t xml:space="preserve">FB 100B </t>
  </si>
  <si>
    <t xml:space="preserve"> MBP TRAILER N CONCOURSE</t>
  </si>
  <si>
    <t xml:space="preserve">FB 101 </t>
  </si>
  <si>
    <t xml:space="preserve"> STADIUM SIPS SHACK SW</t>
  </si>
  <si>
    <t xml:space="preserve">FB 102 </t>
  </si>
  <si>
    <t xml:space="preserve"> TOWER SOUTH</t>
  </si>
  <si>
    <t xml:space="preserve">FB 103 </t>
  </si>
  <si>
    <t xml:space="preserve"> TOWER NORTH</t>
  </si>
  <si>
    <t xml:space="preserve">FB 104 </t>
  </si>
  <si>
    <t xml:space="preserve"> RED RALLY NORTH WEST</t>
  </si>
  <si>
    <t xml:space="preserve">FB 105 </t>
  </si>
  <si>
    <t xml:space="preserve"> NW SPECIALTY DAWG 2.0</t>
  </si>
  <si>
    <t xml:space="preserve">FB 106 </t>
  </si>
  <si>
    <t>RED RALLY NORTH EAST</t>
  </si>
  <si>
    <t xml:space="preserve">FB 107 </t>
  </si>
  <si>
    <t>NE SPECIALTY DAWG O.G.</t>
  </si>
  <si>
    <t xml:space="preserve">FB 108 </t>
  </si>
  <si>
    <t xml:space="preserve"> GRAB N GO  NW</t>
  </si>
  <si>
    <t xml:space="preserve">FB 109 </t>
  </si>
  <si>
    <t xml:space="preserve"> MBP  NORTH EAST</t>
  </si>
  <si>
    <t xml:space="preserve">FB 109B </t>
  </si>
  <si>
    <t xml:space="preserve"> MBP  NORTH EAST 2.0 POLE</t>
  </si>
  <si>
    <t xml:space="preserve">FB 110 </t>
  </si>
  <si>
    <t xml:space="preserve"> MBP  SHIVERS (NW)</t>
  </si>
  <si>
    <t xml:space="preserve">FB 111 </t>
  </si>
  <si>
    <t xml:space="preserve"> MBP  NE PEPSI TRAILER</t>
  </si>
  <si>
    <t xml:space="preserve">FB 112 </t>
  </si>
  <si>
    <t xml:space="preserve"> MBP  STUDENT ZONE (SE)</t>
  </si>
  <si>
    <t xml:space="preserve">FB 113 </t>
  </si>
  <si>
    <t xml:space="preserve"> MBP  MINI MELTS (NW)</t>
  </si>
  <si>
    <t xml:space="preserve">FB 113B </t>
  </si>
  <si>
    <t xml:space="preserve"> MBP  MINI MELTS (NE)</t>
  </si>
  <si>
    <t xml:space="preserve">FB 114 </t>
  </si>
  <si>
    <t xml:space="preserve"> MBP  WATER (SE)</t>
  </si>
  <si>
    <t xml:space="preserve">FB 115 </t>
  </si>
  <si>
    <t xml:space="preserve"> MBP  WATER (NE)</t>
  </si>
  <si>
    <t xml:space="preserve">FB 116 </t>
  </si>
  <si>
    <t xml:space="preserve"> MBP  NORTH WEST</t>
  </si>
  <si>
    <t xml:space="preserve">FB 116B </t>
  </si>
  <si>
    <t xml:space="preserve"> MBP  NORTH WEST 2.0 POLE</t>
  </si>
  <si>
    <t xml:space="preserve">FB 117 </t>
  </si>
  <si>
    <t xml:space="preserve"> MBP ELOTICO CART (NW)</t>
  </si>
  <si>
    <t xml:space="preserve">FB 118 </t>
  </si>
  <si>
    <t xml:space="preserve"> MBP ELOTICO CART (SE)</t>
  </si>
  <si>
    <t xml:space="preserve">FB 119 </t>
  </si>
  <si>
    <t xml:space="preserve"> HAWK VENDORS</t>
  </si>
  <si>
    <t xml:space="preserve">FB 120 </t>
  </si>
  <si>
    <t xml:space="preserve"> MBP N. SCOREBOARD</t>
  </si>
  <si>
    <t xml:space="preserve">FB 151 </t>
  </si>
  <si>
    <t xml:space="preserve"> SUB SUGAR SHIVERS</t>
  </si>
  <si>
    <t>BB 100</t>
  </si>
  <si>
    <t>BASEBALL TRAILER</t>
  </si>
  <si>
    <t>BB</t>
  </si>
  <si>
    <t>PIT 100</t>
  </si>
  <si>
    <t>VENDING (HAWK)</t>
  </si>
  <si>
    <t>PIT 101</t>
  </si>
  <si>
    <t>A - POP &amp; POUR</t>
  </si>
  <si>
    <t>B -  NACHOMAMA</t>
  </si>
  <si>
    <t>PIT 102</t>
  </si>
  <si>
    <t>THE PIT STOP (U)</t>
  </si>
  <si>
    <t>PIT 103</t>
  </si>
  <si>
    <t>SUB SUGAR SHIVERS (V)</t>
  </si>
  <si>
    <t>PIT 104</t>
  </si>
  <si>
    <t>BURQUE BREWS (W)</t>
  </si>
  <si>
    <t>PIT 105</t>
  </si>
  <si>
    <t>HOWL VODKA LEMONADE (Z)</t>
  </si>
  <si>
    <t>PIT 106</t>
  </si>
  <si>
    <t>LOUIE'S DAWG HOUSE (C)</t>
  </si>
  <si>
    <t>PIT 107</t>
  </si>
  <si>
    <t>SUB - LAGUNA BURGER (G)</t>
  </si>
  <si>
    <t>PIT 108</t>
  </si>
  <si>
    <t>HOOP &amp; GO (J)</t>
  </si>
  <si>
    <t>PIT 109</t>
  </si>
  <si>
    <t>ALLEYOOP (L)</t>
  </si>
  <si>
    <t>PIT 110</t>
  </si>
  <si>
    <t>PAPITAS (M)</t>
  </si>
  <si>
    <t>PIT 111</t>
  </si>
  <si>
    <t>MBP ELEVATOR (Q)</t>
  </si>
  <si>
    <t>PIT 112</t>
  </si>
  <si>
    <t>MBP NACHOMAMA (R)</t>
  </si>
  <si>
    <t>PIT 113</t>
  </si>
  <si>
    <t>MBP SUGAR SHIVERS (V)</t>
  </si>
  <si>
    <t>PIT 114</t>
  </si>
  <si>
    <t>MBP SUGAR SHIVERS (V) 2.0</t>
  </si>
  <si>
    <t>PIT 115</t>
  </si>
  <si>
    <t>MBP THE DAWG HOUSE (C)</t>
  </si>
  <si>
    <t>PIT 116</t>
  </si>
  <si>
    <t>MBP LAGUNA (G)</t>
  </si>
  <si>
    <t>PIT 117</t>
  </si>
  <si>
    <t>MBP J/L CORNER (J/L)</t>
  </si>
  <si>
    <t>PIT 118</t>
  </si>
  <si>
    <t>MBP PRETZEL CART</t>
  </si>
  <si>
    <t>PIT 119</t>
  </si>
  <si>
    <t>MBP NACHO HANDICAP (R)</t>
  </si>
  <si>
    <t>PIT 120</t>
  </si>
  <si>
    <t>MBP DAWG HOUSE HANDICAP (C)</t>
  </si>
  <si>
    <t>PIT 121</t>
  </si>
  <si>
    <t>MBP LAGUNA HANDICAP (G)</t>
  </si>
  <si>
    <t>PIT 122</t>
  </si>
  <si>
    <t>MBP COMMAND POST (U)</t>
  </si>
  <si>
    <t>PIT 123</t>
  </si>
  <si>
    <t>MBP MAIN ENTRANCE (A)</t>
  </si>
  <si>
    <t>PIT CU1</t>
  </si>
  <si>
    <t>CULINARY SUPPORT</t>
  </si>
  <si>
    <t>| Price Level - CATEGORIES - MSR Data Export</t>
  </si>
  <si>
    <t>University of New Mexico (2LEVY@UNM)</t>
  </si>
  <si>
    <t>7.6250%</t>
  </si>
  <si>
    <t xml:space="preserve">Event:UNM FOOTBALL GAME 1 - 9/5 (252)
Start Date:09/05/26  5:00:00 PM
End Date:09/05/26 11:55:51 PM
Discount Source:Default Price Level
Detail Level:Summary
</t>
  </si>
  <si>
    <t>Product</t>
  </si>
  <si>
    <t>Tax</t>
  </si>
  <si>
    <t>gap</t>
  </si>
  <si>
    <t>Code</t>
  </si>
  <si>
    <t>Name</t>
  </si>
  <si>
    <t>Standard Price</t>
  </si>
  <si>
    <t>Inclusive</t>
  </si>
  <si>
    <t>Exclusive</t>
  </si>
  <si>
    <t>SC</t>
  </si>
  <si>
    <t>Discount</t>
  </si>
  <si>
    <t>Quantity</t>
  </si>
  <si>
    <t>Gross Amt</t>
  </si>
  <si>
    <t>Net</t>
  </si>
  <si>
    <t>Department: 36127 - CONCESSIONS</t>
  </si>
  <si>
    <t>Location: FB 100 - TRAILER N CONCOURSE</t>
  </si>
  <si>
    <t xml:space="preserve"> Total:</t>
  </si>
  <si>
    <t>0.00</t>
  </si>
  <si>
    <t>0.11</t>
  </si>
  <si>
    <t>226.00</t>
  </si>
  <si>
    <t>312115 - N/A BEVERAGE SALES - TAXABLE Total:</t>
  </si>
  <si>
    <t>165.23</t>
  </si>
  <si>
    <t>328.00</t>
  </si>
  <si>
    <t>380.00</t>
  </si>
  <si>
    <t>2,332.23</t>
  </si>
  <si>
    <t>2,167.00</t>
  </si>
  <si>
    <t>313000 - FOOD SALES - TAXABLE Total:</t>
  </si>
  <si>
    <t>244.84</t>
  </si>
  <si>
    <t>234.00</t>
  </si>
  <si>
    <t>3,455.84</t>
  </si>
  <si>
    <t>3,211.00</t>
  </si>
  <si>
    <t>313004 - LIQUOR SALES - TAXABLE Total:</t>
  </si>
  <si>
    <t>25.62</t>
  </si>
  <si>
    <t>21.00</t>
  </si>
  <si>
    <t>361.62</t>
  </si>
  <si>
    <t>336.00</t>
  </si>
  <si>
    <t>313082 - BEER PACKAGED SALES Total:</t>
  </si>
  <si>
    <t>74.76</t>
  </si>
  <si>
    <t>-10.00</t>
  </si>
  <si>
    <t>74.00</t>
  </si>
  <si>
    <t>1,055.26</t>
  </si>
  <si>
    <t>980.50</t>
  </si>
  <si>
    <t>FB 100 - TRAILER N CONCOURSE Total:</t>
  </si>
  <si>
    <t>510.57</t>
  </si>
  <si>
    <t>318.00</t>
  </si>
  <si>
    <t>935.00</t>
  </si>
  <si>
    <t>7,205.07</t>
  </si>
  <si>
    <t>6,694.50</t>
  </si>
  <si>
    <t>Location: FB 100B - MBP TRAILER N CONCOURSE</t>
  </si>
  <si>
    <t>0.18</t>
  </si>
  <si>
    <t>242.00</t>
  </si>
  <si>
    <t>52.46</t>
  </si>
  <si>
    <t>344.00</t>
  </si>
  <si>
    <t>172.00</t>
  </si>
  <si>
    <t>740.46</t>
  </si>
  <si>
    <t>688.00</t>
  </si>
  <si>
    <t>173.24</t>
  </si>
  <si>
    <t>142.00</t>
  </si>
  <si>
    <t>2,445.24</t>
  </si>
  <si>
    <t>2,272.00</t>
  </si>
  <si>
    <t>355.78</t>
  </si>
  <si>
    <t>365.00</t>
  </si>
  <si>
    <t>5,021.78</t>
  </si>
  <si>
    <t>4,666.00</t>
  </si>
  <si>
    <t>FB 100B - MBP TRAILER N CONCOURSE Total:</t>
  </si>
  <si>
    <t>581.66</t>
  </si>
  <si>
    <t>921.00</t>
  </si>
  <si>
    <t>8,207.66</t>
  </si>
  <si>
    <t>7,626.00</t>
  </si>
  <si>
    <t>Location: FB 101 - STADIUM SIPS SHACK SW</t>
  </si>
  <si>
    <t>0.35</t>
  </si>
  <si>
    <t>319.00</t>
  </si>
  <si>
    <t>122.61</t>
  </si>
  <si>
    <t>558.00</t>
  </si>
  <si>
    <t>279.00</t>
  </si>
  <si>
    <t>1,730.61</t>
  </si>
  <si>
    <t>1,608.00</t>
  </si>
  <si>
    <t>34.92</t>
  </si>
  <si>
    <t>1.00</t>
  </si>
  <si>
    <t>129.00</t>
  </si>
  <si>
    <t>492.92</t>
  </si>
  <si>
    <t>458.00</t>
  </si>
  <si>
    <t>134.20</t>
  </si>
  <si>
    <t>110.00</t>
  </si>
  <si>
    <t>1,894.20</t>
  </si>
  <si>
    <t>1,760.00</t>
  </si>
  <si>
    <t>353.84</t>
  </si>
  <si>
    <t>351.00</t>
  </si>
  <si>
    <t>4,994.34</t>
  </si>
  <si>
    <t>4,640.50</t>
  </si>
  <si>
    <t>FF-312114 - N/A BEV SALE DISC. FAN FRIENDLY (CC36636) Total:</t>
  </si>
  <si>
    <t>58.26</t>
  </si>
  <si>
    <t>191.00</t>
  </si>
  <si>
    <t>822.26</t>
  </si>
  <si>
    <t>764.00</t>
  </si>
  <si>
    <t>FF-313076 - FOOD SALES DISC. FAN FRIENDLY (CC36636) Total:</t>
  </si>
  <si>
    <t>31.42</t>
  </si>
  <si>
    <t>103.00</t>
  </si>
  <si>
    <t>443.42</t>
  </si>
  <si>
    <t>412.00</t>
  </si>
  <si>
    <t>FB 101 - STADIUM SIPS SHACK SW Total:</t>
  </si>
  <si>
    <t>735.59</t>
  </si>
  <si>
    <t>559.00</t>
  </si>
  <si>
    <t>1,482.00</t>
  </si>
  <si>
    <t>10,378.09</t>
  </si>
  <si>
    <t>9,642.50</t>
  </si>
  <si>
    <t>Location: FB 102 - TOWER SOUTH</t>
  </si>
  <si>
    <t>0.30</t>
  </si>
  <si>
    <t>286.00</t>
  </si>
  <si>
    <t>97.75</t>
  </si>
  <si>
    <t>308.00</t>
  </si>
  <si>
    <t>180.00</t>
  </si>
  <si>
    <t>1,379.75</t>
  </si>
  <si>
    <t>1,282.00</t>
  </si>
  <si>
    <t>155.70</t>
  </si>
  <si>
    <t>57.00</t>
  </si>
  <si>
    <t>379.00</t>
  </si>
  <si>
    <t>2,197.70</t>
  </si>
  <si>
    <t>2,042.00</t>
  </si>
  <si>
    <t>37.82</t>
  </si>
  <si>
    <t>31.00</t>
  </si>
  <si>
    <t>533.82</t>
  </si>
  <si>
    <t>496.00</t>
  </si>
  <si>
    <t>141.33</t>
  </si>
  <si>
    <t>143.00</t>
  </si>
  <si>
    <t>1,994.83</t>
  </si>
  <si>
    <t>1,853.50</t>
  </si>
  <si>
    <t>66.49</t>
  </si>
  <si>
    <t>218.00</t>
  </si>
  <si>
    <t>938.49</t>
  </si>
  <si>
    <t>872.00</t>
  </si>
  <si>
    <t>56.12</t>
  </si>
  <si>
    <t>368.00</t>
  </si>
  <si>
    <t>184.00</t>
  </si>
  <si>
    <t>792.12</t>
  </si>
  <si>
    <t>736.00</t>
  </si>
  <si>
    <t>FB 102 - TOWER SOUTH Total:</t>
  </si>
  <si>
    <t>555.51</t>
  </si>
  <si>
    <t>733.00</t>
  </si>
  <si>
    <t>1,421.00</t>
  </si>
  <si>
    <t>7,837.01</t>
  </si>
  <si>
    <t>7,281.50</t>
  </si>
  <si>
    <t>Location: FB 103 - TOWER NORTH</t>
  </si>
  <si>
    <t>0.29</t>
  </si>
  <si>
    <t>338.00</t>
  </si>
  <si>
    <t>92.11</t>
  </si>
  <si>
    <t>288.00</t>
  </si>
  <si>
    <t>168.00</t>
  </si>
  <si>
    <t>1,300.11</t>
  </si>
  <si>
    <t>1,208.00</t>
  </si>
  <si>
    <t>140.22</t>
  </si>
  <si>
    <t>39.00</t>
  </si>
  <si>
    <t>357.00</t>
  </si>
  <si>
    <t>1,979.22</t>
  </si>
  <si>
    <t>1,839.00</t>
  </si>
  <si>
    <t>43.92</t>
  </si>
  <si>
    <t>36.00</t>
  </si>
  <si>
    <t>619.92</t>
  </si>
  <si>
    <t>576.00</t>
  </si>
  <si>
    <t>191.43</t>
  </si>
  <si>
    <t>192.00</t>
  </si>
  <si>
    <t>2,701.93</t>
  </si>
  <si>
    <t>2,510.50</t>
  </si>
  <si>
    <t>74.73</t>
  </si>
  <si>
    <t>245.00</t>
  </si>
  <si>
    <t>1,054.73</t>
  </si>
  <si>
    <t>980.00</t>
  </si>
  <si>
    <t>39.96</t>
  </si>
  <si>
    <t>131.00</t>
  </si>
  <si>
    <t>563.96</t>
  </si>
  <si>
    <t>524.00</t>
  </si>
  <si>
    <t>FB 103 - TOWER NORTH Total:</t>
  </si>
  <si>
    <t>582.65</t>
  </si>
  <si>
    <t>569.00</t>
  </si>
  <si>
    <t>1,467.00</t>
  </si>
  <si>
    <t>8,220.15</t>
  </si>
  <si>
    <t>7,637.50</t>
  </si>
  <si>
    <t>Location: FB 104 - RED RALLY NORTH WEST</t>
  </si>
  <si>
    <t>1,021.00</t>
  </si>
  <si>
    <t>608.40</t>
  </si>
  <si>
    <t>2,208.00</t>
  </si>
  <si>
    <t>1,181.00</t>
  </si>
  <si>
    <t>8,587.40</t>
  </si>
  <si>
    <t>7,979.00</t>
  </si>
  <si>
    <t>881.98</t>
  </si>
  <si>
    <t>200.00</t>
  </si>
  <si>
    <t>1,538.00</t>
  </si>
  <si>
    <t>12,448.98</t>
  </si>
  <si>
    <t>11,567.00</t>
  </si>
  <si>
    <t>180.56</t>
  </si>
  <si>
    <t>148.00</t>
  </si>
  <si>
    <t>2,548.56</t>
  </si>
  <si>
    <t>2,368.00</t>
  </si>
  <si>
    <t>367.83</t>
  </si>
  <si>
    <t>375.00</t>
  </si>
  <si>
    <t>5,191.83</t>
  </si>
  <si>
    <t>4,824.00</t>
  </si>
  <si>
    <t>180.87</t>
  </si>
  <si>
    <t>593.00</t>
  </si>
  <si>
    <t>2,552.87</t>
  </si>
  <si>
    <t>2,372.00</t>
  </si>
  <si>
    <t>272.67</t>
  </si>
  <si>
    <t>1,788.00</t>
  </si>
  <si>
    <t>894.00</t>
  </si>
  <si>
    <t>3,848.67</t>
  </si>
  <si>
    <t>3,576.00</t>
  </si>
  <si>
    <t>FB 104 - RED RALLY NORTH WEST Total:</t>
  </si>
  <si>
    <t>2,493.31</t>
  </si>
  <si>
    <t>4,196.00</t>
  </si>
  <si>
    <t>5,750.00</t>
  </si>
  <si>
    <t>35,179.31</t>
  </si>
  <si>
    <t>32,686.00</t>
  </si>
  <si>
    <t>Location: FB 105 - NW SPECIALTY - DAWG HOUSE</t>
  </si>
  <si>
    <t>0.07</t>
  </si>
  <si>
    <t>202.00</t>
  </si>
  <si>
    <t>143.81</t>
  </si>
  <si>
    <t>238.00</t>
  </si>
  <si>
    <t>2,029.81</t>
  </si>
  <si>
    <t>1,886.00</t>
  </si>
  <si>
    <t>235.08</t>
  </si>
  <si>
    <t>251.00</t>
  </si>
  <si>
    <t>3,318.08</t>
  </si>
  <si>
    <t>3,083.00</t>
  </si>
  <si>
    <t>24.40</t>
  </si>
  <si>
    <t>20.00</t>
  </si>
  <si>
    <t>344.40</t>
  </si>
  <si>
    <t>320.00</t>
  </si>
  <si>
    <t>104.16</t>
  </si>
  <si>
    <t>101.00</t>
  </si>
  <si>
    <t>1,470.16</t>
  </si>
  <si>
    <t>1,366.00</t>
  </si>
  <si>
    <t>20.13</t>
  </si>
  <si>
    <t>66.00</t>
  </si>
  <si>
    <t>284.13</t>
  </si>
  <si>
    <t>264.00</t>
  </si>
  <si>
    <t>FB 105 - NW SPECIALTY - DAWG HOUSE Total:</t>
  </si>
  <si>
    <t>527.64</t>
  </si>
  <si>
    <t>878.00</t>
  </si>
  <si>
    <t>7,446.64</t>
  </si>
  <si>
    <t>6,919.00</t>
  </si>
  <si>
    <t>Location: FB 106 - RED RALLY NORTH EAST</t>
  </si>
  <si>
    <t>1.15</t>
  </si>
  <si>
    <t>1,123.00</t>
  </si>
  <si>
    <t>678.47</t>
  </si>
  <si>
    <t>2,638.00</t>
  </si>
  <si>
    <t>1,498.00</t>
  </si>
  <si>
    <t>9,576.47</t>
  </si>
  <si>
    <t>8,898.00</t>
  </si>
  <si>
    <t>801.69</t>
  </si>
  <si>
    <t>109.00</t>
  </si>
  <si>
    <t>1,451.00</t>
  </si>
  <si>
    <t>11,315.69</t>
  </si>
  <si>
    <t>10,514.00</t>
  </si>
  <si>
    <t>142.74</t>
  </si>
  <si>
    <t>117.00</t>
  </si>
  <si>
    <t>2,014.74</t>
  </si>
  <si>
    <t>1,872.00</t>
  </si>
  <si>
    <t>398.71</t>
  </si>
  <si>
    <t>399.00</t>
  </si>
  <si>
    <t>5,627.71</t>
  </si>
  <si>
    <t>5,229.00</t>
  </si>
  <si>
    <t>219.60</t>
  </si>
  <si>
    <t>1,304.00</t>
  </si>
  <si>
    <t>720.00</t>
  </si>
  <si>
    <t>3,099.60</t>
  </si>
  <si>
    <t>2,880.00</t>
  </si>
  <si>
    <t>FB 106 - RED RALLY NORTH EAST Total:</t>
  </si>
  <si>
    <t>2,242.37</t>
  </si>
  <si>
    <t>4,051.00</t>
  </si>
  <si>
    <t>5,308.00</t>
  </si>
  <si>
    <t>31,635.37</t>
  </si>
  <si>
    <t>29,393.00</t>
  </si>
  <si>
    <t>Location: FB 107 - NE SPECIALTY - DAWG HOUSE</t>
  </si>
  <si>
    <t>0.16</t>
  </si>
  <si>
    <t>229.00</t>
  </si>
  <si>
    <t>186.97</t>
  </si>
  <si>
    <t>474.00</t>
  </si>
  <si>
    <t>429.00</t>
  </si>
  <si>
    <t>2,638.97</t>
  </si>
  <si>
    <t>2,452.00</t>
  </si>
  <si>
    <t>194.67</t>
  </si>
  <si>
    <t>239.00</t>
  </si>
  <si>
    <t>2,747.67</t>
  </si>
  <si>
    <t>2,553.00</t>
  </si>
  <si>
    <t>76.71</t>
  </si>
  <si>
    <t>65.00</t>
  </si>
  <si>
    <t>1,082.71</t>
  </si>
  <si>
    <t>1,006.00</t>
  </si>
  <si>
    <t>55.97</t>
  </si>
  <si>
    <t>-474.50</t>
  </si>
  <si>
    <t>54.00</t>
  </si>
  <si>
    <t>789.97</t>
  </si>
  <si>
    <t>734.00</t>
  </si>
  <si>
    <t>FB 107 - NE SPECIALTY - DAWG HOUSE Total:</t>
  </si>
  <si>
    <t>514.47</t>
  </si>
  <si>
    <t>-0.50</t>
  </si>
  <si>
    <t>1,016.00</t>
  </si>
  <si>
    <t>7,259.47</t>
  </si>
  <si>
    <t>6,745.00</t>
  </si>
  <si>
    <t>Location: FB 108 - GRAB N GO - NW</t>
  </si>
  <si>
    <t>0.42</t>
  </si>
  <si>
    <t>677.00</t>
  </si>
  <si>
    <t>232.79</t>
  </si>
  <si>
    <t>434.00</t>
  </si>
  <si>
    <t>3,285.79</t>
  </si>
  <si>
    <t>3,053.00</t>
  </si>
  <si>
    <t>93.03</t>
  </si>
  <si>
    <t>45.00</t>
  </si>
  <si>
    <t>265.00</t>
  </si>
  <si>
    <t>1,313.03</t>
  </si>
  <si>
    <t>1,220.00</t>
  </si>
  <si>
    <t>454.30</t>
  </si>
  <si>
    <t>6,412.30</t>
  </si>
  <si>
    <t>5,958.00</t>
  </si>
  <si>
    <t>687.93</t>
  </si>
  <si>
    <t>703.00</t>
  </si>
  <si>
    <t>9,709.93</t>
  </si>
  <si>
    <t>9,022.00</t>
  </si>
  <si>
    <t>185.75</t>
  </si>
  <si>
    <t>609.00</t>
  </si>
  <si>
    <t>2,621.75</t>
  </si>
  <si>
    <t>2,436.00</t>
  </si>
  <si>
    <t>FB 108 - GRAB N GO - NW Total:</t>
  </si>
  <si>
    <t>1,654.21</t>
  </si>
  <si>
    <t>3,067.00</t>
  </si>
  <si>
    <t>23,343.21</t>
  </si>
  <si>
    <t>21,689.00</t>
  </si>
  <si>
    <t>Location: FB 109 - MBP - NORTH EAST</t>
  </si>
  <si>
    <t>0.26</t>
  </si>
  <si>
    <t>302.00</t>
  </si>
  <si>
    <t>35.38</t>
  </si>
  <si>
    <t>232.00</t>
  </si>
  <si>
    <t>116.00</t>
  </si>
  <si>
    <t>499.38</t>
  </si>
  <si>
    <t>464.00</t>
  </si>
  <si>
    <t>202.52</t>
  </si>
  <si>
    <t>166.00</t>
  </si>
  <si>
    <t>2,858.52</t>
  </si>
  <si>
    <t>2,656.00</t>
  </si>
  <si>
    <t>482.93</t>
  </si>
  <si>
    <t>486.00</t>
  </si>
  <si>
    <t>6,816.43</t>
  </si>
  <si>
    <t>6,333.50</t>
  </si>
  <si>
    <t>FB 109 - MBP - NORTH EAST Total:</t>
  </si>
  <si>
    <t>721.09</t>
  </si>
  <si>
    <t>1,070.00</t>
  </si>
  <si>
    <t>10,174.59</t>
  </si>
  <si>
    <t>9,453.50</t>
  </si>
  <si>
    <t>Location: FB 110 - MBP - SHIVERS (NW)</t>
  </si>
  <si>
    <t>0.25</t>
  </si>
  <si>
    <t>385.00</t>
  </si>
  <si>
    <t>43.31</t>
  </si>
  <si>
    <t>284.00</t>
  </si>
  <si>
    <t>611.31</t>
  </si>
  <si>
    <t>568.00</t>
  </si>
  <si>
    <t>294.02</t>
  </si>
  <si>
    <t>241.00</t>
  </si>
  <si>
    <t>4,150.02</t>
  </si>
  <si>
    <t>3,856.00</t>
  </si>
  <si>
    <t>651.98</t>
  </si>
  <si>
    <t>633.00</t>
  </si>
  <si>
    <t>9,202.48</t>
  </si>
  <si>
    <t>8,550.50</t>
  </si>
  <si>
    <t>FB 110 - MBP - SHIVERS (NW) Total:</t>
  </si>
  <si>
    <t>989.56</t>
  </si>
  <si>
    <t>1,401.00</t>
  </si>
  <si>
    <t>13,964.06</t>
  </si>
  <si>
    <t>12,974.50</t>
  </si>
  <si>
    <t>Location: FB 111 - MBP - NE PEPSI TRAILER</t>
  </si>
  <si>
    <t>0.43</t>
  </si>
  <si>
    <t>415.00</t>
  </si>
  <si>
    <t>103.70</t>
  </si>
  <si>
    <t>680.00</t>
  </si>
  <si>
    <t>340.00</t>
  </si>
  <si>
    <t>1,463.70</t>
  </si>
  <si>
    <t>1,360.00</t>
  </si>
  <si>
    <t>337.94</t>
  </si>
  <si>
    <t>277.00</t>
  </si>
  <si>
    <t>4,769.94</t>
  </si>
  <si>
    <t>4,432.00</t>
  </si>
  <si>
    <t>590.75</t>
  </si>
  <si>
    <t>588.00</t>
  </si>
  <si>
    <t>8,338.25</t>
  </si>
  <si>
    <t>7,747.50</t>
  </si>
  <si>
    <t>FB 111 - MBP - NE PEPSI TRAILER Total:</t>
  </si>
  <si>
    <t>1,032.82</t>
  </si>
  <si>
    <t>1,620.00</t>
  </si>
  <si>
    <t>14,572.32</t>
  </si>
  <si>
    <t>13,539.50</t>
  </si>
  <si>
    <t>Location: FB 112 - MBP - STUDENT ZONE (SE)</t>
  </si>
  <si>
    <t>0.17</t>
  </si>
  <si>
    <t>132.00</t>
  </si>
  <si>
    <t>92.49</t>
  </si>
  <si>
    <t>414.00</t>
  </si>
  <si>
    <t>262.00</t>
  </si>
  <si>
    <t>1,305.49</t>
  </si>
  <si>
    <t>1,213.00</t>
  </si>
  <si>
    <t>9.23</t>
  </si>
  <si>
    <t>11.00</t>
  </si>
  <si>
    <t>130.23</t>
  </si>
  <si>
    <t>121.00</t>
  </si>
  <si>
    <t>14.64</t>
  </si>
  <si>
    <t>12.00</t>
  </si>
  <si>
    <t>206.64</t>
  </si>
  <si>
    <t>58.33</t>
  </si>
  <si>
    <t>59.00</t>
  </si>
  <si>
    <t>823.33</t>
  </si>
  <si>
    <t>765.00</t>
  </si>
  <si>
    <t>FB 112 - MBP - STUDENT ZONE (SE) Total:</t>
  </si>
  <si>
    <t>174.86</t>
  </si>
  <si>
    <t>476.00</t>
  </si>
  <si>
    <t>2,465.86</t>
  </si>
  <si>
    <t>2,291.00</t>
  </si>
  <si>
    <t>Location: FB 113 - MBP - MINI MELTS (NW)</t>
  </si>
  <si>
    <t>122.00</t>
  </si>
  <si>
    <t>147.16</t>
  </si>
  <si>
    <t>193.00</t>
  </si>
  <si>
    <t>2,077.16</t>
  </si>
  <si>
    <t>1,930.00</t>
  </si>
  <si>
    <t>FB 113 - MBP - MINI MELTS (NW) Total:</t>
  </si>
  <si>
    <t>315.00</t>
  </si>
  <si>
    <t>Location: FB 113B - MBP - MINI MELTS (NE)</t>
  </si>
  <si>
    <t>0.10</t>
  </si>
  <si>
    <t>150.00</t>
  </si>
  <si>
    <t>177.66</t>
  </si>
  <si>
    <t>233.00</t>
  </si>
  <si>
    <t>2,507.66</t>
  </si>
  <si>
    <t>2,330.00</t>
  </si>
  <si>
    <t>FB 113B - MBP - MINI MELTS (NE) Total:</t>
  </si>
  <si>
    <t>177.76</t>
  </si>
  <si>
    <t>383.00</t>
  </si>
  <si>
    <t>2,507.76</t>
  </si>
  <si>
    <t>Location: FB 117 - MBP ELOTICO CART (NW)</t>
  </si>
  <si>
    <t>0.19</t>
  </si>
  <si>
    <t>133.00</t>
  </si>
  <si>
    <t>27.45</t>
  </si>
  <si>
    <t>90.00</t>
  </si>
  <si>
    <t>387.45</t>
  </si>
  <si>
    <t>360.00</t>
  </si>
  <si>
    <t>72.13</t>
  </si>
  <si>
    <t>86.00</t>
  </si>
  <si>
    <t>1,018.13</t>
  </si>
  <si>
    <t>946.00</t>
  </si>
  <si>
    <t>58.56</t>
  </si>
  <si>
    <t>48.00</t>
  </si>
  <si>
    <t>826.56</t>
  </si>
  <si>
    <t>768.00</t>
  </si>
  <si>
    <t>89.82</t>
  </si>
  <si>
    <t>92.00</t>
  </si>
  <si>
    <t>1,267.82</t>
  </si>
  <si>
    <t>1,178.00</t>
  </si>
  <si>
    <t>FB 117 - MBP ELOTICO CART (NW) Total:</t>
  </si>
  <si>
    <t>248.15</t>
  </si>
  <si>
    <t>449.00</t>
  </si>
  <si>
    <t>3,500.15</t>
  </si>
  <si>
    <t>3,252.00</t>
  </si>
  <si>
    <t>Location: FB 120 - MBP N. SCOREBOARD</t>
  </si>
  <si>
    <t>0.31</t>
  </si>
  <si>
    <t>79.30</t>
  </si>
  <si>
    <t>520.00</t>
  </si>
  <si>
    <t>260.00</t>
  </si>
  <si>
    <t>1,119.30</t>
  </si>
  <si>
    <t>1,040.00</t>
  </si>
  <si>
    <t>252.54</t>
  </si>
  <si>
    <t>207.00</t>
  </si>
  <si>
    <t>3,564.54</t>
  </si>
  <si>
    <t>3,312.00</t>
  </si>
  <si>
    <t>436.53</t>
  </si>
  <si>
    <t>440.00</t>
  </si>
  <si>
    <t>6,161.53</t>
  </si>
  <si>
    <t>5,725.00</t>
  </si>
  <si>
    <t>FB 120 - MBP N. SCOREBOARD Total:</t>
  </si>
  <si>
    <t>768.68</t>
  </si>
  <si>
    <t>1,243.00</t>
  </si>
  <si>
    <t>10,845.68</t>
  </si>
  <si>
    <t>10,077.00</t>
  </si>
  <si>
    <t>36127 - CONCESSIONS Total:</t>
  </si>
  <si>
    <t>14,658.06</t>
  </si>
  <si>
    <t>13,124.50</t>
  </si>
  <si>
    <t>29,202.00</t>
  </si>
  <si>
    <t>206,819.57</t>
  </si>
  <si>
    <t>192,161.50</t>
  </si>
  <si>
    <t>Department: 36128 - GROUP SALES / PREMIUM</t>
  </si>
  <si>
    <t>Location: FB 401 - PREM. PRESS LEVEL</t>
  </si>
  <si>
    <t>-0.01</t>
  </si>
  <si>
    <t>15.00</t>
  </si>
  <si>
    <t>17.84</t>
  </si>
  <si>
    <t>14.00</t>
  </si>
  <si>
    <t>251.84</t>
  </si>
  <si>
    <t>14.18</t>
  </si>
  <si>
    <t>5.00</t>
  </si>
  <si>
    <t>200.18</t>
  </si>
  <si>
    <t>186.00</t>
  </si>
  <si>
    <t>313096 - WINE SALES - TAXABLE Total:</t>
  </si>
  <si>
    <t>3.66</t>
  </si>
  <si>
    <t>4.00</t>
  </si>
  <si>
    <t>51.66</t>
  </si>
  <si>
    <t>FB 401 - PREM. PRESS LEVEL Total:</t>
  </si>
  <si>
    <t>35.68</t>
  </si>
  <si>
    <t>47.00</t>
  </si>
  <si>
    <t>503.68</t>
  </si>
  <si>
    <t>468.00</t>
  </si>
  <si>
    <t>Location: FB 402 - PREM. ZIA 1</t>
  </si>
  <si>
    <t>0.12</t>
  </si>
  <si>
    <t>83.00</t>
  </si>
  <si>
    <t>7.24</t>
  </si>
  <si>
    <t>102.24</t>
  </si>
  <si>
    <t>95.00</t>
  </si>
  <si>
    <t>151.59</t>
  </si>
  <si>
    <t>91.00</t>
  </si>
  <si>
    <t>119.00</t>
  </si>
  <si>
    <t>2,139.58</t>
  </si>
  <si>
    <t>1,988.00</t>
  </si>
  <si>
    <t>107.40</t>
  </si>
  <si>
    <t>49.50</t>
  </si>
  <si>
    <t>99.00</t>
  </si>
  <si>
    <t>1,515.90</t>
  </si>
  <si>
    <t>1,408.50</t>
  </si>
  <si>
    <t>6.86</t>
  </si>
  <si>
    <t>7.00</t>
  </si>
  <si>
    <t>96.86</t>
  </si>
  <si>
    <t>FB 402 - PREM. ZIA 1 Total:</t>
  </si>
  <si>
    <t>273.21</t>
  </si>
  <si>
    <t>141.50</t>
  </si>
  <si>
    <t>323.00</t>
  </si>
  <si>
    <t>3,854.71</t>
  </si>
  <si>
    <t>3,581.50</t>
  </si>
  <si>
    <t>Location: FB 403 - PREM. ZIA 2</t>
  </si>
  <si>
    <t>0.05</t>
  </si>
  <si>
    <t>35.00</t>
  </si>
  <si>
    <t>0.92</t>
  </si>
  <si>
    <t>2.00</t>
  </si>
  <si>
    <t>12.92</t>
  </si>
  <si>
    <t>104.62</t>
  </si>
  <si>
    <t>32.00</t>
  </si>
  <si>
    <t>82.00</t>
  </si>
  <si>
    <t>1,476.62</t>
  </si>
  <si>
    <t>1,372.00</t>
  </si>
  <si>
    <t>36.94</t>
  </si>
  <si>
    <t>8.00</t>
  </si>
  <si>
    <t>33.00</t>
  </si>
  <si>
    <t>521.44</t>
  </si>
  <si>
    <t>484.50</t>
  </si>
  <si>
    <t>9.15</t>
  </si>
  <si>
    <t>10.00</t>
  </si>
  <si>
    <t>129.15</t>
  </si>
  <si>
    <t>120.00</t>
  </si>
  <si>
    <t>FB 403 - PREM. ZIA 2 Total:</t>
  </si>
  <si>
    <t>151.67</t>
  </si>
  <si>
    <t>40.00</t>
  </si>
  <si>
    <t>162.00</t>
  </si>
  <si>
    <t>2,140.17</t>
  </si>
  <si>
    <t>1,988.50</t>
  </si>
  <si>
    <t>Location: FB 404 - PREM. END ZONE CLUB EZC</t>
  </si>
  <si>
    <t>0.08</t>
  </si>
  <si>
    <t>4.27</t>
  </si>
  <si>
    <t>60.27</t>
  </si>
  <si>
    <t>56.00</t>
  </si>
  <si>
    <t>332.98</t>
  </si>
  <si>
    <t>98.00</t>
  </si>
  <si>
    <t>4,699.98</t>
  </si>
  <si>
    <t>4,367.00</t>
  </si>
  <si>
    <t>180.37</t>
  </si>
  <si>
    <t>165.00</t>
  </si>
  <si>
    <t>2,545.87</t>
  </si>
  <si>
    <t>2,365.50</t>
  </si>
  <si>
    <t>23.79</t>
  </si>
  <si>
    <t>25.00</t>
  </si>
  <si>
    <t>335.79</t>
  </si>
  <si>
    <t>312.00</t>
  </si>
  <si>
    <t>6.41</t>
  </si>
  <si>
    <t>90.41</t>
  </si>
  <si>
    <t>84.00</t>
  </si>
  <si>
    <t>FB 404 - PREM. END ZONE CLUB EZC Total:</t>
  </si>
  <si>
    <t>547.90</t>
  </si>
  <si>
    <t>267.00</t>
  </si>
  <si>
    <t>602.00</t>
  </si>
  <si>
    <t>7,732.40</t>
  </si>
  <si>
    <t>7,184.50</t>
  </si>
  <si>
    <t>36128 - GROUP SALES / PREMIUM Total:</t>
  </si>
  <si>
    <t>1,008.46</t>
  </si>
  <si>
    <t>453.50</t>
  </si>
  <si>
    <t>1,134.00</t>
  </si>
  <si>
    <t>14,230.96</t>
  </si>
  <si>
    <t>13,222.50</t>
  </si>
  <si>
    <t>Department: 36637 - SPECIALTY CONCESSIONS (VENDING)</t>
  </si>
  <si>
    <t>Location: FB 151 - SUB SUGAR SHIVERS</t>
  </si>
  <si>
    <t>450.00</t>
  </si>
  <si>
    <t>353008 - SUBCONTRACT INCOME (FOOD%) Total:</t>
  </si>
  <si>
    <t>592.08</t>
  </si>
  <si>
    <t>782.00</t>
  </si>
  <si>
    <t>8,357.08</t>
  </si>
  <si>
    <t>7,765.00</t>
  </si>
  <si>
    <t>FB 151 - SUB SUGAR SHIVERS Total:</t>
  </si>
  <si>
    <t>1,232.00</t>
  </si>
  <si>
    <t>Location: FB 155 - SUB ISLAND NOODLES</t>
  </si>
  <si>
    <t>81.00</t>
  </si>
  <si>
    <t>126.96</t>
  </si>
  <si>
    <t>100.00</t>
  </si>
  <si>
    <t>1,791.96</t>
  </si>
  <si>
    <t>1,665.00</t>
  </si>
  <si>
    <t>FB 155 - SUB ISLAND NOODLES Total:</t>
  </si>
  <si>
    <t>127.15</t>
  </si>
  <si>
    <t>181.00</t>
  </si>
  <si>
    <t>1,792.15</t>
  </si>
  <si>
    <t>36637 - SPECIALTY CONCESSIONS (VENDING) Total:</t>
  </si>
  <si>
    <t>719.23</t>
  </si>
  <si>
    <t>1,413.00</t>
  </si>
  <si>
    <t>10,149.23</t>
  </si>
  <si>
    <t>9,430.00</t>
  </si>
  <si>
    <t xml:space="preserve">Totals : </t>
  </si>
  <si>
    <t>16,385.75</t>
  </si>
  <si>
    <t>13,578.00</t>
  </si>
  <si>
    <t>31,749.00</t>
  </si>
  <si>
    <t>231,199.76</t>
  </si>
  <si>
    <t>214,814.00</t>
  </si>
  <si>
    <t>2:03 AM, 09/08/2026</t>
  </si>
  <si>
    <t>Page 1 of 1</t>
  </si>
  <si>
    <t>MyVenue Product Code</t>
  </si>
  <si>
    <t>Contract Class</t>
  </si>
  <si>
    <t>Description / Rule</t>
  </si>
  <si>
    <t>312115</t>
  </si>
  <si>
    <t>FOOD/NON-ALC</t>
  </si>
  <si>
    <t>N/A BEVERAGE SALES - TAXABLE</t>
  </si>
  <si>
    <t>313000</t>
  </si>
  <si>
    <t>FOOD SALES - TAXABLE</t>
  </si>
  <si>
    <t>313004</t>
  </si>
  <si>
    <t>LIQUOR SALES - TAXABLE</t>
  </si>
  <si>
    <t>313082</t>
  </si>
  <si>
    <t>BEER PACKAGED SALES</t>
  </si>
  <si>
    <t>313096</t>
  </si>
  <si>
    <t>WINE SALES - TAXABLE</t>
  </si>
  <si>
    <t>FF-312114</t>
  </si>
  <si>
    <t>Fan Friendly N/A beverage discount</t>
  </si>
  <si>
    <t>FF-313076</t>
  </si>
  <si>
    <t>Fan Friendly food discount</t>
  </si>
  <si>
    <t>353008</t>
  </si>
  <si>
    <t>Subcontract income (food%)</t>
  </si>
  <si>
    <t>Raw Row</t>
  </si>
  <si>
    <t>Event</t>
  </si>
  <si>
    <t>Department</t>
  </si>
  <si>
    <t>Location</t>
  </si>
  <si>
    <t>Product Code</t>
  </si>
  <si>
    <t>Product Name</t>
  </si>
  <si>
    <t>CONTRACT DONATION CALCULATION — ASSIGNMENT-DRIVEN</t>
  </si>
  <si>
    <t>Rates and minimums are controlled here. Event-specific ownership comes from EVENT ASSIGNMENT; MSR sales come from MSR DATA.</t>
  </si>
  <si>
    <t>Food / Non-Alcoholic Rate</t>
  </si>
  <si>
    <t>Alcoholic Beverage Rate</t>
  </si>
  <si>
    <t>Minimum Donation / Event</t>
  </si>
  <si>
    <t>Core Logic</t>
  </si>
  <si>
    <t>Allocated Food/N-A Net × 10% + Allocated Alcohol Net × 8%</t>
  </si>
  <si>
    <t>Allocation Rule</t>
  </si>
  <si>
    <t>Each Event + Location + NPO assignment receives Allocation % of that location’s MSR net sales.</t>
  </si>
  <si>
    <t>Control</t>
  </si>
  <si>
    <t>Location allocations should total 100% when a location is operated by one or more NPOs.</t>
  </si>
  <si>
    <t>Event Date</t>
  </si>
  <si>
    <t>Location ID</t>
  </si>
  <si>
    <t>Location Description</t>
  </si>
  <si>
    <t>MSR Location</t>
  </si>
  <si>
    <t>Allocation %</t>
  </si>
  <si>
    <t>MSR Total Net</t>
  </si>
  <si>
    <t>Alcohol Net</t>
  </si>
  <si>
    <t>Food / Non-Alc Net</t>
  </si>
  <si>
    <t>Allocated Net</t>
  </si>
  <si>
    <t>NEW CONTRACT DONATION</t>
  </si>
  <si>
    <t>Status</t>
  </si>
  <si>
    <t>Event Description</t>
  </si>
  <si>
    <t>Assignment Status</t>
  </si>
  <si>
    <t>Notes</t>
  </si>
  <si>
    <t>Payee Seq</t>
  </si>
  <si>
    <t>Payout Lookup Key</t>
  </si>
  <si>
    <t>FB 106</t>
  </si>
  <si>
    <t>FB 106 - RED RALLY NORTH EAST</t>
  </si>
  <si>
    <t>PROOF / INITIAL LOAD</t>
  </si>
  <si>
    <t>FB 113</t>
  </si>
  <si>
    <t>MBP  MINI MELTS (NW)</t>
  </si>
  <si>
    <t>FB 113 - MBP - MINI MELTS (NW)</t>
  </si>
  <si>
    <t>FB 113B</t>
  </si>
  <si>
    <t>MBP  MINI MELTS (NE)</t>
  </si>
  <si>
    <t>FB 113B - MBP - MINI MELTS (NE)</t>
  </si>
  <si>
    <t>FB 100B</t>
  </si>
  <si>
    <t>MBP TRAILER N CONCOURSE</t>
  </si>
  <si>
    <t>FB 100B - MBP TRAILER N CONCOURSE</t>
  </si>
  <si>
    <t>FB 107</t>
  </si>
  <si>
    <t>FB 107 - NE SPECIALTY - DAWG HOUSE</t>
  </si>
  <si>
    <t>PIT 104 - BURQUE BREWS (W)</t>
  </si>
  <si>
    <t>PIT 108 - HOOP &amp; GO (J)</t>
  </si>
  <si>
    <t>PIT 106 - LOUIE'S DAWG HOUSE (C)</t>
  </si>
  <si>
    <t>PIT 109 - ALLEYOOP (L)</t>
  </si>
  <si>
    <t>PIT 101 - A - POP &amp; POUR</t>
  </si>
  <si>
    <t>PIT 101 - B - NACHOMAMA</t>
  </si>
  <si>
    <t>PIT 110 - PAPITAS (M)</t>
  </si>
  <si>
    <t>FB 100</t>
  </si>
  <si>
    <t>TRAILER N CONCOURSE</t>
  </si>
  <si>
    <t>FB 100 - TRAILER N CONCOURSE</t>
  </si>
  <si>
    <t>Gross Tips</t>
  </si>
  <si>
    <t>Allocated Tips</t>
  </si>
  <si>
    <t>Source</t>
  </si>
  <si>
    <t>ARVC - OG / proof</t>
  </si>
  <si>
    <t>Seeded from V7 ARVC gratuity line; replace with actual source when available.</t>
  </si>
  <si>
    <t>Enter vendor-specific adjustments by Event + Payee. VENDOR PAYOUT reads these; it does not store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</si>
</sst>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8" formatCode="&quot;$&quot;#,##0.00_);[Red]\(&quot;$&quot;#,##0.00\)"/>
    <numFmt numFmtId="164" formatCode="dddd"/>
    <numFmt numFmtId="165" formatCode="[$-F800]dddd&quot;, &quot;mmmm\ dd&quot;, &quot;yyyy"/>
    <numFmt numFmtId="166" formatCode="_(\$* #,##0.00_);_(\$* \(#,##0.00\);_(\$* \-??_);_(@_)"/>
    <numFmt numFmtId="167" formatCode="\$#,##0.00"/>
    <numFmt numFmtId="168" formatCode="mmmm\ d\,\ yyyy"/>
    <numFmt numFmtId="169" formatCode="\$#,##0.00;[Red]\(\$#,##0.00\);\-"/>
    <numFmt numFmtId="170" formatCode="0.0%"/>
    <numFmt numFmtId="171" formatCode="mm/dd/yyyy"/>
    <numFmt numFmtId="172" formatCode="\$#,##0.00;\(\$#,##0.00\);\-"/>
  </numFmts>
  <fonts count="40" x14ac:knownFonts="1">
    <font>
      <sz val="10"/>
      <name val="Arial"/>
      <charset val="1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/>
      <sz val="16"/>
      <name val="Arial"/>
      <family val="2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2"/>
      <name val="Arial"/>
      <family val="2"/>
      <charset val="1"/>
    </font>
    <font>
      <b/>
      <sz val="11"/>
      <name val="Cambria"/>
      <family val="1"/>
    </font>
    <font>
      <b/>
      <sz val="24"/>
      <color rgb="FF163B5C"/>
      <name val="Aptos"/>
      <family val="2"/>
    </font>
    <font>
      <b/>
      <sz val="10"/>
      <color rgb="FF163B5C"/>
      <name val="Aptos"/>
      <family val="2"/>
    </font>
    <font>
      <b/>
      <sz val="8.5"/>
      <color rgb="FFFFFFFF"/>
      <name val="Aptos"/>
      <family val="2"/>
    </font>
    <font>
      <sz val="12"/>
      <name val="Arial"/>
      <family val="2"/>
    </font>
    <font>
      <b/>
      <sz val="12"/>
      <color rgb="FF5B6573"/>
      <name val="Aptos"/>
      <family val="2"/>
    </font>
    <font>
      <b/>
      <sz val="12"/>
      <color rgb="FF17365D"/>
      <name val="Aptos"/>
      <family val="2"/>
    </font>
    <font>
      <b/>
      <sz val="11"/>
      <color rgb="FFE4002B"/>
      <name val="Aptos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b/>
      <sz val="10"/>
      <name val="Arial"/>
      <family val="2"/>
    </font>
    <font>
      <b/>
      <sz val="10"/>
      <color rgb="FF5B6573"/>
      <name val="Aptos"/>
      <family val="2"/>
    </font>
    <font>
      <b/>
      <sz val="8.5"/>
      <color theme="0" tint="-0.499984740745262"/>
      <name val="Aptos"/>
      <family val="2"/>
    </font>
    <font>
      <b/>
      <sz val="10"/>
      <name val="Aptos"/>
      <family val="2"/>
    </font>
    <font>
      <b/>
      <sz val="10"/>
      <color rgb="FFFFFFFF"/>
      <name val="Aptos"/>
      <family val="2"/>
    </font>
    <font>
      <b/>
      <sz val="16"/>
      <color rgb="FF17365D"/>
      <name val="Aptos"/>
      <family val="2"/>
    </font>
    <font>
      <b/>
      <sz val="12"/>
      <name val="Aptos"/>
      <family val="2"/>
    </font>
    <font>
      <i/>
      <sz val="8"/>
      <color rgb="FF666666"/>
      <name val="Aptos"/>
      <family val="2"/>
    </font>
    <font>
      <b/>
      <sz val="20"/>
      <name val="Aptos"/>
      <family val="2"/>
    </font>
    <font>
      <b/>
      <sz val="14"/>
      <name val="Aptos"/>
      <family val="2"/>
    </font>
    <font>
      <b/>
      <sz val="7.5"/>
      <color rgb="FFFFFFFF"/>
      <name val="Aptos"/>
      <family val="2"/>
    </font>
    <font>
      <sz val="12"/>
      <name val="Aptos"/>
      <family val="2"/>
    </font>
    <font>
      <sz val="8"/>
      <color rgb="FFAAAAAA"/>
      <name val="Aptos"/>
      <family val="2"/>
    </font>
    <font>
      <sz val="8"/>
      <name val="Aptos"/>
      <family val="2"/>
    </font>
    <font>
      <b/>
      <sz val="8.5"/>
      <name val="Aptos"/>
      <family val="2"/>
    </font>
    <font>
      <b/>
      <sz val="12"/>
      <color rgb="FF17365D"/>
      <name val="Aptos"/>
      <family val="2"/>
    </font>
    <font>
      <b/>
      <sz val="9"/>
      <color rgb="FFFFFFFF"/>
      <name val="Aptos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i/>
      <sz val="10"/>
      <name val="Aptos"/>
      <family val="2"/>
    </font>
    <font>
      <sz val="22"/>
      <color theme="0"/>
      <name val="Arial Black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FFFFCC"/>
        <bgColor rgb="FFFFF2CC"/>
      </patternFill>
    </fill>
    <fill>
      <patternFill patternType="solid">
        <fgColor rgb="FF99FFCC"/>
        <bgColor rgb="FF99FF99"/>
      </patternFill>
    </fill>
    <fill>
      <patternFill patternType="solid">
        <fgColor theme="0" tint="-0.14999847407452621"/>
        <bgColor rgb="FFDAE3F3"/>
      </patternFill>
    </fill>
    <fill>
      <patternFill patternType="solid">
        <fgColor theme="7" tint="0.79989013336588644"/>
        <bgColor rgb="FFFFFFCC"/>
      </patternFill>
    </fill>
    <fill>
      <patternFill patternType="solid">
        <fgColor theme="5" tint="0.59987182226020086"/>
        <bgColor rgb="FFD9D9D9"/>
      </patternFill>
    </fill>
    <fill>
      <patternFill patternType="solid">
        <fgColor rgb="FF99FF99"/>
        <bgColor rgb="FF99FFCC"/>
      </patternFill>
    </fill>
    <fill>
      <patternFill patternType="solid">
        <fgColor theme="4" tint="0.79989013336588644"/>
        <bgColor rgb="FFD9D9D9"/>
      </patternFill>
    </fill>
    <fill>
      <patternFill patternType="solid">
        <fgColor rgb="FFFFFFFF"/>
      </patternFill>
    </fill>
    <fill>
      <patternFill patternType="solid">
        <fgColor rgb="FFF7F8FA"/>
      </patternFill>
    </fill>
    <fill>
      <patternFill patternType="solid">
        <fgColor rgb="FFF3F5F7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5F7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FF2CC"/>
      </patternFill>
    </fill>
  </fills>
  <borders count="2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C9D0D7"/>
      </left>
      <right/>
      <top/>
      <bottom style="thin">
        <color rgb="FFC9D0D7"/>
      </bottom>
      <diagonal/>
    </border>
    <border>
      <left/>
      <right/>
      <top/>
      <bottom/>
      <diagonal/>
    </border>
    <border>
      <left/>
      <right/>
      <top/>
      <bottom style="hair">
        <color rgb="FFD9DEE5"/>
      </bottom>
      <diagonal/>
    </border>
    <border>
      <left/>
      <right/>
      <top/>
      <bottom style="hair">
        <color rgb="FFD9DEE5"/>
      </bottom>
      <diagonal/>
    </border>
    <border>
      <left/>
      <right/>
      <top/>
      <bottom style="thin">
        <color rgb="FFD9DEE5"/>
      </bottom>
      <diagonal/>
    </border>
    <border>
      <left/>
      <right/>
      <top style="thin">
        <color rgb="FFD9DEE5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C9D0D7"/>
      </left>
      <right style="thin">
        <color rgb="FFC9D0D7"/>
      </right>
      <top style="thin">
        <color rgb="FFC9D0D7"/>
      </top>
      <bottom/>
      <diagonal/>
    </border>
    <border>
      <left style="thin">
        <color rgb="FFC9D0D7"/>
      </left>
      <right style="thin">
        <color rgb="FFC9D0D7"/>
      </right>
      <top/>
      <bottom style="thin">
        <color rgb="FFC9D0D7"/>
      </bottom>
      <diagonal/>
    </border>
    <border>
      <left/>
      <right/>
      <top/>
      <bottom style="thin">
        <color rgb="FFB7B7B7"/>
      </bottom>
      <diagonal/>
    </border>
    <border>
      <left style="thin">
        <color indexed="64"/>
      </left>
      <right/>
      <top/>
      <bottom style="hair">
        <color rgb="FFD9DEE5"/>
      </bottom>
      <diagonal/>
    </border>
    <border>
      <left/>
      <right style="thin">
        <color rgb="FFC9D0D7"/>
      </right>
      <top style="thin">
        <color rgb="FFC9D0D7"/>
      </top>
      <bottom/>
      <diagonal/>
    </border>
    <border>
      <left/>
      <right style="thin">
        <color rgb="FFC9D0D7"/>
      </right>
      <top/>
      <bottom/>
      <diagonal/>
    </border>
    <border>
      <left/>
      <right style="thin">
        <color rgb="FFC9D0D7"/>
      </right>
      <top/>
      <bottom style="thin">
        <color rgb="FFC9D0D7"/>
      </bottom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  <border>
      <left/>
      <right/>
      <top/>
      <bottom/>
      <diagonal/>
    </border>
  </borders>
  <cellStyleXfs count="2">
    <xf numFmtId="0" fontId="0" fillId="0" borderId="11"/>
    <xf numFmtId="0" fontId="1" fillId="0" borderId="11"/>
  </cellStyleXfs>
  <cellXfs count="132">
    <xf numFmtId="0" fontId="0" fillId="0" borderId="0" xfId="0" applyBorder="1"/>
    <xf numFmtId="14" fontId="2" fillId="0" borderId="0" xfId="0" applyNumberFormat="1" applyFont="1" applyBorder="1" applyAlignment="1">
      <alignment horizontal="left"/>
    </xf>
    <xf numFmtId="0" fontId="4" fillId="0" borderId="1" xfId="0" applyFont="1" applyBorder="1"/>
    <xf numFmtId="14" fontId="5" fillId="3" borderId="1" xfId="0" applyNumberFormat="1" applyFont="1" applyFill="1" applyBorder="1" applyAlignment="1" applyProtection="1">
      <alignment horizontal="left"/>
      <protection locked="0"/>
    </xf>
    <xf numFmtId="14" fontId="5" fillId="0" borderId="0" xfId="0" applyNumberFormat="1" applyFont="1" applyBorder="1" applyProtection="1">
      <protection locked="0"/>
    </xf>
    <xf numFmtId="0" fontId="4" fillId="0" borderId="2" xfId="0" applyFont="1" applyBorder="1"/>
    <xf numFmtId="164" fontId="5" fillId="3" borderId="2" xfId="0" applyNumberFormat="1" applyFont="1" applyFill="1" applyBorder="1" applyAlignment="1">
      <alignment horizontal="left"/>
    </xf>
    <xf numFmtId="49" fontId="5" fillId="0" borderId="0" xfId="0" applyNumberFormat="1" applyFont="1" applyBorder="1" applyAlignment="1" applyProtection="1">
      <alignment horizontal="right"/>
      <protection locked="0"/>
    </xf>
    <xf numFmtId="165" fontId="5" fillId="0" borderId="0" xfId="0" applyNumberFormat="1" applyFont="1" applyBorder="1" applyAlignment="1" applyProtection="1">
      <alignment horizontal="right"/>
      <protection locked="0"/>
    </xf>
    <xf numFmtId="49" fontId="5" fillId="3" borderId="2" xfId="0" applyNumberFormat="1" applyFont="1" applyFill="1" applyBorder="1" applyAlignment="1" applyProtection="1">
      <alignment horizontal="left"/>
      <protection locked="0"/>
    </xf>
    <xf numFmtId="49" fontId="0" fillId="0" borderId="0" xfId="0" applyNumberFormat="1" applyBorder="1" applyProtection="1">
      <protection locked="0"/>
    </xf>
    <xf numFmtId="0" fontId="2" fillId="0" borderId="0" xfId="0" applyFont="1" applyBorder="1"/>
    <xf numFmtId="164" fontId="0" fillId="0" borderId="0" xfId="0" applyNumberFormat="1" applyBorder="1"/>
    <xf numFmtId="0" fontId="6" fillId="5" borderId="4" xfId="0" applyFont="1" applyFill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5" borderId="5" xfId="0" applyFont="1" applyFill="1" applyBorder="1" applyAlignment="1">
      <alignment horizontal="left"/>
    </xf>
    <xf numFmtId="0" fontId="6" fillId="4" borderId="6" xfId="0" applyFont="1" applyFill="1" applyBorder="1"/>
    <xf numFmtId="166" fontId="5" fillId="0" borderId="7" xfId="0" applyNumberFormat="1" applyFont="1" applyBorder="1"/>
    <xf numFmtId="0" fontId="5" fillId="4" borderId="4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right" vertical="center"/>
    </xf>
    <xf numFmtId="0" fontId="6" fillId="6" borderId="5" xfId="0" applyFont="1" applyFill="1" applyBorder="1"/>
    <xf numFmtId="0" fontId="6" fillId="7" borderId="5" xfId="0" applyFont="1" applyFill="1" applyBorder="1" applyAlignment="1">
      <alignment horizontal="right" vertical="center"/>
    </xf>
    <xf numFmtId="0" fontId="6" fillId="7" borderId="5" xfId="0" applyFont="1" applyFill="1" applyBorder="1"/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/>
    </xf>
    <xf numFmtId="0" fontId="2" fillId="5" borderId="5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/>
    </xf>
    <xf numFmtId="0" fontId="2" fillId="8" borderId="5" xfId="0" applyFont="1" applyFill="1" applyBorder="1" applyAlignment="1">
      <alignment horizontal="left"/>
    </xf>
    <xf numFmtId="0" fontId="7" fillId="0" borderId="0" xfId="0" applyFont="1" applyBorder="1"/>
    <xf numFmtId="0" fontId="0" fillId="0" borderId="0" xfId="0" applyBorder="1" applyAlignment="1">
      <alignment wrapText="1"/>
    </xf>
    <xf numFmtId="167" fontId="0" fillId="0" borderId="0" xfId="0" applyNumberFormat="1" applyBorder="1"/>
    <xf numFmtId="0" fontId="0" fillId="9" borderId="0" xfId="0" applyFill="1" applyBorder="1"/>
    <xf numFmtId="0" fontId="12" fillId="11" borderId="14" xfId="0" applyFont="1" applyFill="1" applyBorder="1" applyAlignment="1">
      <alignment vertical="center"/>
    </xf>
    <xf numFmtId="0" fontId="12" fillId="11" borderId="14" xfId="0" applyFont="1" applyFill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1" fillId="0" borderId="15" xfId="0" applyFont="1" applyBorder="1"/>
    <xf numFmtId="0" fontId="0" fillId="0" borderId="11" xfId="0"/>
    <xf numFmtId="0" fontId="15" fillId="13" borderId="19" xfId="0" applyFont="1" applyFill="1" applyBorder="1" applyAlignment="1">
      <alignment horizontal="center" vertical="center" wrapText="1"/>
    </xf>
    <xf numFmtId="167" fontId="6" fillId="5" borderId="4" xfId="0" applyNumberFormat="1" applyFont="1" applyFill="1" applyBorder="1"/>
    <xf numFmtId="167" fontId="6" fillId="5" borderId="4" xfId="0" applyNumberFormat="1" applyFont="1" applyFill="1" applyBorder="1" applyAlignment="1">
      <alignment horizontal="center"/>
    </xf>
    <xf numFmtId="167" fontId="6" fillId="0" borderId="5" xfId="0" applyNumberFormat="1" applyFont="1" applyBorder="1"/>
    <xf numFmtId="167" fontId="6" fillId="0" borderId="5" xfId="0" applyNumberFormat="1" applyFont="1" applyBorder="1" applyAlignment="1">
      <alignment horizontal="center"/>
    </xf>
    <xf numFmtId="167" fontId="6" fillId="5" borderId="5" xfId="0" applyNumberFormat="1" applyFont="1" applyFill="1" applyBorder="1"/>
    <xf numFmtId="167" fontId="6" fillId="5" borderId="5" xfId="0" applyNumberFormat="1" applyFont="1" applyFill="1" applyBorder="1" applyAlignment="1">
      <alignment horizontal="center"/>
    </xf>
    <xf numFmtId="0" fontId="17" fillId="14" borderId="5" xfId="0" applyFont="1" applyFill="1" applyBorder="1" applyAlignment="1">
      <alignment horizontal="left"/>
    </xf>
    <xf numFmtId="167" fontId="17" fillId="14" borderId="5" xfId="0" applyNumberFormat="1" applyFont="1" applyFill="1" applyBorder="1"/>
    <xf numFmtId="167" fontId="17" fillId="14" borderId="5" xfId="0" applyNumberFormat="1" applyFont="1" applyFill="1" applyBorder="1" applyAlignment="1">
      <alignment horizontal="center"/>
    </xf>
    <xf numFmtId="0" fontId="17" fillId="0" borderId="0" xfId="0" applyFont="1" applyBorder="1"/>
    <xf numFmtId="170" fontId="0" fillId="0" borderId="0" xfId="0" applyNumberFormat="1" applyBorder="1"/>
    <xf numFmtId="167" fontId="15" fillId="13" borderId="19" xfId="0" applyNumberFormat="1" applyFont="1" applyFill="1" applyBorder="1" applyAlignment="1">
      <alignment horizontal="center" vertical="center" wrapText="1"/>
    </xf>
    <xf numFmtId="171" fontId="0" fillId="0" borderId="0" xfId="0" applyNumberFormat="1" applyBorder="1" applyAlignment="1">
      <alignment vertical="top" wrapText="1"/>
    </xf>
    <xf numFmtId="0" fontId="0" fillId="0" borderId="0" xfId="0" applyBorder="1" applyAlignment="1">
      <alignment vertical="top" wrapText="1"/>
    </xf>
    <xf numFmtId="167" fontId="0" fillId="0" borderId="0" xfId="0" applyNumberFormat="1" applyBorder="1" applyAlignment="1">
      <alignment vertical="top" wrapText="1"/>
    </xf>
    <xf numFmtId="170" fontId="0" fillId="0" borderId="0" xfId="0" applyNumberFormat="1" applyBorder="1" applyAlignment="1">
      <alignment vertical="top" wrapText="1"/>
    </xf>
    <xf numFmtId="171" fontId="7" fillId="0" borderId="0" xfId="0" applyNumberFormat="1" applyFont="1" applyBorder="1" applyAlignment="1">
      <alignment vertical="top" wrapText="1"/>
    </xf>
    <xf numFmtId="0" fontId="7" fillId="0" borderId="0" xfId="0" applyFont="1" applyBorder="1" applyAlignment="1">
      <alignment vertical="top" wrapText="1"/>
    </xf>
    <xf numFmtId="167" fontId="7" fillId="0" borderId="0" xfId="0" applyNumberFormat="1" applyFont="1" applyBorder="1" applyAlignment="1">
      <alignment vertical="top" wrapText="1"/>
    </xf>
    <xf numFmtId="170" fontId="7" fillId="0" borderId="0" xfId="0" applyNumberFormat="1" applyFont="1" applyBorder="1" applyAlignment="1">
      <alignment vertical="top" wrapText="1"/>
    </xf>
    <xf numFmtId="171" fontId="0" fillId="0" borderId="11" xfId="0" applyNumberFormat="1" applyAlignment="1">
      <alignment vertical="top" wrapText="1"/>
    </xf>
    <xf numFmtId="0" fontId="17" fillId="14" borderId="0" xfId="0" applyFont="1" applyFill="1" applyBorder="1"/>
    <xf numFmtId="167" fontId="17" fillId="14" borderId="0" xfId="0" applyNumberFormat="1" applyFont="1" applyFill="1" applyBorder="1"/>
    <xf numFmtId="171" fontId="0" fillId="0" borderId="19" xfId="0" applyNumberFormat="1" applyBorder="1" applyAlignment="1">
      <alignment vertical="top" wrapText="1"/>
    </xf>
    <xf numFmtId="0" fontId="0" fillId="0" borderId="19" xfId="0" applyBorder="1" applyAlignment="1">
      <alignment vertical="top" wrapText="1"/>
    </xf>
    <xf numFmtId="170" fontId="0" fillId="0" borderId="19" xfId="0" applyNumberFormat="1" applyBorder="1" applyAlignment="1">
      <alignment vertical="top" wrapText="1"/>
    </xf>
    <xf numFmtId="171" fontId="0" fillId="0" borderId="0" xfId="0" applyNumberFormat="1" applyBorder="1"/>
    <xf numFmtId="0" fontId="0" fillId="9" borderId="11" xfId="0" applyFill="1"/>
    <xf numFmtId="0" fontId="10" fillId="12" borderId="11" xfId="0" applyFont="1" applyFill="1" applyAlignment="1">
      <alignment vertical="center"/>
    </xf>
    <xf numFmtId="0" fontId="18" fillId="0" borderId="13" xfId="0" applyFont="1" applyBorder="1" applyAlignment="1">
      <alignment vertical="center"/>
    </xf>
    <xf numFmtId="0" fontId="18" fillId="0" borderId="13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0" fontId="12" fillId="15" borderId="14" xfId="0" applyFont="1" applyFill="1" applyBorder="1" applyAlignment="1">
      <alignment horizontal="left" vertical="center"/>
    </xf>
    <xf numFmtId="0" fontId="18" fillId="0" borderId="20" xfId="0" applyFont="1" applyBorder="1" applyAlignment="1">
      <alignment horizontal="left" vertical="center"/>
    </xf>
    <xf numFmtId="168" fontId="23" fillId="17" borderId="15" xfId="0" applyNumberFormat="1" applyFont="1" applyFill="1" applyBorder="1" applyAlignment="1">
      <alignment horizontal="left" vertical="center"/>
    </xf>
    <xf numFmtId="0" fontId="24" fillId="9" borderId="0" xfId="0" applyFont="1" applyFill="1" applyBorder="1"/>
    <xf numFmtId="167" fontId="26" fillId="0" borderId="13" xfId="0" applyNumberFormat="1" applyFont="1" applyBorder="1" applyAlignment="1">
      <alignment horizontal="left" vertical="center"/>
    </xf>
    <xf numFmtId="167" fontId="26" fillId="0" borderId="12" xfId="0" applyNumberFormat="1" applyFont="1" applyBorder="1" applyAlignment="1">
      <alignment horizontal="left" vertical="center"/>
    </xf>
    <xf numFmtId="167" fontId="26" fillId="0" borderId="20" xfId="0" applyNumberFormat="1" applyFont="1" applyBorder="1" applyAlignment="1">
      <alignment horizontal="left" vertical="center"/>
    </xf>
    <xf numFmtId="0" fontId="27" fillId="12" borderId="0" xfId="0" applyFont="1" applyFill="1" applyBorder="1"/>
    <xf numFmtId="0" fontId="27" fillId="12" borderId="24" xfId="0" applyFont="1" applyFill="1" applyBorder="1" applyAlignment="1">
      <alignment horizontal="center" vertical="center" wrapText="1"/>
    </xf>
    <xf numFmtId="0" fontId="27" fillId="12" borderId="24" xfId="0" quotePrefix="1" applyFont="1" applyFill="1" applyBorder="1" applyAlignment="1">
      <alignment horizontal="center" vertical="center" wrapText="1"/>
    </xf>
    <xf numFmtId="0" fontId="29" fillId="9" borderId="25" xfId="0" applyFont="1" applyFill="1" applyBorder="1" applyAlignment="1">
      <alignment vertical="center"/>
    </xf>
    <xf numFmtId="0" fontId="30" fillId="0" borderId="24" xfId="0" applyFont="1" applyBorder="1" applyAlignment="1">
      <alignment vertical="center"/>
    </xf>
    <xf numFmtId="169" fontId="28" fillId="0" borderId="24" xfId="0" applyNumberFormat="1" applyFont="1" applyBorder="1" applyAlignment="1">
      <alignment vertical="center"/>
    </xf>
    <xf numFmtId="0" fontId="29" fillId="0" borderId="25" xfId="0" applyFont="1" applyBorder="1" applyAlignment="1">
      <alignment vertical="center"/>
    </xf>
    <xf numFmtId="0" fontId="31" fillId="11" borderId="24" xfId="0" applyFont="1" applyFill="1" applyBorder="1"/>
    <xf numFmtId="169" fontId="23" fillId="11" borderId="24" xfId="0" applyNumberFormat="1" applyFont="1" applyFill="1" applyBorder="1"/>
    <xf numFmtId="0" fontId="20" fillId="0" borderId="0" xfId="0" applyFont="1" applyBorder="1"/>
    <xf numFmtId="169" fontId="28" fillId="0" borderId="24" xfId="0" applyNumberFormat="1" applyFont="1" applyBorder="1"/>
    <xf numFmtId="8" fontId="23" fillId="0" borderId="0" xfId="0" applyNumberFormat="1" applyFont="1" applyBorder="1"/>
    <xf numFmtId="0" fontId="35" fillId="0" borderId="0" xfId="0" applyFont="1" applyBorder="1"/>
    <xf numFmtId="0" fontId="36" fillId="0" borderId="0" xfId="0" applyFont="1" applyBorder="1"/>
    <xf numFmtId="166" fontId="37" fillId="0" borderId="0" xfId="0" applyNumberFormat="1" applyFont="1" applyBorder="1"/>
    <xf numFmtId="0" fontId="21" fillId="12" borderId="0" xfId="0" applyFont="1" applyFill="1" applyBorder="1"/>
    <xf numFmtId="168" fontId="0" fillId="0" borderId="0" xfId="0" applyNumberFormat="1" applyBorder="1"/>
    <xf numFmtId="169" fontId="0" fillId="0" borderId="0" xfId="0" applyNumberFormat="1" applyBorder="1"/>
    <xf numFmtId="0" fontId="19" fillId="15" borderId="16" xfId="0" applyFont="1" applyFill="1" applyBorder="1" applyAlignment="1">
      <alignment horizontal="left" vertical="center"/>
    </xf>
    <xf numFmtId="0" fontId="0" fillId="0" borderId="0" xfId="0" applyBorder="1"/>
    <xf numFmtId="172" fontId="25" fillId="10" borderId="18" xfId="0" applyNumberFormat="1" applyFont="1" applyFill="1" applyBorder="1" applyAlignment="1">
      <alignment horizontal="center" vertical="center"/>
    </xf>
    <xf numFmtId="0" fontId="0" fillId="0" borderId="22" xfId="0" applyBorder="1"/>
    <xf numFmtId="0" fontId="0" fillId="0" borderId="10" xfId="0" applyBorder="1"/>
    <xf numFmtId="0" fontId="0" fillId="0" borderId="23" xfId="0" applyBorder="1"/>
    <xf numFmtId="0" fontId="8" fillId="9" borderId="11" xfId="0" applyFont="1" applyFill="1" applyAlignment="1">
      <alignment horizontal="left" vertical="center"/>
    </xf>
    <xf numFmtId="0" fontId="13" fillId="11" borderId="11" xfId="0" applyFont="1" applyFill="1" applyAlignment="1">
      <alignment horizontal="left" vertical="center"/>
    </xf>
    <xf numFmtId="0" fontId="23" fillId="10" borderId="17" xfId="0" applyFont="1" applyFill="1" applyBorder="1" applyAlignment="1">
      <alignment horizontal="center" vertical="center"/>
    </xf>
    <xf numFmtId="0" fontId="0" fillId="0" borderId="21" xfId="0" applyBorder="1"/>
    <xf numFmtId="0" fontId="0" fillId="0" borderId="11" xfId="0"/>
    <xf numFmtId="0" fontId="33" fillId="12" borderId="11" xfId="0" applyFont="1" applyFill="1"/>
    <xf numFmtId="0" fontId="34" fillId="12" borderId="11" xfId="0" applyFont="1" applyFill="1"/>
    <xf numFmtId="0" fontId="23" fillId="17" borderId="15" xfId="0" applyFont="1" applyFill="1" applyBorder="1" applyAlignment="1">
      <alignment horizontal="left" vertical="center"/>
    </xf>
    <xf numFmtId="0" fontId="0" fillId="0" borderId="15" xfId="0" applyBorder="1"/>
    <xf numFmtId="0" fontId="24" fillId="0" borderId="11" xfId="0" applyFont="1"/>
    <xf numFmtId="0" fontId="32" fillId="11" borderId="11" xfId="0" applyFont="1" applyFill="1"/>
    <xf numFmtId="0" fontId="22" fillId="9" borderId="11" xfId="0" applyFont="1" applyFill="1" applyAlignment="1">
      <alignment horizontal="left" vertical="center"/>
    </xf>
    <xf numFmtId="0" fontId="12" fillId="11" borderId="14" xfId="0" applyFont="1" applyFill="1" applyBorder="1" applyAlignment="1">
      <alignment horizontal="left" vertical="center"/>
    </xf>
    <xf numFmtId="0" fontId="0" fillId="0" borderId="14" xfId="0" applyBorder="1"/>
    <xf numFmtId="0" fontId="23" fillId="11" borderId="14" xfId="0" applyFont="1" applyFill="1" applyBorder="1" applyAlignment="1">
      <alignment horizontal="left" vertical="center"/>
    </xf>
    <xf numFmtId="0" fontId="20" fillId="0" borderId="11" xfId="0" applyFont="1"/>
    <xf numFmtId="0" fontId="14" fillId="9" borderId="11" xfId="0" applyFont="1" applyFill="1" applyAlignment="1">
      <alignment horizontal="left" vertical="center"/>
    </xf>
    <xf numFmtId="0" fontId="3" fillId="2" borderId="11" xfId="0" applyFont="1" applyFill="1" applyAlignment="1">
      <alignment horizontal="left"/>
    </xf>
    <xf numFmtId="0" fontId="17" fillId="2" borderId="3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16" fillId="13" borderId="11" xfId="0" applyFont="1" applyFill="1"/>
    <xf numFmtId="49" fontId="9" fillId="9" borderId="11" xfId="0" applyNumberFormat="1" applyFont="1" applyFill="1" applyAlignment="1">
      <alignment horizontal="left" vertical="center"/>
    </xf>
    <xf numFmtId="0" fontId="38" fillId="0" borderId="1" xfId="0" applyFont="1" applyBorder="1"/>
    <xf numFmtId="14" fontId="0" fillId="0" borderId="0" xfId="0" applyNumberFormat="1" applyBorder="1"/>
    <xf numFmtId="0" fontId="0" fillId="0" borderId="0" xfId="0" applyBorder="1" applyAlignment="1"/>
    <xf numFmtId="0" fontId="27" fillId="16" borderId="24" xfId="0" applyFont="1" applyFill="1" applyBorder="1" applyAlignment="1">
      <alignment horizontal="center" vertical="center" wrapText="1"/>
    </xf>
    <xf numFmtId="0" fontId="39" fillId="16" borderId="11" xfId="0" applyFont="1" applyFill="1" applyAlignment="1">
      <alignment horizontal="center"/>
    </xf>
    <xf numFmtId="0" fontId="15" fillId="16" borderId="19" xfId="0" applyFont="1" applyFill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E4002B"/>
      <rgbColor rgb="FF008000"/>
      <rgbColor rgb="FF000080"/>
      <rgbColor rgb="FF808000"/>
      <rgbColor rgb="FF800080"/>
      <rgbColor rgb="FF008080"/>
      <rgbColor rgb="FF99FF99"/>
      <rgbColor rgb="FF808080"/>
      <rgbColor rgb="FF9999FF"/>
      <rgbColor rgb="FF993366"/>
      <rgbColor rgb="FFFFFFCC"/>
      <rgbColor rgb="FFDAE3F3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2CC"/>
      <rgbColor rgb="FF99FFCC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736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egoryMap" displayName="CategoryMap" ref="A1:C9" totalsRowShown="0">
  <autoFilter ref="A1:C9" xr:uid="{00000000-0009-0000-0100-000001000000}"/>
  <tableColumns count="3">
    <tableColumn id="1" xr3:uid="{00000000-0010-0000-0000-000001000000}" name="MyVenue Product Code"/>
    <tableColumn id="2" xr3:uid="{00000000-0010-0000-0000-000002000000}" name="Contract Class"/>
    <tableColumn id="3" xr3:uid="{00000000-0010-0000-0000-000003000000}" name="Description / Rul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SRData" displayName="MSRData" ref="A1:I1000" totalsRowShown="0">
  <autoFilter ref="A1:I1000" xr:uid="{00000000-0009-0000-0100-000002000000}"/>
  <tableColumns count="9">
    <tableColumn id="1" xr3:uid="{00000000-0010-0000-0100-000001000000}" name="Raw Row"/>
    <tableColumn id="2" xr3:uid="{00000000-0010-0000-0100-000002000000}" name="Event"/>
    <tableColumn id="3" xr3:uid="{00000000-0010-0000-0100-000003000000}" name="Department"/>
    <tableColumn id="4" xr3:uid="{00000000-0010-0000-0100-000004000000}" name="Location"/>
    <tableColumn id="5" xr3:uid="{00000000-0010-0000-0100-000005000000}" name="Product Code"/>
    <tableColumn id="6" xr3:uid="{00000000-0010-0000-0100-000006000000}" name="Product Name"/>
    <tableColumn id="7" xr3:uid="{00000000-0010-0000-0100-000007000000}" name="Contract Class"/>
    <tableColumn id="8" xr3:uid="{00000000-0010-0000-0100-000008000000}" name="Gross Amt"/>
    <tableColumn id="9" xr3:uid="{00000000-0010-0000-0100-000009000000}" name="Ne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ventAssignment" displayName="EventAssignment" ref="A1:I101">
  <autoFilter ref="A1:I101" xr:uid="{00000000-0009-0000-0100-000003000000}"/>
  <tableColumns count="9">
    <tableColumn id="1" xr3:uid="{00000000-0010-0000-0200-000001000000}" name="Event Date"/>
    <tableColumn id="2" xr3:uid="{00000000-0010-0000-0200-000002000000}" name="Event Description"/>
    <tableColumn id="3" xr3:uid="{00000000-0010-0000-0200-000003000000}" name="Location ID"/>
    <tableColumn id="4" xr3:uid="{00000000-0010-0000-0200-000004000000}" name="Location Description"/>
    <tableColumn id="5" xr3:uid="{00000000-0010-0000-0200-000005000000}" name="MSR Location"/>
    <tableColumn id="6" xr3:uid="{00000000-0010-0000-0200-000006000000}" name="NPO"/>
    <tableColumn id="7" xr3:uid="{00000000-0010-0000-0200-000007000000}" name="Allocation %"/>
    <tableColumn id="8" xr3:uid="{00000000-0010-0000-0200-000008000000}" name="Assignment Status"/>
    <tableColumn id="9" xr3:uid="{00000000-0010-0000-0200-000009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ipsData" displayName="TipsData" ref="A1:J101">
  <autoFilter ref="A1:J101" xr:uid="{00000000-0009-0000-0100-000004000000}"/>
  <tableColumns count="10">
    <tableColumn id="1" xr3:uid="{00000000-0010-0000-0300-000001000000}" name="Event Date"/>
    <tableColumn id="2" xr3:uid="{00000000-0010-0000-0300-000002000000}" name="Event Description"/>
    <tableColumn id="3" xr3:uid="{00000000-0010-0000-0300-000003000000}" name="NPO"/>
    <tableColumn id="4" xr3:uid="{00000000-0010-0000-0300-000004000000}" name="Location ID"/>
    <tableColumn id="5" xr3:uid="{00000000-0010-0000-0300-000005000000}" name="Location Description"/>
    <tableColumn id="6" xr3:uid="{00000000-0010-0000-0300-000006000000}" name="Gross Tips"/>
    <tableColumn id="7" xr3:uid="{00000000-0010-0000-0300-000007000000}" name="Allocation %"/>
    <tableColumn id="8" xr3:uid="{00000000-0010-0000-0300-000008000000}" name="Allocated Tips"/>
    <tableColumn id="9" xr3:uid="{00000000-0010-0000-0300-000009000000}" name="Source"/>
    <tableColumn id="10" xr3:uid="{00000000-0010-0000-0300-00000A000000}" name="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B7280"/>
    <pageSetUpPr fitToPage="1"/>
  </sheetPr>
  <dimension ref="A1:G80"/>
  <sheetViews>
    <sheetView showGridLines="0" tabSelected="1" zoomScaleNormal="100" workbookViewId="0">
      <selection activeCell="I28" sqref="I28"/>
    </sheetView>
  </sheetViews>
  <sheetFormatPr defaultColWidth="8.7109375" defaultRowHeight="12.75" customHeight="1" x14ac:dyDescent="0.2"/>
  <cols>
    <col min="1" max="1" width="21" customWidth="1"/>
    <col min="2" max="2" width="29.140625" customWidth="1"/>
    <col min="3" max="3" width="23" customWidth="1"/>
    <col min="4" max="4" width="22.5703125" customWidth="1"/>
    <col min="5" max="5" width="16.140625" customWidth="1"/>
    <col min="6" max="6" width="15.85546875" customWidth="1"/>
    <col min="7" max="8" width="15.42578125" customWidth="1"/>
  </cols>
  <sheetData>
    <row r="1" spans="1:7" ht="33.75" customHeight="1" x14ac:dyDescent="0.65">
      <c r="A1" s="128" t="s">
        <v>53</v>
      </c>
      <c r="B1" s="128"/>
      <c r="C1" s="128"/>
      <c r="D1" s="128"/>
      <c r="E1" s="128"/>
      <c r="F1" s="126"/>
    </row>
    <row r="2" spans="1:7" ht="12.75" customHeight="1" x14ac:dyDescent="0.2">
      <c r="A2" s="1"/>
    </row>
    <row r="3" spans="1:7" ht="20.25" customHeight="1" x14ac:dyDescent="0.3">
      <c r="A3" s="119" t="s">
        <v>54</v>
      </c>
      <c r="B3" s="119"/>
      <c r="C3" s="119"/>
      <c r="D3" s="119"/>
      <c r="E3" s="119"/>
      <c r="F3" s="126"/>
      <c r="G3" s="126"/>
    </row>
    <row r="4" spans="1:7" ht="15.75" customHeight="1" x14ac:dyDescent="0.25">
      <c r="A4" s="2" t="s">
        <v>55</v>
      </c>
      <c r="B4" s="3">
        <v>46270</v>
      </c>
      <c r="C4" s="4"/>
      <c r="D4" s="4"/>
    </row>
    <row r="5" spans="1:7" ht="15.75" customHeight="1" x14ac:dyDescent="0.25">
      <c r="A5" s="5" t="s">
        <v>56</v>
      </c>
      <c r="B5" s="6">
        <f>B4</f>
        <v>46270</v>
      </c>
      <c r="C5" s="7"/>
      <c r="D5" s="8"/>
    </row>
    <row r="6" spans="1:7" ht="15.75" customHeight="1" x14ac:dyDescent="0.25">
      <c r="A6" s="5" t="s">
        <v>57</v>
      </c>
      <c r="B6" s="9" t="s">
        <v>58</v>
      </c>
      <c r="C6" s="10"/>
      <c r="D6" s="10"/>
    </row>
    <row r="7" spans="1:7" ht="12.75" customHeight="1" x14ac:dyDescent="0.2">
      <c r="A7" s="11"/>
      <c r="D7" s="12"/>
    </row>
    <row r="8" spans="1:7" ht="12.75" customHeight="1" x14ac:dyDescent="0.2">
      <c r="A8" s="11"/>
    </row>
    <row r="9" spans="1:7" ht="12.75" customHeight="1" x14ac:dyDescent="0.2">
      <c r="A9" s="11"/>
    </row>
    <row r="10" spans="1:7" ht="21" customHeight="1" thickBot="1" x14ac:dyDescent="0.25">
      <c r="A10" s="120" t="s">
        <v>59</v>
      </c>
      <c r="B10" s="120"/>
      <c r="C10" s="120"/>
      <c r="D10" s="120"/>
      <c r="E10" s="120"/>
    </row>
    <row r="11" spans="1:7" ht="32.25" customHeight="1" x14ac:dyDescent="0.2">
      <c r="A11" s="129" t="s">
        <v>60</v>
      </c>
      <c r="B11" s="129" t="s">
        <v>61</v>
      </c>
      <c r="C11" s="129" t="s">
        <v>62</v>
      </c>
      <c r="D11" s="129" t="s">
        <v>63</v>
      </c>
      <c r="E11" s="129" t="s">
        <v>64</v>
      </c>
    </row>
    <row r="12" spans="1:7" ht="15" customHeight="1" x14ac:dyDescent="0.2">
      <c r="A12" s="13" t="s">
        <v>8</v>
      </c>
      <c r="B12" s="39">
        <f>SUMIFS('CONTRACT CALC'!$J$13:$J$112,'CONTRACT CALC'!$B$13:$B$112,A12)</f>
        <v>48024</v>
      </c>
      <c r="C12" s="39">
        <f>SUMIFS('CONTRACT CALC'!$K$13:$K$112,'CONTRACT CALC'!$B$13:$B$112,A12)</f>
        <v>4486.82</v>
      </c>
      <c r="D12" s="40">
        <f>SUMIFS('TIPS DATA'!$H$2:$H$101,'TIPS DATA'!$C$2:$C$101,A12)</f>
        <v>3421.74</v>
      </c>
      <c r="E12" s="39">
        <f t="shared" ref="E12:E18" si="0">C12+D12</f>
        <v>7908.5599999999995</v>
      </c>
    </row>
    <row r="13" spans="1:7" ht="15" customHeight="1" x14ac:dyDescent="0.2">
      <c r="A13" s="14" t="s">
        <v>65</v>
      </c>
      <c r="B13" s="41">
        <f>SUMIFS('CONTRACT CALC'!$J$13:$J$112,'CONTRACT CALC'!$B$13:$B$112,A13)</f>
        <v>0</v>
      </c>
      <c r="C13" s="41">
        <f>SUMIFS('CONTRACT CALC'!$K$13:$K$112,'CONTRACT CALC'!$B$13:$B$112,A13)</f>
        <v>0</v>
      </c>
      <c r="D13" s="42">
        <f>SUMIFS('TIPS DATA'!$H$2:$H$101,'TIPS DATA'!$C$2:$C$101,A13)</f>
        <v>0</v>
      </c>
      <c r="E13" s="41">
        <f t="shared" si="0"/>
        <v>0</v>
      </c>
    </row>
    <row r="14" spans="1:7" ht="15" customHeight="1" x14ac:dyDescent="0.2">
      <c r="A14" s="15" t="s">
        <v>66</v>
      </c>
      <c r="B14" s="43">
        <f>SUMIFS('CONTRACT CALC'!$J$13:$J$112,'CONTRACT CALC'!$B$13:$B$112,A14)</f>
        <v>0</v>
      </c>
      <c r="C14" s="43">
        <f>SUMIFS('CONTRACT CALC'!$K$13:$K$112,'CONTRACT CALC'!$B$13:$B$112,A14)</f>
        <v>0</v>
      </c>
      <c r="D14" s="44">
        <f>SUMIFS('TIPS DATA'!$H$2:$H$101,'TIPS DATA'!$C$2:$C$101,A14)</f>
        <v>0</v>
      </c>
      <c r="E14" s="43">
        <f t="shared" si="0"/>
        <v>0</v>
      </c>
    </row>
    <row r="15" spans="1:7" ht="15" customHeight="1" x14ac:dyDescent="0.2">
      <c r="A15" s="14" t="s">
        <v>67</v>
      </c>
      <c r="B15" s="41">
        <f>SUMIFS('CONTRACT CALC'!$J$13:$J$112,'CONTRACT CALC'!$B$13:$B$112,A15)</f>
        <v>0</v>
      </c>
      <c r="C15" s="41">
        <f>SUMIFS('CONTRACT CALC'!$K$13:$K$112,'CONTRACT CALC'!$B$13:$B$112,A15)</f>
        <v>0</v>
      </c>
      <c r="D15" s="42">
        <f>SUMIFS('TIPS DATA'!$H$2:$H$101,'TIPS DATA'!$C$2:$C$101,A15)</f>
        <v>0</v>
      </c>
      <c r="E15" s="41">
        <f t="shared" si="0"/>
        <v>0</v>
      </c>
    </row>
    <row r="16" spans="1:7" ht="15" customHeight="1" x14ac:dyDescent="0.2">
      <c r="A16" s="15" t="s">
        <v>68</v>
      </c>
      <c r="B16" s="43">
        <f>SUMIFS('CONTRACT CALC'!$J$13:$J$112,'CONTRACT CALC'!$B$13:$B$112,A16)</f>
        <v>0</v>
      </c>
      <c r="C16" s="43">
        <f>SUMIFS('CONTRACT CALC'!$K$13:$K$112,'CONTRACT CALC'!$B$13:$B$112,A16)</f>
        <v>0</v>
      </c>
      <c r="D16" s="44">
        <f>SUMIFS('TIPS DATA'!$H$2:$H$101,'TIPS DATA'!$C$2:$C$101,A16)</f>
        <v>0</v>
      </c>
      <c r="E16" s="43">
        <f t="shared" si="0"/>
        <v>0</v>
      </c>
    </row>
    <row r="17" spans="1:5" ht="15" customHeight="1" x14ac:dyDescent="0.2">
      <c r="A17" s="14" t="s">
        <v>69</v>
      </c>
      <c r="B17" s="41">
        <f>SUMIFS('CONTRACT CALC'!$J$13:$J$112,'CONTRACT CALC'!$B$13:$B$112,A17)</f>
        <v>0</v>
      </c>
      <c r="C17" s="41">
        <f>SUMIFS('CONTRACT CALC'!$K$13:$K$112,'CONTRACT CALC'!$B$13:$B$112,A17)</f>
        <v>0</v>
      </c>
      <c r="D17" s="42">
        <f>SUMIFS('TIPS DATA'!$H$2:$H$101,'TIPS DATA'!$C$2:$C$101,A17)</f>
        <v>0</v>
      </c>
      <c r="E17" s="41">
        <f t="shared" si="0"/>
        <v>0</v>
      </c>
    </row>
    <row r="18" spans="1:5" ht="15" customHeight="1" x14ac:dyDescent="0.2">
      <c r="A18" s="15" t="s">
        <v>70</v>
      </c>
      <c r="B18" s="43">
        <f>SUMIFS('CONTRACT CALC'!$J$13:$J$112,'CONTRACT CALC'!$B$13:$B$112,A18)</f>
        <v>6694.5</v>
      </c>
      <c r="C18" s="43">
        <f>SUMIFS('CONTRACT CALC'!$K$13:$K$112,'CONTRACT CALC'!$B$13:$B$112,A18)</f>
        <v>643.12000000000012</v>
      </c>
      <c r="D18" s="44">
        <f>SUMIFS('TIPS DATA'!$H$2:$H$101,'TIPS DATA'!$C$2:$C$101,A18)</f>
        <v>0</v>
      </c>
      <c r="E18" s="43">
        <f t="shared" si="0"/>
        <v>643.12000000000012</v>
      </c>
    </row>
    <row r="19" spans="1:5" ht="15.75" customHeight="1" thickBot="1" x14ac:dyDescent="0.25">
      <c r="A19" s="45" t="s">
        <v>27</v>
      </c>
      <c r="B19" s="46">
        <f>SUM(B12:B18)</f>
        <v>54718.5</v>
      </c>
      <c r="C19" s="46">
        <f>SUM(C12:C18)</f>
        <v>5129.9399999999996</v>
      </c>
      <c r="D19" s="47">
        <f>SUM(D12:D18)</f>
        <v>3421.74</v>
      </c>
      <c r="E19" s="46">
        <f>SUM(E12:E18)</f>
        <v>8551.68</v>
      </c>
    </row>
    <row r="20" spans="1:5" ht="16.5" customHeight="1" thickBot="1" x14ac:dyDescent="0.3">
      <c r="A20" s="16"/>
      <c r="B20" s="16"/>
      <c r="C20" s="16"/>
      <c r="D20" s="16"/>
      <c r="E20" s="17"/>
    </row>
    <row r="21" spans="1:5" x14ac:dyDescent="0.2">
      <c r="A21" s="130" t="s">
        <v>71</v>
      </c>
      <c r="B21" s="130"/>
      <c r="C21" s="130"/>
      <c r="D21" s="130"/>
      <c r="E21" s="130"/>
    </row>
    <row r="22" spans="1:5" x14ac:dyDescent="0.2">
      <c r="A22" s="131"/>
      <c r="B22" s="131"/>
      <c r="C22" s="131"/>
      <c r="D22" s="131"/>
      <c r="E22" s="131"/>
    </row>
    <row r="23" spans="1:5" ht="21" customHeight="1" thickBot="1" x14ac:dyDescent="0.35">
      <c r="A23" s="121" t="s">
        <v>72</v>
      </c>
      <c r="B23" s="121"/>
      <c r="C23" s="121"/>
      <c r="D23" s="121"/>
      <c r="E23" s="121"/>
    </row>
    <row r="24" spans="1:5" ht="16.5" customHeight="1" x14ac:dyDescent="0.25">
      <c r="A24" s="18" t="s">
        <v>73</v>
      </c>
      <c r="B24" s="18" t="s">
        <v>74</v>
      </c>
    </row>
    <row r="25" spans="1:5" ht="15" customHeight="1" x14ac:dyDescent="0.2">
      <c r="A25" s="19" t="s">
        <v>75</v>
      </c>
      <c r="B25" s="20" t="s">
        <v>76</v>
      </c>
      <c r="C25" s="11" t="s">
        <v>77</v>
      </c>
    </row>
    <row r="26" spans="1:5" ht="15" customHeight="1" x14ac:dyDescent="0.2">
      <c r="A26" s="19" t="s">
        <v>78</v>
      </c>
      <c r="B26" s="20" t="s">
        <v>79</v>
      </c>
      <c r="C26" s="11" t="s">
        <v>80</v>
      </c>
    </row>
    <row r="27" spans="1:5" ht="15.75" customHeight="1" x14ac:dyDescent="0.2">
      <c r="A27" s="21" t="s">
        <v>81</v>
      </c>
      <c r="B27" s="22" t="s">
        <v>82</v>
      </c>
      <c r="C27" s="11" t="s">
        <v>80</v>
      </c>
    </row>
    <row r="28" spans="1:5" ht="12.75" customHeight="1" x14ac:dyDescent="0.2">
      <c r="A28" s="23" t="s">
        <v>83</v>
      </c>
      <c r="B28" s="24" t="s">
        <v>84</v>
      </c>
      <c r="C28" s="11" t="s">
        <v>85</v>
      </c>
    </row>
    <row r="29" spans="1:5" ht="12.75" customHeight="1" x14ac:dyDescent="0.2">
      <c r="A29" s="25" t="s">
        <v>86</v>
      </c>
      <c r="B29" s="26" t="s">
        <v>87</v>
      </c>
      <c r="C29" s="11" t="s">
        <v>85</v>
      </c>
    </row>
    <row r="30" spans="1:5" ht="13.5" customHeight="1" x14ac:dyDescent="0.2">
      <c r="A30" s="23" t="s">
        <v>88</v>
      </c>
      <c r="B30" s="24" t="s">
        <v>89</v>
      </c>
      <c r="C30" s="11" t="s">
        <v>85</v>
      </c>
    </row>
    <row r="31" spans="1:5" ht="12.75" customHeight="1" x14ac:dyDescent="0.2">
      <c r="A31" s="25" t="s">
        <v>90</v>
      </c>
      <c r="B31" s="26" t="s">
        <v>91</v>
      </c>
      <c r="C31" s="11" t="s">
        <v>85</v>
      </c>
    </row>
    <row r="32" spans="1:5" ht="15.75" customHeight="1" x14ac:dyDescent="0.2">
      <c r="A32" s="23" t="s">
        <v>92</v>
      </c>
      <c r="B32" s="24" t="s">
        <v>93</v>
      </c>
      <c r="C32" s="11" t="s">
        <v>85</v>
      </c>
    </row>
    <row r="33" spans="1:3" ht="12.75" customHeight="1" x14ac:dyDescent="0.2">
      <c r="A33" s="25" t="s">
        <v>94</v>
      </c>
      <c r="B33" s="26" t="s">
        <v>95</v>
      </c>
      <c r="C33" s="11" t="s">
        <v>85</v>
      </c>
    </row>
    <row r="34" spans="1:3" ht="12.75" customHeight="1" x14ac:dyDescent="0.2">
      <c r="A34" s="23" t="s">
        <v>96</v>
      </c>
      <c r="B34" s="24" t="s">
        <v>97</v>
      </c>
      <c r="C34" s="11" t="s">
        <v>85</v>
      </c>
    </row>
    <row r="35" spans="1:3" ht="12.75" customHeight="1" x14ac:dyDescent="0.2">
      <c r="A35" s="25" t="s">
        <v>98</v>
      </c>
      <c r="B35" s="26" t="s">
        <v>99</v>
      </c>
      <c r="C35" s="11" t="s">
        <v>85</v>
      </c>
    </row>
    <row r="36" spans="1:3" ht="15.75" customHeight="1" x14ac:dyDescent="0.2">
      <c r="A36" s="23" t="s">
        <v>100</v>
      </c>
      <c r="B36" s="24" t="s">
        <v>101</v>
      </c>
      <c r="C36" s="11" t="s">
        <v>85</v>
      </c>
    </row>
    <row r="37" spans="1:3" ht="12.75" customHeight="1" x14ac:dyDescent="0.2">
      <c r="A37" s="25" t="s">
        <v>102</v>
      </c>
      <c r="B37" s="26" t="s">
        <v>103</v>
      </c>
      <c r="C37" s="11" t="s">
        <v>85</v>
      </c>
    </row>
    <row r="38" spans="1:3" ht="12.75" customHeight="1" x14ac:dyDescent="0.2">
      <c r="A38" s="23" t="s">
        <v>104</v>
      </c>
      <c r="B38" s="24" t="s">
        <v>105</v>
      </c>
      <c r="C38" s="11" t="s">
        <v>85</v>
      </c>
    </row>
    <row r="39" spans="1:3" ht="12.75" customHeight="1" x14ac:dyDescent="0.2">
      <c r="A39" s="25" t="s">
        <v>106</v>
      </c>
      <c r="B39" s="26" t="s">
        <v>107</v>
      </c>
      <c r="C39" s="11" t="s">
        <v>85</v>
      </c>
    </row>
    <row r="40" spans="1:3" ht="12.75" customHeight="1" x14ac:dyDescent="0.2">
      <c r="A40" s="23" t="s">
        <v>108</v>
      </c>
      <c r="B40" s="24" t="s">
        <v>109</v>
      </c>
      <c r="C40" s="11" t="s">
        <v>85</v>
      </c>
    </row>
    <row r="41" spans="1:3" ht="12.75" customHeight="1" x14ac:dyDescent="0.2">
      <c r="A41" s="25" t="s">
        <v>110</v>
      </c>
      <c r="B41" s="26" t="s">
        <v>111</v>
      </c>
      <c r="C41" s="11" t="s">
        <v>85</v>
      </c>
    </row>
    <row r="42" spans="1:3" ht="12.75" customHeight="1" x14ac:dyDescent="0.2">
      <c r="A42" s="23" t="s">
        <v>112</v>
      </c>
      <c r="B42" s="24" t="s">
        <v>113</v>
      </c>
      <c r="C42" s="11" t="s">
        <v>85</v>
      </c>
    </row>
    <row r="43" spans="1:3" ht="12.75" customHeight="1" x14ac:dyDescent="0.2">
      <c r="A43" s="25" t="s">
        <v>114</v>
      </c>
      <c r="B43" s="26" t="s">
        <v>115</v>
      </c>
      <c r="C43" s="11" t="s">
        <v>85</v>
      </c>
    </row>
    <row r="44" spans="1:3" ht="12.75" customHeight="1" x14ac:dyDescent="0.2">
      <c r="A44" s="23" t="s">
        <v>116</v>
      </c>
      <c r="B44" s="24" t="s">
        <v>117</v>
      </c>
      <c r="C44" s="11" t="s">
        <v>85</v>
      </c>
    </row>
    <row r="45" spans="1:3" ht="12.75" customHeight="1" x14ac:dyDescent="0.2">
      <c r="A45" s="25" t="s">
        <v>118</v>
      </c>
      <c r="B45" s="26" t="s">
        <v>119</v>
      </c>
      <c r="C45" s="11" t="s">
        <v>85</v>
      </c>
    </row>
    <row r="46" spans="1:3" ht="12.75" customHeight="1" x14ac:dyDescent="0.2">
      <c r="A46" s="23" t="s">
        <v>120</v>
      </c>
      <c r="B46" s="24" t="s">
        <v>121</v>
      </c>
      <c r="C46" s="11" t="s">
        <v>85</v>
      </c>
    </row>
    <row r="47" spans="1:3" ht="12.75" customHeight="1" x14ac:dyDescent="0.2">
      <c r="A47" s="25" t="s">
        <v>122</v>
      </c>
      <c r="B47" s="26" t="s">
        <v>123</v>
      </c>
      <c r="C47" s="11" t="s">
        <v>85</v>
      </c>
    </row>
    <row r="48" spans="1:3" ht="12.75" customHeight="1" x14ac:dyDescent="0.2">
      <c r="A48" s="23" t="s">
        <v>124</v>
      </c>
      <c r="B48" s="24" t="s">
        <v>125</v>
      </c>
      <c r="C48" s="11" t="s">
        <v>85</v>
      </c>
    </row>
    <row r="49" spans="1:3" ht="12.75" customHeight="1" x14ac:dyDescent="0.2">
      <c r="A49" s="25" t="s">
        <v>126</v>
      </c>
      <c r="B49" s="26" t="s">
        <v>127</v>
      </c>
      <c r="C49" s="11" t="s">
        <v>85</v>
      </c>
    </row>
    <row r="50" spans="1:3" ht="12.75" customHeight="1" x14ac:dyDescent="0.2">
      <c r="A50" s="23" t="s">
        <v>128</v>
      </c>
      <c r="B50" s="24" t="s">
        <v>129</v>
      </c>
      <c r="C50" s="11" t="s">
        <v>85</v>
      </c>
    </row>
    <row r="51" spans="1:3" ht="12.75" customHeight="1" x14ac:dyDescent="0.2">
      <c r="A51" s="25" t="s">
        <v>130</v>
      </c>
      <c r="B51" s="26" t="s">
        <v>131</v>
      </c>
      <c r="C51" s="11" t="s">
        <v>85</v>
      </c>
    </row>
    <row r="52" spans="1:3" ht="12.75" customHeight="1" x14ac:dyDescent="0.2">
      <c r="A52" s="23" t="s">
        <v>132</v>
      </c>
      <c r="B52" s="24" t="s">
        <v>133</v>
      </c>
      <c r="C52" s="11" t="s">
        <v>85</v>
      </c>
    </row>
    <row r="53" spans="1:3" ht="12.75" customHeight="1" x14ac:dyDescent="0.2">
      <c r="A53" s="25" t="s">
        <v>134</v>
      </c>
      <c r="B53" s="26" t="s">
        <v>135</v>
      </c>
      <c r="C53" s="11" t="s">
        <v>85</v>
      </c>
    </row>
    <row r="54" spans="1:3" ht="12.75" customHeight="1" x14ac:dyDescent="0.2">
      <c r="A54" s="23" t="s">
        <v>136</v>
      </c>
      <c r="B54" s="24" t="s">
        <v>137</v>
      </c>
      <c r="C54" s="11" t="s">
        <v>138</v>
      </c>
    </row>
    <row r="55" spans="1:3" ht="12.75" customHeight="1" x14ac:dyDescent="0.2">
      <c r="A55" s="27" t="s">
        <v>139</v>
      </c>
      <c r="B55" s="28" t="s">
        <v>140</v>
      </c>
      <c r="C55" s="11" t="s">
        <v>80</v>
      </c>
    </row>
    <row r="56" spans="1:3" ht="12.75" customHeight="1" x14ac:dyDescent="0.2">
      <c r="A56" s="23" t="s">
        <v>141</v>
      </c>
      <c r="B56" s="24" t="s">
        <v>142</v>
      </c>
      <c r="C56" s="11" t="s">
        <v>80</v>
      </c>
    </row>
    <row r="57" spans="1:3" ht="12.75" customHeight="1" x14ac:dyDescent="0.2">
      <c r="A57" s="27" t="s">
        <v>141</v>
      </c>
      <c r="B57" s="28" t="s">
        <v>143</v>
      </c>
      <c r="C57" s="11" t="s">
        <v>80</v>
      </c>
    </row>
    <row r="58" spans="1:3" ht="12.75" customHeight="1" x14ac:dyDescent="0.2">
      <c r="A58" s="23" t="s">
        <v>144</v>
      </c>
      <c r="B58" s="24" t="s">
        <v>145</v>
      </c>
      <c r="C58" s="11" t="s">
        <v>80</v>
      </c>
    </row>
    <row r="59" spans="1:3" ht="12.75" customHeight="1" x14ac:dyDescent="0.2">
      <c r="A59" s="27" t="s">
        <v>146</v>
      </c>
      <c r="B59" s="28" t="s">
        <v>147</v>
      </c>
      <c r="C59" s="11" t="s">
        <v>80</v>
      </c>
    </row>
    <row r="60" spans="1:3" ht="12.75" customHeight="1" x14ac:dyDescent="0.2">
      <c r="A60" s="23" t="s">
        <v>148</v>
      </c>
      <c r="B60" s="24" t="s">
        <v>149</v>
      </c>
      <c r="C60" s="11" t="s">
        <v>80</v>
      </c>
    </row>
    <row r="61" spans="1:3" ht="12.75" customHeight="1" x14ac:dyDescent="0.2">
      <c r="A61" s="27" t="s">
        <v>150</v>
      </c>
      <c r="B61" s="28" t="s">
        <v>151</v>
      </c>
      <c r="C61" s="11" t="s">
        <v>80</v>
      </c>
    </row>
    <row r="62" spans="1:3" ht="12.75" customHeight="1" x14ac:dyDescent="0.2">
      <c r="A62" s="23" t="s">
        <v>152</v>
      </c>
      <c r="B62" s="24" t="s">
        <v>153</v>
      </c>
      <c r="C62" s="11" t="s">
        <v>80</v>
      </c>
    </row>
    <row r="63" spans="1:3" ht="12.75" customHeight="1" x14ac:dyDescent="0.2">
      <c r="A63" s="27" t="s">
        <v>154</v>
      </c>
      <c r="B63" s="28" t="s">
        <v>155</v>
      </c>
      <c r="C63" s="11" t="s">
        <v>80</v>
      </c>
    </row>
    <row r="64" spans="1:3" ht="12.75" customHeight="1" x14ac:dyDescent="0.2">
      <c r="A64" s="23" t="s">
        <v>156</v>
      </c>
      <c r="B64" s="24" t="s">
        <v>157</v>
      </c>
      <c r="C64" s="11" t="s">
        <v>80</v>
      </c>
    </row>
    <row r="65" spans="1:3" ht="12.75" customHeight="1" x14ac:dyDescent="0.2">
      <c r="A65" s="27" t="s">
        <v>158</v>
      </c>
      <c r="B65" s="28" t="s">
        <v>159</v>
      </c>
      <c r="C65" s="11" t="s">
        <v>80</v>
      </c>
    </row>
    <row r="66" spans="1:3" ht="12.75" customHeight="1" x14ac:dyDescent="0.2">
      <c r="A66" s="23" t="s">
        <v>160</v>
      </c>
      <c r="B66" s="24" t="s">
        <v>161</v>
      </c>
      <c r="C66" s="11" t="s">
        <v>80</v>
      </c>
    </row>
    <row r="67" spans="1:3" ht="12.75" customHeight="1" x14ac:dyDescent="0.2">
      <c r="A67" s="27" t="s">
        <v>162</v>
      </c>
      <c r="B67" s="28" t="s">
        <v>163</v>
      </c>
      <c r="C67" s="11" t="s">
        <v>80</v>
      </c>
    </row>
    <row r="68" spans="1:3" ht="12.75" customHeight="1" x14ac:dyDescent="0.2">
      <c r="A68" s="23" t="s">
        <v>164</v>
      </c>
      <c r="B68" s="24" t="s">
        <v>165</v>
      </c>
      <c r="C68" s="11" t="s">
        <v>80</v>
      </c>
    </row>
    <row r="69" spans="1:3" ht="12.75" customHeight="1" x14ac:dyDescent="0.2">
      <c r="A69" s="27" t="s">
        <v>166</v>
      </c>
      <c r="B69" s="28" t="s">
        <v>167</v>
      </c>
      <c r="C69" s="11" t="s">
        <v>80</v>
      </c>
    </row>
    <row r="70" spans="1:3" ht="12.75" customHeight="1" x14ac:dyDescent="0.2">
      <c r="A70" s="23" t="s">
        <v>168</v>
      </c>
      <c r="B70" s="24" t="s">
        <v>169</v>
      </c>
      <c r="C70" s="11" t="s">
        <v>80</v>
      </c>
    </row>
    <row r="71" spans="1:3" ht="12.75" customHeight="1" x14ac:dyDescent="0.2">
      <c r="A71" s="27" t="s">
        <v>170</v>
      </c>
      <c r="B71" s="28" t="s">
        <v>171</v>
      </c>
      <c r="C71" s="11" t="s">
        <v>80</v>
      </c>
    </row>
    <row r="72" spans="1:3" ht="12.75" customHeight="1" x14ac:dyDescent="0.2">
      <c r="A72" s="23" t="s">
        <v>172</v>
      </c>
      <c r="B72" s="24" t="s">
        <v>173</v>
      </c>
      <c r="C72" s="11" t="s">
        <v>80</v>
      </c>
    </row>
    <row r="73" spans="1:3" ht="12.75" customHeight="1" x14ac:dyDescent="0.2">
      <c r="A73" s="27" t="s">
        <v>174</v>
      </c>
      <c r="B73" s="28" t="s">
        <v>175</v>
      </c>
      <c r="C73" s="11" t="s">
        <v>80</v>
      </c>
    </row>
    <row r="74" spans="1:3" ht="12.75" customHeight="1" x14ac:dyDescent="0.2">
      <c r="A74" s="23" t="s">
        <v>176</v>
      </c>
      <c r="B74" s="24" t="s">
        <v>177</v>
      </c>
      <c r="C74" s="11" t="s">
        <v>80</v>
      </c>
    </row>
    <row r="75" spans="1:3" ht="12.75" customHeight="1" x14ac:dyDescent="0.2">
      <c r="A75" s="27" t="s">
        <v>178</v>
      </c>
      <c r="B75" s="28" t="s">
        <v>179</v>
      </c>
      <c r="C75" s="11" t="s">
        <v>80</v>
      </c>
    </row>
    <row r="76" spans="1:3" ht="12.75" customHeight="1" x14ac:dyDescent="0.2">
      <c r="A76" s="23" t="s">
        <v>180</v>
      </c>
      <c r="B76" s="24" t="s">
        <v>181</v>
      </c>
      <c r="C76" s="11" t="s">
        <v>80</v>
      </c>
    </row>
    <row r="77" spans="1:3" ht="12.75" customHeight="1" x14ac:dyDescent="0.2">
      <c r="A77" s="27" t="s">
        <v>182</v>
      </c>
      <c r="B77" s="28" t="s">
        <v>183</v>
      </c>
      <c r="C77" s="11" t="s">
        <v>80</v>
      </c>
    </row>
    <row r="78" spans="1:3" ht="12.75" customHeight="1" x14ac:dyDescent="0.2">
      <c r="A78" s="23" t="s">
        <v>184</v>
      </c>
      <c r="B78" s="24" t="s">
        <v>185</v>
      </c>
      <c r="C78" s="11" t="s">
        <v>80</v>
      </c>
    </row>
    <row r="79" spans="1:3" ht="12.75" customHeight="1" x14ac:dyDescent="0.2">
      <c r="A79" s="27" t="s">
        <v>186</v>
      </c>
      <c r="B79" s="28" t="s">
        <v>187</v>
      </c>
      <c r="C79" s="11" t="s">
        <v>80</v>
      </c>
    </row>
    <row r="80" spans="1:3" ht="12.75" customHeight="1" x14ac:dyDescent="0.2">
      <c r="A80" s="23" t="s">
        <v>188</v>
      </c>
      <c r="B80" s="24" t="s">
        <v>189</v>
      </c>
      <c r="C80" s="11" t="s">
        <v>80</v>
      </c>
    </row>
  </sheetData>
  <sheetProtection selectLockedCells="1"/>
  <mergeCells count="5">
    <mergeCell ref="A23:E23"/>
    <mergeCell ref="A10:E10"/>
    <mergeCell ref="A3:E3"/>
    <mergeCell ref="A1:E1"/>
    <mergeCell ref="A21:E22"/>
  </mergeCells>
  <dataValidations count="3">
    <dataValidation type="list" allowBlank="1" showInputMessage="1" showErrorMessage="1" sqref="C5:D5" xr:uid="{00000000-0002-0000-0000-000000000000}">
      <formula1>"MON,TUE,WED,THUR,FRI,SAT,SUN"</formula1>
      <formula2>0</formula2>
    </dataValidation>
    <dataValidation type="list" allowBlank="1" showInputMessage="1" showErrorMessage="1" sqref="C6:D6" xr:uid="{00000000-0002-0000-0000-000001000000}">
      <formula1>"MBB,WBB,DBL-BBALL,FB,UNM,PBR,NMAA,OTHER,MISC"</formula1>
      <formula2>0</formula2>
    </dataValidation>
    <dataValidation type="list" allowBlank="1" showInputMessage="1" showErrorMessage="1" sqref="B6" xr:uid="{00000000-0002-0000-0000-000002000000}">
      <formula1>"Men's Basketball,Women's Basketball,NM BOWL,BBALL-T,UNM-GRAD,Football,UNM,PBR,NMAA,OTHER,MISC"</formula1>
      <formula2>0</formula2>
    </dataValidation>
  </dataValidations>
  <pageMargins left="0.25" right="0.25" top="0.3" bottom="0.3" header="0.1" footer="0.15"/>
  <pageSetup orientation="landscape" horizontalDpi="300" verticalDpi="300"/>
  <headerFooter>
    <oddFooter>&amp;C&amp;P of &amp;N&amp;R&amp;D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4002B"/>
    <pageSetUpPr fitToPage="1"/>
  </sheetPr>
  <dimension ref="A1:I52"/>
  <sheetViews>
    <sheetView showGridLines="0" zoomScaleNormal="100" workbookViewId="0">
      <selection activeCell="E17" sqref="E17"/>
    </sheetView>
  </sheetViews>
  <sheetFormatPr defaultRowHeight="12.75" x14ac:dyDescent="0.2"/>
  <cols>
    <col min="1" max="1" width="6" customWidth="1"/>
    <col min="2" max="2" width="24" customWidth="1"/>
    <col min="3" max="3" width="15" customWidth="1"/>
    <col min="4" max="4" width="17" bestFit="1" customWidth="1"/>
    <col min="5" max="5" width="19" bestFit="1" customWidth="1"/>
    <col min="6" max="6" width="19.85546875" customWidth="1"/>
    <col min="7" max="7" width="19" bestFit="1" customWidth="1"/>
    <col min="8" max="8" width="17" customWidth="1"/>
    <col min="9" max="9" width="15" customWidth="1"/>
  </cols>
  <sheetData>
    <row r="1" spans="1:9" ht="12" customHeight="1" x14ac:dyDescent="0.2">
      <c r="A1" s="32"/>
      <c r="B1" s="32"/>
      <c r="C1" s="32"/>
      <c r="D1" s="32"/>
      <c r="E1" s="32"/>
      <c r="F1" s="32"/>
      <c r="G1" s="32"/>
      <c r="H1" s="66"/>
      <c r="I1" s="66"/>
    </row>
    <row r="2" spans="1:9" ht="21.95" customHeight="1" x14ac:dyDescent="0.2">
      <c r="A2" s="32"/>
      <c r="B2" s="32"/>
      <c r="C2" s="102" t="s">
        <v>0</v>
      </c>
      <c r="D2" s="97"/>
      <c r="E2" s="97"/>
      <c r="F2" s="97"/>
      <c r="G2" s="97"/>
      <c r="H2" s="37"/>
      <c r="I2" s="37"/>
    </row>
    <row r="3" spans="1:9" ht="18" customHeight="1" x14ac:dyDescent="0.2">
      <c r="A3" s="32"/>
      <c r="B3" s="32"/>
      <c r="C3" s="118" t="s">
        <v>1</v>
      </c>
      <c r="D3" s="97"/>
      <c r="E3" s="97"/>
      <c r="F3" s="97"/>
      <c r="G3" s="97"/>
      <c r="H3" s="37"/>
    </row>
    <row r="4" spans="1:9" ht="9" customHeight="1" x14ac:dyDescent="0.2">
      <c r="A4" s="32"/>
      <c r="B4" s="32"/>
      <c r="C4" s="32"/>
      <c r="D4" s="32"/>
      <c r="E4" s="32"/>
      <c r="F4" s="32"/>
      <c r="G4" s="32"/>
      <c r="H4" s="66"/>
    </row>
    <row r="5" spans="1:9" ht="20.100000000000001" customHeight="1" x14ac:dyDescent="0.2">
      <c r="A5" s="32"/>
      <c r="B5" s="113" t="str">
        <f>$E$10</f>
        <v>ARVC</v>
      </c>
      <c r="C5" s="97"/>
      <c r="D5" s="97"/>
      <c r="E5" s="97"/>
      <c r="F5" s="97"/>
      <c r="G5" s="104" t="s">
        <v>2</v>
      </c>
      <c r="H5" s="105"/>
    </row>
    <row r="6" spans="1:9" ht="18" customHeight="1" x14ac:dyDescent="0.2">
      <c r="A6" s="32"/>
      <c r="B6" s="123" t="str">
        <f>'SET-UP &amp; SUMMARY'!B6</f>
        <v>Football</v>
      </c>
      <c r="C6" s="97"/>
      <c r="D6" s="97"/>
      <c r="E6" s="97"/>
      <c r="F6" s="97"/>
      <c r="G6" s="98">
        <f>SUM(H33,I33,I36,I37,I38,I39,I40,I41)</f>
        <v>7908.5599999999995</v>
      </c>
      <c r="H6" s="99"/>
    </row>
    <row r="7" spans="1:9" x14ac:dyDescent="0.2">
      <c r="A7" s="32"/>
      <c r="B7" s="32"/>
      <c r="C7" s="32"/>
      <c r="D7" s="32"/>
      <c r="E7" s="32"/>
      <c r="F7" s="32"/>
      <c r="G7" s="100"/>
      <c r="H7" s="101"/>
    </row>
    <row r="8" spans="1:9" ht="9.9499999999999993" customHeight="1" x14ac:dyDescent="0.2">
      <c r="A8" s="32"/>
      <c r="B8" s="32"/>
      <c r="C8" s="32"/>
      <c r="D8" s="32"/>
      <c r="E8" s="32"/>
      <c r="F8" s="32"/>
      <c r="G8" s="32"/>
      <c r="H8" s="66"/>
    </row>
    <row r="9" spans="1:9" ht="15" customHeight="1" x14ac:dyDescent="0.2">
      <c r="A9" s="32"/>
      <c r="B9" s="33" t="s">
        <v>3</v>
      </c>
      <c r="C9" s="114" t="s">
        <v>4</v>
      </c>
      <c r="D9" s="115"/>
      <c r="E9" s="116" t="s">
        <v>5</v>
      </c>
      <c r="F9" s="115"/>
      <c r="G9" s="71" t="s">
        <v>6</v>
      </c>
      <c r="H9" s="34" t="s">
        <v>7</v>
      </c>
    </row>
    <row r="10" spans="1:9" ht="18" customHeight="1" thickBot="1" x14ac:dyDescent="0.25">
      <c r="A10" s="32"/>
      <c r="B10" s="73">
        <v>46270</v>
      </c>
      <c r="C10" s="35" t="str">
        <f>CONCATENATE("UNM-",TEXT(B10,"MMDDYY-"),E10)</f>
        <v>UNM-090526-ARVC</v>
      </c>
      <c r="D10" s="36"/>
      <c r="E10" s="109" t="s">
        <v>8</v>
      </c>
      <c r="F10" s="110"/>
      <c r="G10" s="35"/>
      <c r="H10" s="35"/>
    </row>
    <row r="11" spans="1:9" ht="9.9499999999999993" customHeight="1" x14ac:dyDescent="0.2">
      <c r="A11" s="32"/>
      <c r="B11" s="74" t="s">
        <v>9</v>
      </c>
      <c r="C11" s="32"/>
      <c r="D11" s="32"/>
      <c r="E11" s="32"/>
      <c r="F11" s="32"/>
      <c r="G11" s="32"/>
      <c r="H11" s="66"/>
    </row>
    <row r="12" spans="1:9" ht="18.95" customHeight="1" x14ac:dyDescent="0.2">
      <c r="A12" s="32"/>
      <c r="B12" s="67" t="s">
        <v>10</v>
      </c>
      <c r="C12" s="67"/>
      <c r="D12" s="67"/>
      <c r="E12" s="96" t="s">
        <v>11</v>
      </c>
      <c r="F12" s="97"/>
    </row>
    <row r="13" spans="1:9" ht="17.100000000000001" customHeight="1" x14ac:dyDescent="0.2">
      <c r="A13" s="32"/>
      <c r="B13" s="68" t="s">
        <v>12</v>
      </c>
      <c r="C13" s="69" t="s">
        <v>13</v>
      </c>
      <c r="D13" s="70" t="s">
        <v>14</v>
      </c>
      <c r="E13" s="72" t="s">
        <v>15</v>
      </c>
      <c r="F13" s="70" t="s">
        <v>16</v>
      </c>
      <c r="H13" s="37"/>
    </row>
    <row r="14" spans="1:9" ht="24" customHeight="1" x14ac:dyDescent="0.2">
      <c r="A14" s="32"/>
      <c r="B14" s="75">
        <f>D33</f>
        <v>32245</v>
      </c>
      <c r="C14" s="75">
        <f>F33</f>
        <v>15779</v>
      </c>
      <c r="D14" s="76">
        <f>C33</f>
        <v>48024</v>
      </c>
      <c r="E14" s="77">
        <f>D33</f>
        <v>32245</v>
      </c>
      <c r="F14" s="76">
        <f>E33</f>
        <v>3224.5000000000005</v>
      </c>
      <c r="H14" s="37"/>
    </row>
    <row r="15" spans="1:9" ht="21.95" customHeight="1" x14ac:dyDescent="0.2">
      <c r="A15" s="32"/>
    </row>
    <row r="16" spans="1:9" ht="20.100000000000001" customHeight="1" x14ac:dyDescent="0.2">
      <c r="A16" s="32"/>
      <c r="B16" s="103" t="s">
        <v>17</v>
      </c>
      <c r="C16" s="97"/>
      <c r="D16" s="97"/>
      <c r="E16" s="97"/>
      <c r="F16" s="97"/>
      <c r="G16" s="97"/>
      <c r="H16" s="97"/>
      <c r="I16" s="97"/>
    </row>
    <row r="17" spans="1:9" ht="33.950000000000003" customHeight="1" x14ac:dyDescent="0.2">
      <c r="A17" s="78" t="s">
        <v>18</v>
      </c>
      <c r="B17" s="79" t="s">
        <v>19</v>
      </c>
      <c r="C17" s="79" t="s">
        <v>20</v>
      </c>
      <c r="D17" s="79" t="s">
        <v>21</v>
      </c>
      <c r="E17" s="127" t="s">
        <v>22</v>
      </c>
      <c r="F17" s="79" t="s">
        <v>23</v>
      </c>
      <c r="G17" s="80" t="s">
        <v>24</v>
      </c>
      <c r="H17" s="80" t="s">
        <v>25</v>
      </c>
      <c r="I17" s="80" t="s">
        <v>26</v>
      </c>
    </row>
    <row r="18" spans="1:9" ht="18.95" customHeight="1" x14ac:dyDescent="0.2">
      <c r="A18" s="81">
        <f>IFERROR(MATCH(TEXT($B$10,"yyyymmdd")&amp;"|"&amp;$E$10&amp;"|1",'EVENT ASSIGNMENT'!$K$2:$K$101,0),"")</f>
        <v>1</v>
      </c>
      <c r="B18" s="82" t="str">
        <f>IF(IFERROR(MATCH(TEXT($B$10,"yyyymmdd")&amp;"|"&amp;$E$10&amp;"|1",'EVENT ASSIGNMENT'!$K$2:$K$101,0),"")="","",IFERROR(INDEX('EVENT ASSIGNMENT'!$D$2:$D$101,IFERROR(MATCH(TEXT($B$10,"yyyymmdd")&amp;"|"&amp;$E$10&amp;"|1",'EVENT ASSIGNMENT'!$K$2:$K$101,0),"")),""))</f>
        <v>RED RALLY NORTH EAST</v>
      </c>
      <c r="C18" s="83">
        <f>IF(OR(IFERROR(MATCH(TEXT($B$10,"yyyymmdd")&amp;"|"&amp;$E$10&amp;"|1",'EVENT ASSIGNMENT'!$K$2:$K$101,0),"")="",B18=""),"",IFERROR(INDEX('CONTRACT CALC'!$G$13:$G$112,IFERROR(MATCH(TEXT($B$10,"yyyymmdd")&amp;"|"&amp;$E$10&amp;"|1",'EVENT ASSIGNMENT'!$K$2:$K$101,0),""))*INDEX('CONTRACT CALC'!$F$13:$F$112,IFERROR(MATCH(TEXT($B$10,"yyyymmdd")&amp;"|"&amp;$E$10&amp;"|1",'EVENT ASSIGNMENT'!$K$2:$K$101,0),"")),""))</f>
        <v>29393</v>
      </c>
      <c r="D18" s="83">
        <f>IF(OR(IFERROR(MATCH(TEXT($B$10,"yyyymmdd")&amp;"|"&amp;$E$10&amp;"|1",'EVENT ASSIGNMENT'!$K$2:$K$101,0),"")="",B18=""),"",IFERROR(INDEX('CONTRACT CALC'!$I$13:$I$112,IFERROR(MATCH(TEXT($B$10,"yyyymmdd")&amp;"|"&amp;$E$10&amp;"|1",'EVENT ASSIGNMENT'!$K$2:$K$101,0),""))*INDEX('CONTRACT CALC'!$F$13:$F$112,IFERROR(MATCH(TEXT($B$10,"yyyymmdd")&amp;"|"&amp;$E$10&amp;"|1",'EVENT ASSIGNMENT'!$K$2:$K$101,0),"")),""))</f>
        <v>22292</v>
      </c>
      <c r="E18" s="83">
        <f>IF(D18="","",D18*'CONTRACT CALC'!$B$4)</f>
        <v>2229.2000000000003</v>
      </c>
      <c r="F18" s="83">
        <f>IF(OR(IFERROR(MATCH(TEXT($B$10,"yyyymmdd")&amp;"|"&amp;$E$10&amp;"|1",'EVENT ASSIGNMENT'!$K$2:$K$101,0),"")="",B18=""),"",IFERROR(INDEX('CONTRACT CALC'!$H$13:$H$112,IFERROR(MATCH(TEXT($B$10,"yyyymmdd")&amp;"|"&amp;$E$10&amp;"|1",'EVENT ASSIGNMENT'!$K$2:$K$101,0),""))*INDEX('CONTRACT CALC'!$F$13:$F$112,IFERROR(MATCH(TEXT($B$10,"yyyymmdd")&amp;"|"&amp;$E$10&amp;"|1",'EVENT ASSIGNMENT'!$K$2:$K$101,0),"")),""))</f>
        <v>7101</v>
      </c>
      <c r="G18" s="83">
        <f>IF(F18="","",F18*'CONTRACT CALC'!$B$5)</f>
        <v>568.08000000000004</v>
      </c>
      <c r="H18" s="83">
        <f t="shared" ref="H18:H32" si="0">IF(B18="","",N(E18)+N(G18))</f>
        <v>2797.28</v>
      </c>
      <c r="I18" s="83">
        <f>IF(OR(IFERROR(MATCH(TEXT($B$10,"yyyymmdd")&amp;"|"&amp;$E$10&amp;"|1",'EVENT ASSIGNMENT'!$K$2:$K$101,0),"")="",B18=""),"",IF(COUNTIFS('TIPS DATA'!$A$2:$A$101,$B$10,'TIPS DATA'!$C$2:$C$101,$E$10,'TIPS DATA'!$D$2:$D$101,INDEX('EVENT ASSIGNMENT'!$C$2:$C$101,IFERROR(MATCH(TEXT($B$10,"yyyymmdd")&amp;"|"&amp;$E$10&amp;"|1",'EVENT ASSIGNMENT'!$K$2:$K$101,0),"")))&gt;0,SUMIFS('TIPS DATA'!$H$2:$H$101,'TIPS DATA'!$A$2:$A$101,$B$10,'TIPS DATA'!$C$2:$C$101,$E$10,'TIPS DATA'!$D$2:$D$101,INDEX('EVENT ASSIGNMENT'!$C$2:$C$101,IFERROR(MATCH(TEXT($B$10,"yyyymmdd")&amp;"|"&amp;$E$10&amp;"|1",'EVENT ASSIGNMENT'!$K$2:$K$101,0),""))),SUMIFS('TIPS DATA'!$H$2:$H$101,'TIPS DATA'!$A$2:$A$101,$B$10,'TIPS DATA'!$C$2:$C$101,$E$10,'TIPS DATA'!$E$2:$E$101,INDEX('EVENT ASSIGNMENT'!$D$2:$D$101,IFERROR(MATCH(TEXT($B$10,"yyyymmdd")&amp;"|"&amp;$E$10&amp;"|1",'EVENT ASSIGNMENT'!$K$2:$K$101,0),"")))))</f>
        <v>1905.76</v>
      </c>
    </row>
    <row r="19" spans="1:9" ht="18.95" customHeight="1" x14ac:dyDescent="0.2">
      <c r="A19" s="81">
        <f>IFERROR(MATCH(TEXT($B$10,"yyyymmdd")&amp;"|"&amp;$E$10&amp;"|2",'EVENT ASSIGNMENT'!$K$2:$K$101,0),"")</f>
        <v>2</v>
      </c>
      <c r="B19" s="82" t="str">
        <f>IF(IFERROR(MATCH(TEXT($B$10,"yyyymmdd")&amp;"|"&amp;$E$10&amp;"|2",'EVENT ASSIGNMENT'!$K$2:$K$101,0),"")="","",IFERROR(INDEX('EVENT ASSIGNMENT'!$D$2:$D$101,IFERROR(MATCH(TEXT($B$10,"yyyymmdd")&amp;"|"&amp;$E$10&amp;"|2",'EVENT ASSIGNMENT'!$K$2:$K$101,0),"")),""))</f>
        <v>MBP  MINI MELTS (NW)</v>
      </c>
      <c r="C19" s="83">
        <f>IF(OR(IFERROR(MATCH(TEXT($B$10,"yyyymmdd")&amp;"|"&amp;$E$10&amp;"|2",'EVENT ASSIGNMENT'!$K$2:$K$101,0),"")="",B19=""),"",IFERROR(INDEX('CONTRACT CALC'!$G$13:$G$112,IFERROR(MATCH(TEXT($B$10,"yyyymmdd")&amp;"|"&amp;$E$10&amp;"|2",'EVENT ASSIGNMENT'!$K$2:$K$101,0),""))*INDEX('CONTRACT CALC'!$F$13:$F$112,IFERROR(MATCH(TEXT($B$10,"yyyymmdd")&amp;"|"&amp;$E$10&amp;"|2",'EVENT ASSIGNMENT'!$K$2:$K$101,0),"")),""))</f>
        <v>1930</v>
      </c>
      <c r="D19" s="83">
        <f>IF(OR(IFERROR(MATCH(TEXT($B$10,"yyyymmdd")&amp;"|"&amp;$E$10&amp;"|2",'EVENT ASSIGNMENT'!$K$2:$K$101,0),"")="",B19=""),"",IFERROR(INDEX('CONTRACT CALC'!$I$13:$I$112,IFERROR(MATCH(TEXT($B$10,"yyyymmdd")&amp;"|"&amp;$E$10&amp;"|2",'EVENT ASSIGNMENT'!$K$2:$K$101,0),""))*INDEX('CONTRACT CALC'!$F$13:$F$112,IFERROR(MATCH(TEXT($B$10,"yyyymmdd")&amp;"|"&amp;$E$10&amp;"|2",'EVENT ASSIGNMENT'!$K$2:$K$101,0),"")),""))</f>
        <v>1930</v>
      </c>
      <c r="E19" s="83">
        <f>IF(D19="","",D19*'CONTRACT CALC'!$B$4)</f>
        <v>193</v>
      </c>
      <c r="F19" s="83">
        <f>IF(OR(IFERROR(MATCH(TEXT($B$10,"yyyymmdd")&amp;"|"&amp;$E$10&amp;"|2",'EVENT ASSIGNMENT'!$K$2:$K$101,0),"")="",B19=""),"",IFERROR(INDEX('CONTRACT CALC'!$H$13:$H$112,IFERROR(MATCH(TEXT($B$10,"yyyymmdd")&amp;"|"&amp;$E$10&amp;"|2",'EVENT ASSIGNMENT'!$K$2:$K$101,0),""))*INDEX('CONTRACT CALC'!$F$13:$F$112,IFERROR(MATCH(TEXT($B$10,"yyyymmdd")&amp;"|"&amp;$E$10&amp;"|2",'EVENT ASSIGNMENT'!$K$2:$K$101,0),"")),""))</f>
        <v>0</v>
      </c>
      <c r="G19" s="83">
        <f>IF(F19="","",F19*'CONTRACT CALC'!$B$5)</f>
        <v>0</v>
      </c>
      <c r="H19" s="83">
        <f t="shared" si="0"/>
        <v>193</v>
      </c>
      <c r="I19" s="83">
        <f>IF(OR(IFERROR(MATCH(TEXT($B$10,"yyyymmdd")&amp;"|"&amp;$E$10&amp;"|2",'EVENT ASSIGNMENT'!$K$2:$K$101,0),"")="",B19=""),"",IF(COUNTIFS('TIPS DATA'!$A$2:$A$101,$B$10,'TIPS DATA'!$C$2:$C$101,$E$10,'TIPS DATA'!$D$2:$D$101,INDEX('EVENT ASSIGNMENT'!$C$2:$C$101,IFERROR(MATCH(TEXT($B$10,"yyyymmdd")&amp;"|"&amp;$E$10&amp;"|2",'EVENT ASSIGNMENT'!$K$2:$K$101,0),"")))&gt;0,SUMIFS('TIPS DATA'!$H$2:$H$101,'TIPS DATA'!$A$2:$A$101,$B$10,'TIPS DATA'!$C$2:$C$101,$E$10,'TIPS DATA'!$D$2:$D$101,INDEX('EVENT ASSIGNMENT'!$C$2:$C$101,IFERROR(MATCH(TEXT($B$10,"yyyymmdd")&amp;"|"&amp;$E$10&amp;"|2",'EVENT ASSIGNMENT'!$K$2:$K$101,0),""))),SUMIFS('TIPS DATA'!$H$2:$H$101,'TIPS DATA'!$A$2:$A$101,$B$10,'TIPS DATA'!$C$2:$C$101,$E$10,'TIPS DATA'!$E$2:$E$101,INDEX('EVENT ASSIGNMENT'!$D$2:$D$101,IFERROR(MATCH(TEXT($B$10,"yyyymmdd")&amp;"|"&amp;$E$10&amp;"|2",'EVENT ASSIGNMENT'!$K$2:$K$101,0),"")))))</f>
        <v>154.32</v>
      </c>
    </row>
    <row r="20" spans="1:9" ht="18.95" customHeight="1" x14ac:dyDescent="0.2">
      <c r="A20" s="81">
        <f>IFERROR(MATCH(TEXT($B$10,"yyyymmdd")&amp;"|"&amp;$E$10&amp;"|3",'EVENT ASSIGNMENT'!$K$2:$K$101,0),"")</f>
        <v>3</v>
      </c>
      <c r="B20" s="82" t="str">
        <f>IF(IFERROR(MATCH(TEXT($B$10,"yyyymmdd")&amp;"|"&amp;$E$10&amp;"|3",'EVENT ASSIGNMENT'!$K$2:$K$101,0),"")="","",IFERROR(INDEX('EVENT ASSIGNMENT'!$D$2:$D$101,IFERROR(MATCH(TEXT($B$10,"yyyymmdd")&amp;"|"&amp;$E$10&amp;"|3",'EVENT ASSIGNMENT'!$K$2:$K$101,0),"")),""))</f>
        <v>MBP  MINI MELTS (NE)</v>
      </c>
      <c r="C20" s="83">
        <f>IF(OR(IFERROR(MATCH(TEXT($B$10,"yyyymmdd")&amp;"|"&amp;$E$10&amp;"|3",'EVENT ASSIGNMENT'!$K$2:$K$101,0),"")="",B20=""),"",IFERROR(INDEX('CONTRACT CALC'!$G$13:$G$112,IFERROR(MATCH(TEXT($B$10,"yyyymmdd")&amp;"|"&amp;$E$10&amp;"|3",'EVENT ASSIGNMENT'!$K$2:$K$101,0),""))*INDEX('CONTRACT CALC'!$F$13:$F$112,IFERROR(MATCH(TEXT($B$10,"yyyymmdd")&amp;"|"&amp;$E$10&amp;"|3",'EVENT ASSIGNMENT'!$K$2:$K$101,0),"")),""))</f>
        <v>2330</v>
      </c>
      <c r="D20" s="83">
        <f>IF(OR(IFERROR(MATCH(TEXT($B$10,"yyyymmdd")&amp;"|"&amp;$E$10&amp;"|3",'EVENT ASSIGNMENT'!$K$2:$K$101,0),"")="",B20=""),"",IFERROR(INDEX('CONTRACT CALC'!$I$13:$I$112,IFERROR(MATCH(TEXT($B$10,"yyyymmdd")&amp;"|"&amp;$E$10&amp;"|3",'EVENT ASSIGNMENT'!$K$2:$K$101,0),""))*INDEX('CONTRACT CALC'!$F$13:$F$112,IFERROR(MATCH(TEXT($B$10,"yyyymmdd")&amp;"|"&amp;$E$10&amp;"|3",'EVENT ASSIGNMENT'!$K$2:$K$101,0),"")),""))</f>
        <v>2330</v>
      </c>
      <c r="E20" s="83">
        <f>IF(D20="","",D20*'CONTRACT CALC'!$B$4)</f>
        <v>233</v>
      </c>
      <c r="F20" s="83">
        <f>IF(OR(IFERROR(MATCH(TEXT($B$10,"yyyymmdd")&amp;"|"&amp;$E$10&amp;"|3",'EVENT ASSIGNMENT'!$K$2:$K$101,0),"")="",B20=""),"",IFERROR(INDEX('CONTRACT CALC'!$H$13:$H$112,IFERROR(MATCH(TEXT($B$10,"yyyymmdd")&amp;"|"&amp;$E$10&amp;"|3",'EVENT ASSIGNMENT'!$K$2:$K$101,0),""))*INDEX('CONTRACT CALC'!$F$13:$F$112,IFERROR(MATCH(TEXT($B$10,"yyyymmdd")&amp;"|"&amp;$E$10&amp;"|3",'EVENT ASSIGNMENT'!$K$2:$K$101,0),"")),""))</f>
        <v>0</v>
      </c>
      <c r="G20" s="83">
        <f>IF(F20="","",F20*'CONTRACT CALC'!$B$5)</f>
        <v>0</v>
      </c>
      <c r="H20" s="83">
        <f t="shared" si="0"/>
        <v>233</v>
      </c>
      <c r="I20" s="83">
        <f>IF(OR(IFERROR(MATCH(TEXT($B$10,"yyyymmdd")&amp;"|"&amp;$E$10&amp;"|3",'EVENT ASSIGNMENT'!$K$2:$K$101,0),"")="",B20=""),"",IF(COUNTIFS('TIPS DATA'!$A$2:$A$101,$B$10,'TIPS DATA'!$C$2:$C$101,$E$10,'TIPS DATA'!$D$2:$D$101,INDEX('EVENT ASSIGNMENT'!$C$2:$C$101,IFERROR(MATCH(TEXT($B$10,"yyyymmdd")&amp;"|"&amp;$E$10&amp;"|3",'EVENT ASSIGNMENT'!$K$2:$K$101,0),"")))&gt;0,SUMIFS('TIPS DATA'!$H$2:$H$101,'TIPS DATA'!$A$2:$A$101,$B$10,'TIPS DATA'!$C$2:$C$101,$E$10,'TIPS DATA'!$D$2:$D$101,INDEX('EVENT ASSIGNMENT'!$C$2:$C$101,IFERROR(MATCH(TEXT($B$10,"yyyymmdd")&amp;"|"&amp;$E$10&amp;"|3",'EVENT ASSIGNMENT'!$K$2:$K$101,0),""))),SUMIFS('TIPS DATA'!$H$2:$H$101,'TIPS DATA'!$A$2:$A$101,$B$10,'TIPS DATA'!$C$2:$C$101,$E$10,'TIPS DATA'!$E$2:$E$101,INDEX('EVENT ASSIGNMENT'!$D$2:$D$101,IFERROR(MATCH(TEXT($B$10,"yyyymmdd")&amp;"|"&amp;$E$10&amp;"|3",'EVENT ASSIGNMENT'!$K$2:$K$101,0),"")))))</f>
        <v>189</v>
      </c>
    </row>
    <row r="21" spans="1:9" ht="18.95" customHeight="1" x14ac:dyDescent="0.2">
      <c r="A21" s="81">
        <f>IFERROR(MATCH(TEXT($B$10,"yyyymmdd")&amp;"|"&amp;$E$10&amp;"|4",'EVENT ASSIGNMENT'!$K$2:$K$101,0),"")</f>
        <v>4</v>
      </c>
      <c r="B21" s="82" t="str">
        <f>IF(IFERROR(MATCH(TEXT($B$10,"yyyymmdd")&amp;"|"&amp;$E$10&amp;"|4",'EVENT ASSIGNMENT'!$K$2:$K$101,0),"")="","",IFERROR(INDEX('EVENT ASSIGNMENT'!$D$2:$D$101,IFERROR(MATCH(TEXT($B$10,"yyyymmdd")&amp;"|"&amp;$E$10&amp;"|4",'EVENT ASSIGNMENT'!$K$2:$K$101,0),"")),""))</f>
        <v>MBP TRAILER N CONCOURSE</v>
      </c>
      <c r="C21" s="83">
        <f>IF(OR(IFERROR(MATCH(TEXT($B$10,"yyyymmdd")&amp;"|"&amp;$E$10&amp;"|4",'EVENT ASSIGNMENT'!$K$2:$K$101,0),"")="",B21=""),"",IFERROR(INDEX('CONTRACT CALC'!$G$13:$G$112,IFERROR(MATCH(TEXT($B$10,"yyyymmdd")&amp;"|"&amp;$E$10&amp;"|4",'EVENT ASSIGNMENT'!$K$2:$K$101,0),""))*INDEX('CONTRACT CALC'!$F$13:$F$112,IFERROR(MATCH(TEXT($B$10,"yyyymmdd")&amp;"|"&amp;$E$10&amp;"|4",'EVENT ASSIGNMENT'!$K$2:$K$101,0),"")),""))</f>
        <v>7626</v>
      </c>
      <c r="D21" s="83">
        <f>IF(OR(IFERROR(MATCH(TEXT($B$10,"yyyymmdd")&amp;"|"&amp;$E$10&amp;"|4",'EVENT ASSIGNMENT'!$K$2:$K$101,0),"")="",B21=""),"",IFERROR(INDEX('CONTRACT CALC'!$I$13:$I$112,IFERROR(MATCH(TEXT($B$10,"yyyymmdd")&amp;"|"&amp;$E$10&amp;"|4",'EVENT ASSIGNMENT'!$K$2:$K$101,0),""))*INDEX('CONTRACT CALC'!$F$13:$F$112,IFERROR(MATCH(TEXT($B$10,"yyyymmdd")&amp;"|"&amp;$E$10&amp;"|4",'EVENT ASSIGNMENT'!$K$2:$K$101,0),"")),""))</f>
        <v>688</v>
      </c>
      <c r="E21" s="83">
        <f>IF(D21="","",D21*'CONTRACT CALC'!$B$4)</f>
        <v>68.8</v>
      </c>
      <c r="F21" s="83">
        <f>IF(OR(IFERROR(MATCH(TEXT($B$10,"yyyymmdd")&amp;"|"&amp;$E$10&amp;"|4",'EVENT ASSIGNMENT'!$K$2:$K$101,0),"")="",B21=""),"",IFERROR(INDEX('CONTRACT CALC'!$H$13:$H$112,IFERROR(MATCH(TEXT($B$10,"yyyymmdd")&amp;"|"&amp;$E$10&amp;"|4",'EVENT ASSIGNMENT'!$K$2:$K$101,0),""))*INDEX('CONTRACT CALC'!$F$13:$F$112,IFERROR(MATCH(TEXT($B$10,"yyyymmdd")&amp;"|"&amp;$E$10&amp;"|4",'EVENT ASSIGNMENT'!$K$2:$K$101,0),"")),""))</f>
        <v>6938</v>
      </c>
      <c r="G21" s="83">
        <f>IF(F21="","",F21*'CONTRACT CALC'!$B$5)</f>
        <v>555.04</v>
      </c>
      <c r="H21" s="83">
        <f t="shared" si="0"/>
        <v>623.83999999999992</v>
      </c>
      <c r="I21" s="83">
        <f>IF(OR(IFERROR(MATCH(TEXT($B$10,"yyyymmdd")&amp;"|"&amp;$E$10&amp;"|4",'EVENT ASSIGNMENT'!$K$2:$K$101,0),"")="",B21=""),"",IF(COUNTIFS('TIPS DATA'!$A$2:$A$101,$B$10,'TIPS DATA'!$C$2:$C$101,$E$10,'TIPS DATA'!$D$2:$D$101,INDEX('EVENT ASSIGNMENT'!$C$2:$C$101,IFERROR(MATCH(TEXT($B$10,"yyyymmdd")&amp;"|"&amp;$E$10&amp;"|4",'EVENT ASSIGNMENT'!$K$2:$K$101,0),"")))&gt;0,SUMIFS('TIPS DATA'!$H$2:$H$101,'TIPS DATA'!$A$2:$A$101,$B$10,'TIPS DATA'!$C$2:$C$101,$E$10,'TIPS DATA'!$D$2:$D$101,INDEX('EVENT ASSIGNMENT'!$C$2:$C$101,IFERROR(MATCH(TEXT($B$10,"yyyymmdd")&amp;"|"&amp;$E$10&amp;"|4",'EVENT ASSIGNMENT'!$K$2:$K$101,0),""))),SUMIFS('TIPS DATA'!$H$2:$H$101,'TIPS DATA'!$A$2:$A$101,$B$10,'TIPS DATA'!$C$2:$C$101,$E$10,'TIPS DATA'!$E$2:$E$101,INDEX('EVENT ASSIGNMENT'!$D$2:$D$101,IFERROR(MATCH(TEXT($B$10,"yyyymmdd")&amp;"|"&amp;$E$10&amp;"|4",'EVENT ASSIGNMENT'!$K$2:$K$101,0),"")))))</f>
        <v>670.54</v>
      </c>
    </row>
    <row r="22" spans="1:9" ht="18.95" customHeight="1" x14ac:dyDescent="0.2">
      <c r="A22" s="81">
        <f>IFERROR(MATCH(TEXT($B$10,"yyyymmdd")&amp;"|"&amp;$E$10&amp;"|5",'EVENT ASSIGNMENT'!$K$2:$K$101,0),"")</f>
        <v>5</v>
      </c>
      <c r="B22" s="82" t="str">
        <f>IF(IFERROR(MATCH(TEXT($B$10,"yyyymmdd")&amp;"|"&amp;$E$10&amp;"|5",'EVENT ASSIGNMENT'!$K$2:$K$101,0),"")="","",IFERROR(INDEX('EVENT ASSIGNMENT'!$D$2:$D$101,IFERROR(MATCH(TEXT($B$10,"yyyymmdd")&amp;"|"&amp;$E$10&amp;"|5",'EVENT ASSIGNMENT'!$K$2:$K$101,0),"")),""))</f>
        <v>NE SPECIALTY DAWG O.G.</v>
      </c>
      <c r="C22" s="83">
        <f>IF(OR(IFERROR(MATCH(TEXT($B$10,"yyyymmdd")&amp;"|"&amp;$E$10&amp;"|5",'EVENT ASSIGNMENT'!$K$2:$K$101,0),"")="",B22=""),"",IFERROR(INDEX('CONTRACT CALC'!$G$13:$G$112,IFERROR(MATCH(TEXT($B$10,"yyyymmdd")&amp;"|"&amp;$E$10&amp;"|5",'EVENT ASSIGNMENT'!$K$2:$K$101,0),""))*INDEX('CONTRACT CALC'!$F$13:$F$112,IFERROR(MATCH(TEXT($B$10,"yyyymmdd")&amp;"|"&amp;$E$10&amp;"|5",'EVENT ASSIGNMENT'!$K$2:$K$101,0),"")),""))</f>
        <v>6745</v>
      </c>
      <c r="D22" s="83">
        <f>IF(OR(IFERROR(MATCH(TEXT($B$10,"yyyymmdd")&amp;"|"&amp;$E$10&amp;"|5",'EVENT ASSIGNMENT'!$K$2:$K$101,0),"")="",B22=""),"",IFERROR(INDEX('CONTRACT CALC'!$I$13:$I$112,IFERROR(MATCH(TEXT($B$10,"yyyymmdd")&amp;"|"&amp;$E$10&amp;"|5",'EVENT ASSIGNMENT'!$K$2:$K$101,0),""))*INDEX('CONTRACT CALC'!$F$13:$F$112,IFERROR(MATCH(TEXT($B$10,"yyyymmdd")&amp;"|"&amp;$E$10&amp;"|5",'EVENT ASSIGNMENT'!$K$2:$K$101,0),"")),""))</f>
        <v>5005</v>
      </c>
      <c r="E22" s="83">
        <f>IF(D22="","",D22*'CONTRACT CALC'!$B$4)</f>
        <v>500.5</v>
      </c>
      <c r="F22" s="83">
        <f>IF(OR(IFERROR(MATCH(TEXT($B$10,"yyyymmdd")&amp;"|"&amp;$E$10&amp;"|5",'EVENT ASSIGNMENT'!$K$2:$K$101,0),"")="",B22=""),"",IFERROR(INDEX('CONTRACT CALC'!$H$13:$H$112,IFERROR(MATCH(TEXT($B$10,"yyyymmdd")&amp;"|"&amp;$E$10&amp;"|5",'EVENT ASSIGNMENT'!$K$2:$K$101,0),""))*INDEX('CONTRACT CALC'!$F$13:$F$112,IFERROR(MATCH(TEXT($B$10,"yyyymmdd")&amp;"|"&amp;$E$10&amp;"|5",'EVENT ASSIGNMENT'!$K$2:$K$101,0),"")),""))</f>
        <v>1740</v>
      </c>
      <c r="G22" s="83">
        <f>IF(F22="","",F22*'CONTRACT CALC'!$B$5)</f>
        <v>139.20000000000002</v>
      </c>
      <c r="H22" s="83">
        <f t="shared" si="0"/>
        <v>639.70000000000005</v>
      </c>
      <c r="I22" s="83">
        <f>IF(OR(IFERROR(MATCH(TEXT($B$10,"yyyymmdd")&amp;"|"&amp;$E$10&amp;"|5",'EVENT ASSIGNMENT'!$K$2:$K$101,0),"")="",B22=""),"",IF(COUNTIFS('TIPS DATA'!$A$2:$A$101,$B$10,'TIPS DATA'!$C$2:$C$101,$E$10,'TIPS DATA'!$D$2:$D$101,INDEX('EVENT ASSIGNMENT'!$C$2:$C$101,IFERROR(MATCH(TEXT($B$10,"yyyymmdd")&amp;"|"&amp;$E$10&amp;"|5",'EVENT ASSIGNMENT'!$K$2:$K$101,0),"")))&gt;0,SUMIFS('TIPS DATA'!$H$2:$H$101,'TIPS DATA'!$A$2:$A$101,$B$10,'TIPS DATA'!$C$2:$C$101,$E$10,'TIPS DATA'!$D$2:$D$101,INDEX('EVENT ASSIGNMENT'!$C$2:$C$101,IFERROR(MATCH(TEXT($B$10,"yyyymmdd")&amp;"|"&amp;$E$10&amp;"|5",'EVENT ASSIGNMENT'!$K$2:$K$101,0),""))),SUMIFS('TIPS DATA'!$H$2:$H$101,'TIPS DATA'!$A$2:$A$101,$B$10,'TIPS DATA'!$C$2:$C$101,$E$10,'TIPS DATA'!$E$2:$E$101,INDEX('EVENT ASSIGNMENT'!$D$2:$D$101,IFERROR(MATCH(TEXT($B$10,"yyyymmdd")&amp;"|"&amp;$E$10&amp;"|5",'EVENT ASSIGNMENT'!$K$2:$K$101,0),"")))))</f>
        <v>502.12</v>
      </c>
    </row>
    <row r="23" spans="1:9" ht="20.100000000000001" customHeight="1" x14ac:dyDescent="0.2">
      <c r="A23" s="81" t="str">
        <f>IFERROR(MATCH(TEXT($B$10,"yyyymmdd")&amp;"|"&amp;$E$10&amp;"|6",'EVENT ASSIGNMENT'!$K$2:$K$101,0),"")</f>
        <v/>
      </c>
      <c r="B23" s="82" t="str">
        <f>IF(IFERROR(MATCH(TEXT($B$10,"yyyymmdd")&amp;"|"&amp;$E$10&amp;"|6",'EVENT ASSIGNMENT'!$K$2:$K$101,0),"")="","",IFERROR(INDEX('EVENT ASSIGNMENT'!$D$2:$D$101,IFERROR(MATCH(TEXT($B$10,"yyyymmdd")&amp;"|"&amp;$E$10&amp;"|6",'EVENT ASSIGNMENT'!$K$2:$K$101,0),"")),""))</f>
        <v/>
      </c>
      <c r="C23" s="83" t="str">
        <f>IF(OR(IFERROR(MATCH(TEXT($B$10,"yyyymmdd")&amp;"|"&amp;$E$10&amp;"|6",'EVENT ASSIGNMENT'!$K$2:$K$101,0),"")="",B23=""),"",IFERROR(INDEX('CONTRACT CALC'!$G$13:$G$112,IFERROR(MATCH(TEXT($B$10,"yyyymmdd")&amp;"|"&amp;$E$10&amp;"|6",'EVENT ASSIGNMENT'!$K$2:$K$101,0),""))*INDEX('CONTRACT CALC'!$F$13:$F$112,IFERROR(MATCH(TEXT($B$10,"yyyymmdd")&amp;"|"&amp;$E$10&amp;"|6",'EVENT ASSIGNMENT'!$K$2:$K$101,0),"")),""))</f>
        <v/>
      </c>
      <c r="D23" s="83" t="str">
        <f>IF(OR(IFERROR(MATCH(TEXT($B$10,"yyyymmdd")&amp;"|"&amp;$E$10&amp;"|6",'EVENT ASSIGNMENT'!$K$2:$K$101,0),"")="",B23=""),"",IFERROR(INDEX('CONTRACT CALC'!$I$13:$I$112,IFERROR(MATCH(TEXT($B$10,"yyyymmdd")&amp;"|"&amp;$E$10&amp;"|6",'EVENT ASSIGNMENT'!$K$2:$K$101,0),""))*INDEX('CONTRACT CALC'!$F$13:$F$112,IFERROR(MATCH(TEXT($B$10,"yyyymmdd")&amp;"|"&amp;$E$10&amp;"|6",'EVENT ASSIGNMENT'!$K$2:$K$101,0),"")),""))</f>
        <v/>
      </c>
      <c r="E23" s="83" t="str">
        <f>IF(D23="","",D23*'CONTRACT CALC'!$B$4)</f>
        <v/>
      </c>
      <c r="F23" s="83" t="str">
        <f>IF(OR(IFERROR(MATCH(TEXT($B$10,"yyyymmdd")&amp;"|"&amp;$E$10&amp;"|6",'EVENT ASSIGNMENT'!$K$2:$K$101,0),"")="",B23=""),"",IFERROR(INDEX('CONTRACT CALC'!$H$13:$H$112,IFERROR(MATCH(TEXT($B$10,"yyyymmdd")&amp;"|"&amp;$E$10&amp;"|6",'EVENT ASSIGNMENT'!$K$2:$K$101,0),""))*INDEX('CONTRACT CALC'!$F$13:$F$112,IFERROR(MATCH(TEXT($B$10,"yyyymmdd")&amp;"|"&amp;$E$10&amp;"|6",'EVENT ASSIGNMENT'!$K$2:$K$101,0),"")),""))</f>
        <v/>
      </c>
      <c r="G23" s="83" t="str">
        <f>IF(F23="","",F23*'CONTRACT CALC'!$B$5)</f>
        <v/>
      </c>
      <c r="H23" s="83" t="str">
        <f t="shared" si="0"/>
        <v/>
      </c>
      <c r="I23" s="83" t="str">
        <f>IF(OR(IFERROR(MATCH(TEXT($B$10,"yyyymmdd")&amp;"|"&amp;$E$10&amp;"|6",'EVENT ASSIGNMENT'!$K$2:$K$101,0),"")="",B23=""),"",IF(COUNTIFS('TIPS DATA'!$A$2:$A$101,$B$10,'TIPS DATA'!$C$2:$C$101,$E$10,'TIPS DATA'!$D$2:$D$101,INDEX('EVENT ASSIGNMENT'!$C$2:$C$101,IFERROR(MATCH(TEXT($B$10,"yyyymmdd")&amp;"|"&amp;$E$10&amp;"|6",'EVENT ASSIGNMENT'!$K$2:$K$101,0),"")))&gt;0,SUMIFS('TIPS DATA'!$H$2:$H$101,'TIPS DATA'!$A$2:$A$101,$B$10,'TIPS DATA'!$C$2:$C$101,$E$10,'TIPS DATA'!$D$2:$D$101,INDEX('EVENT ASSIGNMENT'!$C$2:$C$101,IFERROR(MATCH(TEXT($B$10,"yyyymmdd")&amp;"|"&amp;$E$10&amp;"|6",'EVENT ASSIGNMENT'!$K$2:$K$101,0),""))),SUMIFS('TIPS DATA'!$H$2:$H$101,'TIPS DATA'!$A$2:$A$101,$B$10,'TIPS DATA'!$C$2:$C$101,$E$10,'TIPS DATA'!$E$2:$E$101,INDEX('EVENT ASSIGNMENT'!$D$2:$D$101,IFERROR(MATCH(TEXT($B$10,"yyyymmdd")&amp;"|"&amp;$E$10&amp;"|6",'EVENT ASSIGNMENT'!$K$2:$K$101,0),"")))))</f>
        <v/>
      </c>
    </row>
    <row r="24" spans="1:9" ht="17.100000000000001" customHeight="1" x14ac:dyDescent="0.2">
      <c r="A24" s="81" t="str">
        <f>IFERROR(MATCH(TEXT($B$10,"yyyymmdd")&amp;"|"&amp;$E$10&amp;"|7",'EVENT ASSIGNMENT'!$K$2:$K$101,0),"")</f>
        <v/>
      </c>
      <c r="B24" s="82" t="str">
        <f>IF(IFERROR(MATCH(TEXT($B$10,"yyyymmdd")&amp;"|"&amp;$E$10&amp;"|7",'EVENT ASSIGNMENT'!$K$2:$K$101,0),"")="","",IFERROR(INDEX('EVENT ASSIGNMENT'!$D$2:$D$101,IFERROR(MATCH(TEXT($B$10,"yyyymmdd")&amp;"|"&amp;$E$10&amp;"|7",'EVENT ASSIGNMENT'!$K$2:$K$101,0),"")),""))</f>
        <v/>
      </c>
      <c r="C24" s="83" t="str">
        <f>IF(OR(IFERROR(MATCH(TEXT($B$10,"yyyymmdd")&amp;"|"&amp;$E$10&amp;"|7",'EVENT ASSIGNMENT'!$K$2:$K$101,0),"")="",B24=""),"",IFERROR(INDEX('CONTRACT CALC'!$G$13:$G$112,IFERROR(MATCH(TEXT($B$10,"yyyymmdd")&amp;"|"&amp;$E$10&amp;"|7",'EVENT ASSIGNMENT'!$K$2:$K$101,0),""))*INDEX('CONTRACT CALC'!$F$13:$F$112,IFERROR(MATCH(TEXT($B$10,"yyyymmdd")&amp;"|"&amp;$E$10&amp;"|7",'EVENT ASSIGNMENT'!$K$2:$K$101,0),"")),""))</f>
        <v/>
      </c>
      <c r="D24" s="83" t="str">
        <f>IF(OR(IFERROR(MATCH(TEXT($B$10,"yyyymmdd")&amp;"|"&amp;$E$10&amp;"|7",'EVENT ASSIGNMENT'!$K$2:$K$101,0),"")="",B24=""),"",IFERROR(INDEX('CONTRACT CALC'!$I$13:$I$112,IFERROR(MATCH(TEXT($B$10,"yyyymmdd")&amp;"|"&amp;$E$10&amp;"|7",'EVENT ASSIGNMENT'!$K$2:$K$101,0),""))*INDEX('CONTRACT CALC'!$F$13:$F$112,IFERROR(MATCH(TEXT($B$10,"yyyymmdd")&amp;"|"&amp;$E$10&amp;"|7",'EVENT ASSIGNMENT'!$K$2:$K$101,0),"")),""))</f>
        <v/>
      </c>
      <c r="E24" s="83" t="str">
        <f>IF(D24="","",D24*'CONTRACT CALC'!$B$4)</f>
        <v/>
      </c>
      <c r="F24" s="83" t="str">
        <f>IF(OR(IFERROR(MATCH(TEXT($B$10,"yyyymmdd")&amp;"|"&amp;$E$10&amp;"|7",'EVENT ASSIGNMENT'!$K$2:$K$101,0),"")="",B24=""),"",IFERROR(INDEX('CONTRACT CALC'!$H$13:$H$112,IFERROR(MATCH(TEXT($B$10,"yyyymmdd")&amp;"|"&amp;$E$10&amp;"|7",'EVENT ASSIGNMENT'!$K$2:$K$101,0),""))*INDEX('CONTRACT CALC'!$F$13:$F$112,IFERROR(MATCH(TEXT($B$10,"yyyymmdd")&amp;"|"&amp;$E$10&amp;"|7",'EVENT ASSIGNMENT'!$K$2:$K$101,0),"")),""))</f>
        <v/>
      </c>
      <c r="G24" s="83" t="str">
        <f>IF(F24="","",F24*'CONTRACT CALC'!$B$5)</f>
        <v/>
      </c>
      <c r="H24" s="83" t="str">
        <f t="shared" si="0"/>
        <v/>
      </c>
      <c r="I24" s="83" t="str">
        <f>IF(OR(IFERROR(MATCH(TEXT($B$10,"yyyymmdd")&amp;"|"&amp;$E$10&amp;"|7",'EVENT ASSIGNMENT'!$K$2:$K$101,0),"")="",B24=""),"",IF(COUNTIFS('TIPS DATA'!$A$2:$A$101,$B$10,'TIPS DATA'!$C$2:$C$101,$E$10,'TIPS DATA'!$D$2:$D$101,INDEX('EVENT ASSIGNMENT'!$C$2:$C$101,IFERROR(MATCH(TEXT($B$10,"yyyymmdd")&amp;"|"&amp;$E$10&amp;"|7",'EVENT ASSIGNMENT'!$K$2:$K$101,0),"")))&gt;0,SUMIFS('TIPS DATA'!$H$2:$H$101,'TIPS DATA'!$A$2:$A$101,$B$10,'TIPS DATA'!$C$2:$C$101,$E$10,'TIPS DATA'!$D$2:$D$101,INDEX('EVENT ASSIGNMENT'!$C$2:$C$101,IFERROR(MATCH(TEXT($B$10,"yyyymmdd")&amp;"|"&amp;$E$10&amp;"|7",'EVENT ASSIGNMENT'!$K$2:$K$101,0),""))),SUMIFS('TIPS DATA'!$H$2:$H$101,'TIPS DATA'!$A$2:$A$101,$B$10,'TIPS DATA'!$C$2:$C$101,$E$10,'TIPS DATA'!$E$2:$E$101,INDEX('EVENT ASSIGNMENT'!$D$2:$D$101,IFERROR(MATCH(TEXT($B$10,"yyyymmdd")&amp;"|"&amp;$E$10&amp;"|7",'EVENT ASSIGNMENT'!$K$2:$K$101,0),"")))))</f>
        <v/>
      </c>
    </row>
    <row r="25" spans="1:9" ht="20.100000000000001" customHeight="1" x14ac:dyDescent="0.2">
      <c r="A25" s="81" t="str">
        <f>IFERROR(MATCH(TEXT($B$10,"yyyymmdd")&amp;"|"&amp;$E$10&amp;"|8",'EVENT ASSIGNMENT'!$K$2:$K$101,0),"")</f>
        <v/>
      </c>
      <c r="B25" s="82" t="str">
        <f>IF(IFERROR(MATCH(TEXT($B$10,"yyyymmdd")&amp;"|"&amp;$E$10&amp;"|8",'EVENT ASSIGNMENT'!$K$2:$K$101,0),"")="","",IFERROR(INDEX('EVENT ASSIGNMENT'!$D$2:$D$101,IFERROR(MATCH(TEXT($B$10,"yyyymmdd")&amp;"|"&amp;$E$10&amp;"|8",'EVENT ASSIGNMENT'!$K$2:$K$101,0),"")),""))</f>
        <v/>
      </c>
      <c r="C25" s="83" t="str">
        <f>IF(OR(IFERROR(MATCH(TEXT($B$10,"yyyymmdd")&amp;"|"&amp;$E$10&amp;"|8",'EVENT ASSIGNMENT'!$K$2:$K$101,0),"")="",B25=""),"",IFERROR(INDEX('CONTRACT CALC'!$G$13:$G$112,IFERROR(MATCH(TEXT($B$10,"yyyymmdd")&amp;"|"&amp;$E$10&amp;"|8",'EVENT ASSIGNMENT'!$K$2:$K$101,0),""))*INDEX('CONTRACT CALC'!$F$13:$F$112,IFERROR(MATCH(TEXT($B$10,"yyyymmdd")&amp;"|"&amp;$E$10&amp;"|8",'EVENT ASSIGNMENT'!$K$2:$K$101,0),"")),""))</f>
        <v/>
      </c>
      <c r="D25" s="83" t="str">
        <f>IF(OR(IFERROR(MATCH(TEXT($B$10,"yyyymmdd")&amp;"|"&amp;$E$10&amp;"|8",'EVENT ASSIGNMENT'!$K$2:$K$101,0),"")="",B25=""),"",IFERROR(INDEX('CONTRACT CALC'!$I$13:$I$112,IFERROR(MATCH(TEXT($B$10,"yyyymmdd")&amp;"|"&amp;$E$10&amp;"|8",'EVENT ASSIGNMENT'!$K$2:$K$101,0),""))*INDEX('CONTRACT CALC'!$F$13:$F$112,IFERROR(MATCH(TEXT($B$10,"yyyymmdd")&amp;"|"&amp;$E$10&amp;"|8",'EVENT ASSIGNMENT'!$K$2:$K$101,0),"")),""))</f>
        <v/>
      </c>
      <c r="E25" s="83" t="str">
        <f>IF(D25="","",D25*'CONTRACT CALC'!$B$4)</f>
        <v/>
      </c>
      <c r="F25" s="83" t="str">
        <f>IF(OR(IFERROR(MATCH(TEXT($B$10,"yyyymmdd")&amp;"|"&amp;$E$10&amp;"|8",'EVENT ASSIGNMENT'!$K$2:$K$101,0),"")="",B25=""),"",IFERROR(INDEX('CONTRACT CALC'!$H$13:$H$112,IFERROR(MATCH(TEXT($B$10,"yyyymmdd")&amp;"|"&amp;$E$10&amp;"|8",'EVENT ASSIGNMENT'!$K$2:$K$101,0),""))*INDEX('CONTRACT CALC'!$F$13:$F$112,IFERROR(MATCH(TEXT($B$10,"yyyymmdd")&amp;"|"&amp;$E$10&amp;"|8",'EVENT ASSIGNMENT'!$K$2:$K$101,0),"")),""))</f>
        <v/>
      </c>
      <c r="G25" s="83" t="str">
        <f>IF(F25="","",F25*'CONTRACT CALC'!$B$5)</f>
        <v/>
      </c>
      <c r="H25" s="83" t="str">
        <f t="shared" si="0"/>
        <v/>
      </c>
      <c r="I25" s="83" t="str">
        <f>IF(OR(IFERROR(MATCH(TEXT($B$10,"yyyymmdd")&amp;"|"&amp;$E$10&amp;"|8",'EVENT ASSIGNMENT'!$K$2:$K$101,0),"")="",B25=""),"",IF(COUNTIFS('TIPS DATA'!$A$2:$A$101,$B$10,'TIPS DATA'!$C$2:$C$101,$E$10,'TIPS DATA'!$D$2:$D$101,INDEX('EVENT ASSIGNMENT'!$C$2:$C$101,IFERROR(MATCH(TEXT($B$10,"yyyymmdd")&amp;"|"&amp;$E$10&amp;"|8",'EVENT ASSIGNMENT'!$K$2:$K$101,0),"")))&gt;0,SUMIFS('TIPS DATA'!$H$2:$H$101,'TIPS DATA'!$A$2:$A$101,$B$10,'TIPS DATA'!$C$2:$C$101,$E$10,'TIPS DATA'!$D$2:$D$101,INDEX('EVENT ASSIGNMENT'!$C$2:$C$101,IFERROR(MATCH(TEXT($B$10,"yyyymmdd")&amp;"|"&amp;$E$10&amp;"|8",'EVENT ASSIGNMENT'!$K$2:$K$101,0),""))),SUMIFS('TIPS DATA'!$H$2:$H$101,'TIPS DATA'!$A$2:$A$101,$B$10,'TIPS DATA'!$C$2:$C$101,$E$10,'TIPS DATA'!$E$2:$E$101,INDEX('EVENT ASSIGNMENT'!$D$2:$D$101,IFERROR(MATCH(TEXT($B$10,"yyyymmdd")&amp;"|"&amp;$E$10&amp;"|8",'EVENT ASSIGNMENT'!$K$2:$K$101,0),"")))))</f>
        <v/>
      </c>
    </row>
    <row r="26" spans="1:9" ht="18" customHeight="1" x14ac:dyDescent="0.2">
      <c r="A26" s="81" t="str">
        <f>IFERROR(MATCH(TEXT($B$10,"yyyymmdd")&amp;"|"&amp;$E$10&amp;"|9",'EVENT ASSIGNMENT'!$K$2:$K$101,0),"")</f>
        <v/>
      </c>
      <c r="B26" s="82" t="str">
        <f>IF(IFERROR(MATCH(TEXT($B$10,"yyyymmdd")&amp;"|"&amp;$E$10&amp;"|9",'EVENT ASSIGNMENT'!$K$2:$K$101,0),"")="","",IFERROR(INDEX('EVENT ASSIGNMENT'!$D$2:$D$101,IFERROR(MATCH(TEXT($B$10,"yyyymmdd")&amp;"|"&amp;$E$10&amp;"|9",'EVENT ASSIGNMENT'!$K$2:$K$101,0),"")),""))</f>
        <v/>
      </c>
      <c r="C26" s="83" t="str">
        <f>IF(OR(IFERROR(MATCH(TEXT($B$10,"yyyymmdd")&amp;"|"&amp;$E$10&amp;"|9",'EVENT ASSIGNMENT'!$K$2:$K$101,0),"")="",B26=""),"",IFERROR(INDEX('CONTRACT CALC'!$G$13:$G$112,IFERROR(MATCH(TEXT($B$10,"yyyymmdd")&amp;"|"&amp;$E$10&amp;"|9",'EVENT ASSIGNMENT'!$K$2:$K$101,0),""))*INDEX('CONTRACT CALC'!$F$13:$F$112,IFERROR(MATCH(TEXT($B$10,"yyyymmdd")&amp;"|"&amp;$E$10&amp;"|9",'EVENT ASSIGNMENT'!$K$2:$K$101,0),"")),""))</f>
        <v/>
      </c>
      <c r="D26" s="83" t="str">
        <f>IF(OR(IFERROR(MATCH(TEXT($B$10,"yyyymmdd")&amp;"|"&amp;$E$10&amp;"|9",'EVENT ASSIGNMENT'!$K$2:$K$101,0),"")="",B26=""),"",IFERROR(INDEX('CONTRACT CALC'!$I$13:$I$112,IFERROR(MATCH(TEXT($B$10,"yyyymmdd")&amp;"|"&amp;$E$10&amp;"|9",'EVENT ASSIGNMENT'!$K$2:$K$101,0),""))*INDEX('CONTRACT CALC'!$F$13:$F$112,IFERROR(MATCH(TEXT($B$10,"yyyymmdd")&amp;"|"&amp;$E$10&amp;"|9",'EVENT ASSIGNMENT'!$K$2:$K$101,0),"")),""))</f>
        <v/>
      </c>
      <c r="E26" s="83" t="str">
        <f>IF(D26="","",D26*'CONTRACT CALC'!$B$4)</f>
        <v/>
      </c>
      <c r="F26" s="83" t="str">
        <f>IF(OR(IFERROR(MATCH(TEXT($B$10,"yyyymmdd")&amp;"|"&amp;$E$10&amp;"|9",'EVENT ASSIGNMENT'!$K$2:$K$101,0),"")="",B26=""),"",IFERROR(INDEX('CONTRACT CALC'!$H$13:$H$112,IFERROR(MATCH(TEXT($B$10,"yyyymmdd")&amp;"|"&amp;$E$10&amp;"|9",'EVENT ASSIGNMENT'!$K$2:$K$101,0),""))*INDEX('CONTRACT CALC'!$F$13:$F$112,IFERROR(MATCH(TEXT($B$10,"yyyymmdd")&amp;"|"&amp;$E$10&amp;"|9",'EVENT ASSIGNMENT'!$K$2:$K$101,0),"")),""))</f>
        <v/>
      </c>
      <c r="G26" s="83" t="str">
        <f>IF(F26="","",F26*'CONTRACT CALC'!$B$5)</f>
        <v/>
      </c>
      <c r="H26" s="83" t="str">
        <f t="shared" si="0"/>
        <v/>
      </c>
      <c r="I26" s="83" t="str">
        <f>IF(OR(IFERROR(MATCH(TEXT($B$10,"yyyymmdd")&amp;"|"&amp;$E$10&amp;"|9",'EVENT ASSIGNMENT'!$K$2:$K$101,0),"")="",B26=""),"",IF(COUNTIFS('TIPS DATA'!$A$2:$A$101,$B$10,'TIPS DATA'!$C$2:$C$101,$E$10,'TIPS DATA'!$D$2:$D$101,INDEX('EVENT ASSIGNMENT'!$C$2:$C$101,IFERROR(MATCH(TEXT($B$10,"yyyymmdd")&amp;"|"&amp;$E$10&amp;"|9",'EVENT ASSIGNMENT'!$K$2:$K$101,0),"")))&gt;0,SUMIFS('TIPS DATA'!$H$2:$H$101,'TIPS DATA'!$A$2:$A$101,$B$10,'TIPS DATA'!$C$2:$C$101,$E$10,'TIPS DATA'!$D$2:$D$101,INDEX('EVENT ASSIGNMENT'!$C$2:$C$101,IFERROR(MATCH(TEXT($B$10,"yyyymmdd")&amp;"|"&amp;$E$10&amp;"|9",'EVENT ASSIGNMENT'!$K$2:$K$101,0),""))),SUMIFS('TIPS DATA'!$H$2:$H$101,'TIPS DATA'!$A$2:$A$101,$B$10,'TIPS DATA'!$C$2:$C$101,$E$10,'TIPS DATA'!$E$2:$E$101,INDEX('EVENT ASSIGNMENT'!$D$2:$D$101,IFERROR(MATCH(TEXT($B$10,"yyyymmdd")&amp;"|"&amp;$E$10&amp;"|9",'EVENT ASSIGNMENT'!$K$2:$K$101,0),"")))))</f>
        <v/>
      </c>
    </row>
    <row r="27" spans="1:9" ht="18" customHeight="1" x14ac:dyDescent="0.2">
      <c r="A27" s="81" t="str">
        <f>IFERROR(MATCH(TEXT($B$10,"yyyymmdd")&amp;"|"&amp;$E$10&amp;"|10",'EVENT ASSIGNMENT'!$K$2:$K$101,0),"")</f>
        <v/>
      </c>
      <c r="B27" s="82" t="str">
        <f>IF(IFERROR(MATCH(TEXT($B$10,"yyyymmdd")&amp;"|"&amp;$E$10&amp;"|10",'EVENT ASSIGNMENT'!$K$2:$K$101,0),"")="","",IFERROR(INDEX('EVENT ASSIGNMENT'!$D$2:$D$101,IFERROR(MATCH(TEXT($B$10,"yyyymmdd")&amp;"|"&amp;$E$10&amp;"|10",'EVENT ASSIGNMENT'!$K$2:$K$101,0),"")),""))</f>
        <v/>
      </c>
      <c r="C27" s="83" t="str">
        <f>IF(OR(IFERROR(MATCH(TEXT($B$10,"yyyymmdd")&amp;"|"&amp;$E$10&amp;"|10",'EVENT ASSIGNMENT'!$K$2:$K$101,0),"")="",B27=""),"",IFERROR(INDEX('CONTRACT CALC'!$G$13:$G$112,IFERROR(MATCH(TEXT($B$10,"yyyymmdd")&amp;"|"&amp;$E$10&amp;"|10",'EVENT ASSIGNMENT'!$K$2:$K$101,0),""))*INDEX('CONTRACT CALC'!$F$13:$F$112,IFERROR(MATCH(TEXT($B$10,"yyyymmdd")&amp;"|"&amp;$E$10&amp;"|10",'EVENT ASSIGNMENT'!$K$2:$K$101,0),"")),""))</f>
        <v/>
      </c>
      <c r="D27" s="83" t="str">
        <f>IF(OR(IFERROR(MATCH(TEXT($B$10,"yyyymmdd")&amp;"|"&amp;$E$10&amp;"|10",'EVENT ASSIGNMENT'!$K$2:$K$101,0),"")="",B27=""),"",IFERROR(INDEX('CONTRACT CALC'!$I$13:$I$112,IFERROR(MATCH(TEXT($B$10,"yyyymmdd")&amp;"|"&amp;$E$10&amp;"|10",'EVENT ASSIGNMENT'!$K$2:$K$101,0),""))*INDEX('CONTRACT CALC'!$F$13:$F$112,IFERROR(MATCH(TEXT($B$10,"yyyymmdd")&amp;"|"&amp;$E$10&amp;"|10",'EVENT ASSIGNMENT'!$K$2:$K$101,0),"")),""))</f>
        <v/>
      </c>
      <c r="E27" s="83" t="str">
        <f>IF(D27="","",D27*'CONTRACT CALC'!$B$4)</f>
        <v/>
      </c>
      <c r="F27" s="83" t="str">
        <f>IF(OR(IFERROR(MATCH(TEXT($B$10,"yyyymmdd")&amp;"|"&amp;$E$10&amp;"|10",'EVENT ASSIGNMENT'!$K$2:$K$101,0),"")="",B27=""),"",IFERROR(INDEX('CONTRACT CALC'!$H$13:$H$112,IFERROR(MATCH(TEXT($B$10,"yyyymmdd")&amp;"|"&amp;$E$10&amp;"|10",'EVENT ASSIGNMENT'!$K$2:$K$101,0),""))*INDEX('CONTRACT CALC'!$F$13:$F$112,IFERROR(MATCH(TEXT($B$10,"yyyymmdd")&amp;"|"&amp;$E$10&amp;"|10",'EVENT ASSIGNMENT'!$K$2:$K$101,0),"")),""))</f>
        <v/>
      </c>
      <c r="G27" s="83" t="str">
        <f>IF(F27="","",F27*'CONTRACT CALC'!$B$5)</f>
        <v/>
      </c>
      <c r="H27" s="83" t="str">
        <f t="shared" si="0"/>
        <v/>
      </c>
      <c r="I27" s="83" t="str">
        <f>IF(OR(IFERROR(MATCH(TEXT($B$10,"yyyymmdd")&amp;"|"&amp;$E$10&amp;"|10",'EVENT ASSIGNMENT'!$K$2:$K$101,0),"")="",B27=""),"",IF(COUNTIFS('TIPS DATA'!$A$2:$A$101,$B$10,'TIPS DATA'!$C$2:$C$101,$E$10,'TIPS DATA'!$D$2:$D$101,INDEX('EVENT ASSIGNMENT'!$C$2:$C$101,IFERROR(MATCH(TEXT($B$10,"yyyymmdd")&amp;"|"&amp;$E$10&amp;"|10",'EVENT ASSIGNMENT'!$K$2:$K$101,0),"")))&gt;0,SUMIFS('TIPS DATA'!$H$2:$H$101,'TIPS DATA'!$A$2:$A$101,$B$10,'TIPS DATA'!$C$2:$C$101,$E$10,'TIPS DATA'!$D$2:$D$101,INDEX('EVENT ASSIGNMENT'!$C$2:$C$101,IFERROR(MATCH(TEXT($B$10,"yyyymmdd")&amp;"|"&amp;$E$10&amp;"|10",'EVENT ASSIGNMENT'!$K$2:$K$101,0),""))),SUMIFS('TIPS DATA'!$H$2:$H$101,'TIPS DATA'!$A$2:$A$101,$B$10,'TIPS DATA'!$C$2:$C$101,$E$10,'TIPS DATA'!$E$2:$E$101,INDEX('EVENT ASSIGNMENT'!$D$2:$D$101,IFERROR(MATCH(TEXT($B$10,"yyyymmdd")&amp;"|"&amp;$E$10&amp;"|10",'EVENT ASSIGNMENT'!$K$2:$K$101,0),"")))))</f>
        <v/>
      </c>
    </row>
    <row r="28" spans="1:9" ht="18" customHeight="1" x14ac:dyDescent="0.2">
      <c r="A28" s="81" t="str">
        <f>IFERROR(MATCH(TEXT($B$10,"yyyymmdd")&amp;"|"&amp;$E$10&amp;"|11",'EVENT ASSIGNMENT'!$K$2:$K$101,0),"")</f>
        <v/>
      </c>
      <c r="B28" s="82" t="str">
        <f>IF(IFERROR(MATCH(TEXT($B$10,"yyyymmdd")&amp;"|"&amp;$E$10&amp;"|11",'EVENT ASSIGNMENT'!$K$2:$K$101,0),"")="","",IFERROR(INDEX('EVENT ASSIGNMENT'!$D$2:$D$101,IFERROR(MATCH(TEXT($B$10,"yyyymmdd")&amp;"|"&amp;$E$10&amp;"|11",'EVENT ASSIGNMENT'!$K$2:$K$101,0),"")),""))</f>
        <v/>
      </c>
      <c r="C28" s="83" t="str">
        <f>IF(OR(IFERROR(MATCH(TEXT($B$10,"yyyymmdd")&amp;"|"&amp;$E$10&amp;"|11",'EVENT ASSIGNMENT'!$K$2:$K$101,0),"")="",B28=""),"",IFERROR(INDEX('CONTRACT CALC'!$G$13:$G$112,IFERROR(MATCH(TEXT($B$10,"yyyymmdd")&amp;"|"&amp;$E$10&amp;"|11",'EVENT ASSIGNMENT'!$K$2:$K$101,0),""))*INDEX('CONTRACT CALC'!$F$13:$F$112,IFERROR(MATCH(TEXT($B$10,"yyyymmdd")&amp;"|"&amp;$E$10&amp;"|11",'EVENT ASSIGNMENT'!$K$2:$K$101,0),"")),""))</f>
        <v/>
      </c>
      <c r="D28" s="83" t="str">
        <f>IF(OR(IFERROR(MATCH(TEXT($B$10,"yyyymmdd")&amp;"|"&amp;$E$10&amp;"|11",'EVENT ASSIGNMENT'!$K$2:$K$101,0),"")="",B28=""),"",IFERROR(INDEX('CONTRACT CALC'!$I$13:$I$112,IFERROR(MATCH(TEXT($B$10,"yyyymmdd")&amp;"|"&amp;$E$10&amp;"|11",'EVENT ASSIGNMENT'!$K$2:$K$101,0),""))*INDEX('CONTRACT CALC'!$F$13:$F$112,IFERROR(MATCH(TEXT($B$10,"yyyymmdd")&amp;"|"&amp;$E$10&amp;"|11",'EVENT ASSIGNMENT'!$K$2:$K$101,0),"")),""))</f>
        <v/>
      </c>
      <c r="E28" s="83" t="str">
        <f>IF(D28="","",D28*'CONTRACT CALC'!$B$4)</f>
        <v/>
      </c>
      <c r="F28" s="83" t="str">
        <f>IF(OR(IFERROR(MATCH(TEXT($B$10,"yyyymmdd")&amp;"|"&amp;$E$10&amp;"|11",'EVENT ASSIGNMENT'!$K$2:$K$101,0),"")="",B28=""),"",IFERROR(INDEX('CONTRACT CALC'!$H$13:$H$112,IFERROR(MATCH(TEXT($B$10,"yyyymmdd")&amp;"|"&amp;$E$10&amp;"|11",'EVENT ASSIGNMENT'!$K$2:$K$101,0),""))*INDEX('CONTRACT CALC'!$F$13:$F$112,IFERROR(MATCH(TEXT($B$10,"yyyymmdd")&amp;"|"&amp;$E$10&amp;"|11",'EVENT ASSIGNMENT'!$K$2:$K$101,0),"")),""))</f>
        <v/>
      </c>
      <c r="G28" s="83" t="str">
        <f>IF(F28="","",F28*'CONTRACT CALC'!$B$5)</f>
        <v/>
      </c>
      <c r="H28" s="83" t="str">
        <f t="shared" si="0"/>
        <v/>
      </c>
      <c r="I28" s="83" t="str">
        <f>IF(OR(IFERROR(MATCH(TEXT($B$10,"yyyymmdd")&amp;"|"&amp;$E$10&amp;"|11",'EVENT ASSIGNMENT'!$K$2:$K$101,0),"")="",B28=""),"",IF(COUNTIFS('TIPS DATA'!$A$2:$A$101,$B$10,'TIPS DATA'!$C$2:$C$101,$E$10,'TIPS DATA'!$D$2:$D$101,INDEX('EVENT ASSIGNMENT'!$C$2:$C$101,IFERROR(MATCH(TEXT($B$10,"yyyymmdd")&amp;"|"&amp;$E$10&amp;"|11",'EVENT ASSIGNMENT'!$K$2:$K$101,0),"")))&gt;0,SUMIFS('TIPS DATA'!$H$2:$H$101,'TIPS DATA'!$A$2:$A$101,$B$10,'TIPS DATA'!$C$2:$C$101,$E$10,'TIPS DATA'!$D$2:$D$101,INDEX('EVENT ASSIGNMENT'!$C$2:$C$101,IFERROR(MATCH(TEXT($B$10,"yyyymmdd")&amp;"|"&amp;$E$10&amp;"|11",'EVENT ASSIGNMENT'!$K$2:$K$101,0),""))),SUMIFS('TIPS DATA'!$H$2:$H$101,'TIPS DATA'!$A$2:$A$101,$B$10,'TIPS DATA'!$C$2:$C$101,$E$10,'TIPS DATA'!$E$2:$E$101,INDEX('EVENT ASSIGNMENT'!$D$2:$D$101,IFERROR(MATCH(TEXT($B$10,"yyyymmdd")&amp;"|"&amp;$E$10&amp;"|11",'EVENT ASSIGNMENT'!$K$2:$K$101,0),"")))))</f>
        <v/>
      </c>
    </row>
    <row r="29" spans="1:9" ht="18" customHeight="1" x14ac:dyDescent="0.2">
      <c r="A29" s="81" t="str">
        <f>IFERROR(MATCH(TEXT($B$10,"yyyymmdd")&amp;"|"&amp;$E$10&amp;"|12",'EVENT ASSIGNMENT'!$K$2:$K$101,0),"")</f>
        <v/>
      </c>
      <c r="B29" s="82" t="str">
        <f>IF(IFERROR(MATCH(TEXT($B$10,"yyyymmdd")&amp;"|"&amp;$E$10&amp;"|12",'EVENT ASSIGNMENT'!$K$2:$K$101,0),"")="","",IFERROR(INDEX('EVENT ASSIGNMENT'!$D$2:$D$101,IFERROR(MATCH(TEXT($B$10,"yyyymmdd")&amp;"|"&amp;$E$10&amp;"|12",'EVENT ASSIGNMENT'!$K$2:$K$101,0),"")),""))</f>
        <v/>
      </c>
      <c r="C29" s="83" t="str">
        <f>IF(OR(IFERROR(MATCH(TEXT($B$10,"yyyymmdd")&amp;"|"&amp;$E$10&amp;"|12",'EVENT ASSIGNMENT'!$K$2:$K$101,0),"")="",B29=""),"",IFERROR(INDEX('CONTRACT CALC'!$G$13:$G$112,IFERROR(MATCH(TEXT($B$10,"yyyymmdd")&amp;"|"&amp;$E$10&amp;"|12",'EVENT ASSIGNMENT'!$K$2:$K$101,0),""))*INDEX('CONTRACT CALC'!$F$13:$F$112,IFERROR(MATCH(TEXT($B$10,"yyyymmdd")&amp;"|"&amp;$E$10&amp;"|12",'EVENT ASSIGNMENT'!$K$2:$K$101,0),"")),""))</f>
        <v/>
      </c>
      <c r="D29" s="83" t="str">
        <f>IF(OR(IFERROR(MATCH(TEXT($B$10,"yyyymmdd")&amp;"|"&amp;$E$10&amp;"|12",'EVENT ASSIGNMENT'!$K$2:$K$101,0),"")="",B29=""),"",IFERROR(INDEX('CONTRACT CALC'!$I$13:$I$112,IFERROR(MATCH(TEXT($B$10,"yyyymmdd")&amp;"|"&amp;$E$10&amp;"|12",'EVENT ASSIGNMENT'!$K$2:$K$101,0),""))*INDEX('CONTRACT CALC'!$F$13:$F$112,IFERROR(MATCH(TEXT($B$10,"yyyymmdd")&amp;"|"&amp;$E$10&amp;"|12",'EVENT ASSIGNMENT'!$K$2:$K$101,0),"")),""))</f>
        <v/>
      </c>
      <c r="E29" s="83" t="str">
        <f>IF(D29="","",D29*'CONTRACT CALC'!$B$4)</f>
        <v/>
      </c>
      <c r="F29" s="83" t="str">
        <f>IF(OR(IFERROR(MATCH(TEXT($B$10,"yyyymmdd")&amp;"|"&amp;$E$10&amp;"|12",'EVENT ASSIGNMENT'!$K$2:$K$101,0),"")="",B29=""),"",IFERROR(INDEX('CONTRACT CALC'!$H$13:$H$112,IFERROR(MATCH(TEXT($B$10,"yyyymmdd")&amp;"|"&amp;$E$10&amp;"|12",'EVENT ASSIGNMENT'!$K$2:$K$101,0),""))*INDEX('CONTRACT CALC'!$F$13:$F$112,IFERROR(MATCH(TEXT($B$10,"yyyymmdd")&amp;"|"&amp;$E$10&amp;"|12",'EVENT ASSIGNMENT'!$K$2:$K$101,0),"")),""))</f>
        <v/>
      </c>
      <c r="G29" s="83" t="str">
        <f>IF(F29="","",F29*'CONTRACT CALC'!$B$5)</f>
        <v/>
      </c>
      <c r="H29" s="83" t="str">
        <f t="shared" si="0"/>
        <v/>
      </c>
      <c r="I29" s="83" t="str">
        <f>IF(OR(IFERROR(MATCH(TEXT($B$10,"yyyymmdd")&amp;"|"&amp;$E$10&amp;"|12",'EVENT ASSIGNMENT'!$K$2:$K$101,0),"")="",B29=""),"",IF(COUNTIFS('TIPS DATA'!$A$2:$A$101,$B$10,'TIPS DATA'!$C$2:$C$101,$E$10,'TIPS DATA'!$D$2:$D$101,INDEX('EVENT ASSIGNMENT'!$C$2:$C$101,IFERROR(MATCH(TEXT($B$10,"yyyymmdd")&amp;"|"&amp;$E$10&amp;"|12",'EVENT ASSIGNMENT'!$K$2:$K$101,0),"")))&gt;0,SUMIFS('TIPS DATA'!$H$2:$H$101,'TIPS DATA'!$A$2:$A$101,$B$10,'TIPS DATA'!$C$2:$C$101,$E$10,'TIPS DATA'!$D$2:$D$101,INDEX('EVENT ASSIGNMENT'!$C$2:$C$101,IFERROR(MATCH(TEXT($B$10,"yyyymmdd")&amp;"|"&amp;$E$10&amp;"|12",'EVENT ASSIGNMENT'!$K$2:$K$101,0),""))),SUMIFS('TIPS DATA'!$H$2:$H$101,'TIPS DATA'!$A$2:$A$101,$B$10,'TIPS DATA'!$C$2:$C$101,$E$10,'TIPS DATA'!$E$2:$E$101,INDEX('EVENT ASSIGNMENT'!$D$2:$D$101,IFERROR(MATCH(TEXT($B$10,"yyyymmdd")&amp;"|"&amp;$E$10&amp;"|12",'EVENT ASSIGNMENT'!$K$2:$K$101,0),"")))))</f>
        <v/>
      </c>
    </row>
    <row r="30" spans="1:9" ht="15.75" x14ac:dyDescent="0.2">
      <c r="A30" s="84" t="str">
        <f>IFERROR(MATCH(TEXT($B$10,"yyyymmdd")&amp;"|"&amp;$E$10&amp;"|23",'EVENT ASSIGNMENT'!$K$2:$K$101,0),"")</f>
        <v/>
      </c>
      <c r="B30" s="82" t="str">
        <f>IF(IFERROR(MATCH(TEXT($B$10,"yyyymmdd")&amp;"|"&amp;$E$10&amp;"|23",'EVENT ASSIGNMENT'!$K$2:$K$101,0),"")="","",IFERROR(INDEX('EVENT ASSIGNMENT'!$D$2:$D$101,IFERROR(MATCH(TEXT($B$10,"yyyymmdd")&amp;"|"&amp;$E$10&amp;"|23",'EVENT ASSIGNMENT'!$K$2:$K$101,0),"")),""))</f>
        <v/>
      </c>
      <c r="C30" s="83" t="str">
        <f>IF(OR(IFERROR(MATCH(TEXT($B$10,"yyyymmdd")&amp;"|"&amp;$E$10&amp;"|23",'EVENT ASSIGNMENT'!$K$2:$K$101,0),"")="",B30=""),"",IFERROR(INDEX('CONTRACT CALC'!$G$13:$G$112,IFERROR(MATCH(TEXT($B$10,"yyyymmdd")&amp;"|"&amp;$E$10&amp;"|23",'EVENT ASSIGNMENT'!$K$2:$K$101,0),""))*INDEX('CONTRACT CALC'!$F$13:$F$112,IFERROR(MATCH(TEXT($B$10,"yyyymmdd")&amp;"|"&amp;$E$10&amp;"|23",'EVENT ASSIGNMENT'!$K$2:$K$101,0),"")),""))</f>
        <v/>
      </c>
      <c r="D30" s="83" t="str">
        <f>IF(OR(IFERROR(MATCH(TEXT($B$10,"yyyymmdd")&amp;"|"&amp;$E$10&amp;"|23",'EVENT ASSIGNMENT'!$K$2:$K$101,0),"")="",B30=""),"",IFERROR(INDEX('CONTRACT CALC'!$I$13:$I$112,IFERROR(MATCH(TEXT($B$10,"yyyymmdd")&amp;"|"&amp;$E$10&amp;"|23",'EVENT ASSIGNMENT'!$K$2:$K$101,0),""))*INDEX('CONTRACT CALC'!$F$13:$F$112,IFERROR(MATCH(TEXT($B$10,"yyyymmdd")&amp;"|"&amp;$E$10&amp;"|23",'EVENT ASSIGNMENT'!$K$2:$K$101,0),"")),""))</f>
        <v/>
      </c>
      <c r="E30" s="83" t="str">
        <f>IF(D30="","",D30*'CONTRACT CALC'!$B$4)</f>
        <v/>
      </c>
      <c r="F30" s="83" t="str">
        <f>IF(OR(IFERROR(MATCH(TEXT($B$10,"yyyymmdd")&amp;"|"&amp;$E$10&amp;"|23",'EVENT ASSIGNMENT'!$K$2:$K$101,0),"")="",B30=""),"",IFERROR(INDEX('CONTRACT CALC'!$H$13:$H$112,IFERROR(MATCH(TEXT($B$10,"yyyymmdd")&amp;"|"&amp;$E$10&amp;"|23",'EVENT ASSIGNMENT'!$K$2:$K$101,0),""))*INDEX('CONTRACT CALC'!$F$13:$F$112,IFERROR(MATCH(TEXT($B$10,"yyyymmdd")&amp;"|"&amp;$E$10&amp;"|23",'EVENT ASSIGNMENT'!$K$2:$K$101,0),"")),""))</f>
        <v/>
      </c>
      <c r="G30" s="83" t="str">
        <f>IF(F30="","",F30*'CONTRACT CALC'!$B$5)</f>
        <v/>
      </c>
      <c r="H30" s="83" t="str">
        <f t="shared" si="0"/>
        <v/>
      </c>
      <c r="I30" s="83" t="str">
        <f>IF(OR(IFERROR(MATCH(TEXT($B$10,"yyyymmdd")&amp;"|"&amp;$E$10&amp;"|23",'EVENT ASSIGNMENT'!$K$2:$K$101,0),"")="",B30=""),"",IF(COUNTIFS('TIPS DATA'!$A$2:$A$101,$B$10,'TIPS DATA'!$C$2:$C$101,$E$10,'TIPS DATA'!$D$2:$D$101,INDEX('EVENT ASSIGNMENT'!$C$2:$C$101,IFERROR(MATCH(TEXT($B$10,"yyyymmdd")&amp;"|"&amp;$E$10&amp;"|23",'EVENT ASSIGNMENT'!$K$2:$K$101,0),"")))&gt;0,SUMIFS('TIPS DATA'!$H$2:$H$101,'TIPS DATA'!$A$2:$A$101,$B$10,'TIPS DATA'!$C$2:$C$101,$E$10,'TIPS DATA'!$D$2:$D$101,INDEX('EVENT ASSIGNMENT'!$C$2:$C$101,IFERROR(MATCH(TEXT($B$10,"yyyymmdd")&amp;"|"&amp;$E$10&amp;"|23",'EVENT ASSIGNMENT'!$K$2:$K$101,0),""))),SUMIFS('TIPS DATA'!$H$2:$H$101,'TIPS DATA'!$A$2:$A$101,$B$10,'TIPS DATA'!$C$2:$C$101,$E$10,'TIPS DATA'!$E$2:$E$101,INDEX('EVENT ASSIGNMENT'!$D$2:$D$101,IFERROR(MATCH(TEXT($B$10,"yyyymmdd")&amp;"|"&amp;$E$10&amp;"|23",'EVENT ASSIGNMENT'!$K$2:$K$101,0),"")))))</f>
        <v/>
      </c>
    </row>
    <row r="31" spans="1:9" ht="15" customHeight="1" x14ac:dyDescent="0.2">
      <c r="A31" s="84" t="str">
        <f>IFERROR(MATCH(TEXT($B$10,"yyyymmdd")&amp;"|"&amp;$E$10&amp;"|24",'EVENT ASSIGNMENT'!$K$2:$K$101,0),"")</f>
        <v/>
      </c>
      <c r="B31" s="82" t="str">
        <f>IF(IFERROR(MATCH(TEXT($B$10,"yyyymmdd")&amp;"|"&amp;$E$10&amp;"|24",'EVENT ASSIGNMENT'!$K$2:$K$101,0),"")="","",IFERROR(INDEX('EVENT ASSIGNMENT'!$D$2:$D$101,IFERROR(MATCH(TEXT($B$10,"yyyymmdd")&amp;"|"&amp;$E$10&amp;"|24",'EVENT ASSIGNMENT'!$K$2:$K$101,0),"")),""))</f>
        <v/>
      </c>
      <c r="C31" s="83" t="str">
        <f>IF(OR(IFERROR(MATCH(TEXT($B$10,"yyyymmdd")&amp;"|"&amp;$E$10&amp;"|24",'EVENT ASSIGNMENT'!$K$2:$K$101,0),"")="",B31=""),"",IFERROR(INDEX('CONTRACT CALC'!$G$13:$G$112,IFERROR(MATCH(TEXT($B$10,"yyyymmdd")&amp;"|"&amp;$E$10&amp;"|24",'EVENT ASSIGNMENT'!$K$2:$K$101,0),""))*INDEX('CONTRACT CALC'!$F$13:$F$112,IFERROR(MATCH(TEXT($B$10,"yyyymmdd")&amp;"|"&amp;$E$10&amp;"|24",'EVENT ASSIGNMENT'!$K$2:$K$101,0),"")),""))</f>
        <v/>
      </c>
      <c r="D31" s="83" t="str">
        <f>IF(OR(IFERROR(MATCH(TEXT($B$10,"yyyymmdd")&amp;"|"&amp;$E$10&amp;"|24",'EVENT ASSIGNMENT'!$K$2:$K$101,0),"")="",B31=""),"",IFERROR(INDEX('CONTRACT CALC'!$I$13:$I$112,IFERROR(MATCH(TEXT($B$10,"yyyymmdd")&amp;"|"&amp;$E$10&amp;"|24",'EVENT ASSIGNMENT'!$K$2:$K$101,0),""))*INDEX('CONTRACT CALC'!$F$13:$F$112,IFERROR(MATCH(TEXT($B$10,"yyyymmdd")&amp;"|"&amp;$E$10&amp;"|24",'EVENT ASSIGNMENT'!$K$2:$K$101,0),"")),""))</f>
        <v/>
      </c>
      <c r="E31" s="83" t="str">
        <f>IF(D31="","",D31*'CONTRACT CALC'!$B$4)</f>
        <v/>
      </c>
      <c r="F31" s="83" t="str">
        <f>IF(OR(IFERROR(MATCH(TEXT($B$10,"yyyymmdd")&amp;"|"&amp;$E$10&amp;"|24",'EVENT ASSIGNMENT'!$K$2:$K$101,0),"")="",B31=""),"",IFERROR(INDEX('CONTRACT CALC'!$H$13:$H$112,IFERROR(MATCH(TEXT($B$10,"yyyymmdd")&amp;"|"&amp;$E$10&amp;"|24",'EVENT ASSIGNMENT'!$K$2:$K$101,0),""))*INDEX('CONTRACT CALC'!$F$13:$F$112,IFERROR(MATCH(TEXT($B$10,"yyyymmdd")&amp;"|"&amp;$E$10&amp;"|24",'EVENT ASSIGNMENT'!$K$2:$K$101,0),"")),""))</f>
        <v/>
      </c>
      <c r="G31" s="83" t="str">
        <f>IF(F31="","",F31*'CONTRACT CALC'!$B$5)</f>
        <v/>
      </c>
      <c r="H31" s="83" t="str">
        <f t="shared" si="0"/>
        <v/>
      </c>
      <c r="I31" s="83" t="str">
        <f>IF(OR(IFERROR(MATCH(TEXT($B$10,"yyyymmdd")&amp;"|"&amp;$E$10&amp;"|24",'EVENT ASSIGNMENT'!$K$2:$K$101,0),"")="",B31=""),"",IF(COUNTIFS('TIPS DATA'!$A$2:$A$101,$B$10,'TIPS DATA'!$C$2:$C$101,$E$10,'TIPS DATA'!$D$2:$D$101,INDEX('EVENT ASSIGNMENT'!$C$2:$C$101,IFERROR(MATCH(TEXT($B$10,"yyyymmdd")&amp;"|"&amp;$E$10&amp;"|24",'EVENT ASSIGNMENT'!$K$2:$K$101,0),"")))&gt;0,SUMIFS('TIPS DATA'!$H$2:$H$101,'TIPS DATA'!$A$2:$A$101,$B$10,'TIPS DATA'!$C$2:$C$101,$E$10,'TIPS DATA'!$D$2:$D$101,INDEX('EVENT ASSIGNMENT'!$C$2:$C$101,IFERROR(MATCH(TEXT($B$10,"yyyymmdd")&amp;"|"&amp;$E$10&amp;"|24",'EVENT ASSIGNMENT'!$K$2:$K$101,0),""))),SUMIFS('TIPS DATA'!$H$2:$H$101,'TIPS DATA'!$A$2:$A$101,$B$10,'TIPS DATA'!$C$2:$C$101,$E$10,'TIPS DATA'!$E$2:$E$101,INDEX('EVENT ASSIGNMENT'!$D$2:$D$101,IFERROR(MATCH(TEXT($B$10,"yyyymmdd")&amp;"|"&amp;$E$10&amp;"|24",'EVENT ASSIGNMENT'!$K$2:$K$101,0),"")))))</f>
        <v/>
      </c>
    </row>
    <row r="32" spans="1:9" ht="15.75" x14ac:dyDescent="0.2">
      <c r="A32" s="84" t="str">
        <f>IFERROR(MATCH(TEXT($B$10,"yyyymmdd")&amp;"|"&amp;$E$10&amp;"|25",'EVENT ASSIGNMENT'!$K$2:$K$101,0),"")</f>
        <v/>
      </c>
      <c r="B32" s="82" t="str">
        <f>IF(IFERROR(MATCH(TEXT($B$10,"yyyymmdd")&amp;"|"&amp;$E$10&amp;"|25",'EVENT ASSIGNMENT'!$K$2:$K$101,0),"")="","",IFERROR(INDEX('EVENT ASSIGNMENT'!$D$2:$D$101,IFERROR(MATCH(TEXT($B$10,"yyyymmdd")&amp;"|"&amp;$E$10&amp;"|25",'EVENT ASSIGNMENT'!$K$2:$K$101,0),"")),""))</f>
        <v/>
      </c>
      <c r="C32" s="83" t="str">
        <f>IF(OR(IFERROR(MATCH(TEXT($B$10,"yyyymmdd")&amp;"|"&amp;$E$10&amp;"|25",'EVENT ASSIGNMENT'!$K$2:$K$101,0),"")="",B32=""),"",IFERROR(INDEX('CONTRACT CALC'!$G$13:$G$112,IFERROR(MATCH(TEXT($B$10,"yyyymmdd")&amp;"|"&amp;$E$10&amp;"|25",'EVENT ASSIGNMENT'!$K$2:$K$101,0),""))*INDEX('CONTRACT CALC'!$F$13:$F$112,IFERROR(MATCH(TEXT($B$10,"yyyymmdd")&amp;"|"&amp;$E$10&amp;"|25",'EVENT ASSIGNMENT'!$K$2:$K$101,0),"")),""))</f>
        <v/>
      </c>
      <c r="D32" s="83" t="str">
        <f>IF(OR(IFERROR(MATCH(TEXT($B$10,"yyyymmdd")&amp;"|"&amp;$E$10&amp;"|25",'EVENT ASSIGNMENT'!$K$2:$K$101,0),"")="",B32=""),"",IFERROR(INDEX('CONTRACT CALC'!$I$13:$I$112,IFERROR(MATCH(TEXT($B$10,"yyyymmdd")&amp;"|"&amp;$E$10&amp;"|25",'EVENT ASSIGNMENT'!$K$2:$K$101,0),""))*INDEX('CONTRACT CALC'!$F$13:$F$112,IFERROR(MATCH(TEXT($B$10,"yyyymmdd")&amp;"|"&amp;$E$10&amp;"|25",'EVENT ASSIGNMENT'!$K$2:$K$101,0),"")),""))</f>
        <v/>
      </c>
      <c r="E32" s="83" t="str">
        <f>IF(D32="","",D32*'CONTRACT CALC'!$B$4)</f>
        <v/>
      </c>
      <c r="F32" s="83" t="str">
        <f>IF(OR(IFERROR(MATCH(TEXT($B$10,"yyyymmdd")&amp;"|"&amp;$E$10&amp;"|25",'EVENT ASSIGNMENT'!$K$2:$K$101,0),"")="",B32=""),"",IFERROR(INDEX('CONTRACT CALC'!$H$13:$H$112,IFERROR(MATCH(TEXT($B$10,"yyyymmdd")&amp;"|"&amp;$E$10&amp;"|25",'EVENT ASSIGNMENT'!$K$2:$K$101,0),""))*INDEX('CONTRACT CALC'!$F$13:$F$112,IFERROR(MATCH(TEXT($B$10,"yyyymmdd")&amp;"|"&amp;$E$10&amp;"|25",'EVENT ASSIGNMENT'!$K$2:$K$101,0),"")),""))</f>
        <v/>
      </c>
      <c r="G32" s="83" t="str">
        <f>IF(F32="","",F32*'CONTRACT CALC'!$B$5)</f>
        <v/>
      </c>
      <c r="H32" s="83" t="str">
        <f t="shared" si="0"/>
        <v/>
      </c>
      <c r="I32" s="83" t="str">
        <f>IF(OR(IFERROR(MATCH(TEXT($B$10,"yyyymmdd")&amp;"|"&amp;$E$10&amp;"|25",'EVENT ASSIGNMENT'!$K$2:$K$101,0),"")="",B32=""),"",IF(COUNTIFS('TIPS DATA'!$A$2:$A$101,$B$10,'TIPS DATA'!$C$2:$C$101,$E$10,'TIPS DATA'!$D$2:$D$101,INDEX('EVENT ASSIGNMENT'!$C$2:$C$101,IFERROR(MATCH(TEXT($B$10,"yyyymmdd")&amp;"|"&amp;$E$10&amp;"|25",'EVENT ASSIGNMENT'!$K$2:$K$101,0),"")))&gt;0,SUMIFS('TIPS DATA'!$H$2:$H$101,'TIPS DATA'!$A$2:$A$101,$B$10,'TIPS DATA'!$C$2:$C$101,$E$10,'TIPS DATA'!$D$2:$D$101,INDEX('EVENT ASSIGNMENT'!$C$2:$C$101,IFERROR(MATCH(TEXT($B$10,"yyyymmdd")&amp;"|"&amp;$E$10&amp;"|25",'EVENT ASSIGNMENT'!$K$2:$K$101,0),""))),SUMIFS('TIPS DATA'!$H$2:$H$101,'TIPS DATA'!$A$2:$A$101,$B$10,'TIPS DATA'!$C$2:$C$101,$E$10,'TIPS DATA'!$E$2:$E$101,INDEX('EVENT ASSIGNMENT'!$D$2:$D$101,IFERROR(MATCH(TEXT($B$10,"yyyymmdd")&amp;"|"&amp;$E$10&amp;"|25",'EVENT ASSIGNMENT'!$K$2:$K$101,0),"")))))</f>
        <v/>
      </c>
    </row>
    <row r="33" spans="2:9" ht="15.75" x14ac:dyDescent="0.25">
      <c r="B33" s="85" t="s">
        <v>27</v>
      </c>
      <c r="C33" s="86">
        <f t="shared" ref="C33:I33" si="1">SUM(C18:C32)</f>
        <v>48024</v>
      </c>
      <c r="D33" s="86">
        <f t="shared" si="1"/>
        <v>32245</v>
      </c>
      <c r="E33" s="86">
        <f t="shared" si="1"/>
        <v>3224.5000000000005</v>
      </c>
      <c r="F33" s="86">
        <f t="shared" si="1"/>
        <v>15779</v>
      </c>
      <c r="G33" s="86">
        <f t="shared" si="1"/>
        <v>1262.32</v>
      </c>
      <c r="H33" s="86">
        <f t="shared" si="1"/>
        <v>4486.82</v>
      </c>
      <c r="I33" s="86">
        <f t="shared" si="1"/>
        <v>3421.74</v>
      </c>
    </row>
    <row r="34" spans="2:9" x14ac:dyDescent="0.2">
      <c r="B34" s="111" t="s">
        <v>28</v>
      </c>
      <c r="C34" s="97"/>
      <c r="D34" s="97"/>
      <c r="E34" s="97"/>
      <c r="F34" s="97"/>
      <c r="G34" s="97"/>
      <c r="H34" s="97"/>
    </row>
    <row r="35" spans="2:9" ht="15.75" x14ac:dyDescent="0.25">
      <c r="G35" s="112" t="s">
        <v>29</v>
      </c>
      <c r="H35" s="97"/>
      <c r="I35" s="97"/>
    </row>
    <row r="36" spans="2:9" ht="15.75" x14ac:dyDescent="0.25">
      <c r="B36" s="117" t="s">
        <v>30</v>
      </c>
      <c r="C36" s="97"/>
      <c r="D36" s="97"/>
      <c r="E36" s="97"/>
      <c r="G36" s="87" t="s">
        <v>31</v>
      </c>
      <c r="I36" s="88">
        <f>IFERROR(SUMIFS('SUPPLEMENTAL DATA'!$C$2:$C$101,'SUPPLEMENTAL DATA'!$A$2:$A$101,$B$10,'SUPPLEMENTAL DATA'!$B$2:$B$101,$E$10),0)</f>
        <v>0</v>
      </c>
    </row>
    <row r="37" spans="2:9" ht="15.75" x14ac:dyDescent="0.25">
      <c r="B37" s="106"/>
      <c r="C37" s="97"/>
      <c r="D37" s="97"/>
      <c r="E37" s="97"/>
      <c r="G37" s="87" t="s">
        <v>32</v>
      </c>
      <c r="I37" s="88">
        <f>IFERROR(SUMIFS('SUPPLEMENTAL DATA'!$D$2:$D$101,'SUPPLEMENTAL DATA'!$A$2:$A$101,$B$10,'SUPPLEMENTAL DATA'!$B$2:$B$101,$E$10),0)</f>
        <v>0</v>
      </c>
    </row>
    <row r="38" spans="2:9" ht="15.75" x14ac:dyDescent="0.25">
      <c r="B38" s="97"/>
      <c r="C38" s="97"/>
      <c r="D38" s="97"/>
      <c r="E38" s="97"/>
      <c r="G38" s="87" t="s">
        <v>33</v>
      </c>
      <c r="I38" s="88">
        <f>IFERROR(SUMIFS('SUPPLEMENTAL DATA'!$E$2:$E$101,'SUPPLEMENTAL DATA'!$A$2:$A$101,$B$10,'SUPPLEMENTAL DATA'!$B$2:$B$101,$E$10),0)</f>
        <v>0</v>
      </c>
    </row>
    <row r="39" spans="2:9" ht="15.75" x14ac:dyDescent="0.25">
      <c r="B39" s="97"/>
      <c r="C39" s="97"/>
      <c r="D39" s="97"/>
      <c r="E39" s="97"/>
      <c r="G39" s="87" t="s">
        <v>34</v>
      </c>
      <c r="I39" s="88">
        <f>IFERROR(SUMIFS('SUPPLEMENTAL DATA'!$F$2:$F$101,'SUPPLEMENTAL DATA'!$A$2:$A$101,$B$10,'SUPPLEMENTAL DATA'!$B$2:$B$101,$E$10),0)</f>
        <v>0</v>
      </c>
    </row>
    <row r="40" spans="2:9" ht="15.75" x14ac:dyDescent="0.25">
      <c r="B40" s="97"/>
      <c r="C40" s="97"/>
      <c r="D40" s="97"/>
      <c r="E40" s="97"/>
      <c r="G40" s="87" t="s">
        <v>35</v>
      </c>
      <c r="I40" s="88">
        <f>IFERROR(SUMIFS('SUPPLEMENTAL DATA'!$G$2:$G$101,'SUPPLEMENTAL DATA'!$A$2:$A$101,$B$10,'SUPPLEMENTAL DATA'!$B$2:$B$101,$E$10),0)</f>
        <v>0</v>
      </c>
    </row>
    <row r="41" spans="2:9" ht="15.75" x14ac:dyDescent="0.25">
      <c r="B41" s="97"/>
      <c r="C41" s="97"/>
      <c r="D41" s="97"/>
      <c r="E41" s="97"/>
      <c r="G41" s="87" t="s">
        <v>36</v>
      </c>
      <c r="I41" s="88">
        <f>IFERROR(SUMIFS('SUPPLEMENTAL DATA'!$H$2:$H$101,'SUPPLEMENTAL DATA'!$A$2:$A$101,$B$10,'SUPPLEMENTAL DATA'!$B$2:$B$101,$E$10),0)</f>
        <v>0</v>
      </c>
    </row>
    <row r="42" spans="2:9" ht="15.75" x14ac:dyDescent="0.25">
      <c r="I42" s="89">
        <f>SUM(I36:I41)</f>
        <v>0</v>
      </c>
    </row>
    <row r="45" spans="2:9" x14ac:dyDescent="0.2">
      <c r="B45" s="107" t="s">
        <v>37</v>
      </c>
      <c r="C45" s="97"/>
      <c r="E45" s="108" t="s">
        <v>38</v>
      </c>
      <c r="F45" s="97"/>
      <c r="G45" s="97"/>
    </row>
    <row r="46" spans="2:9" ht="13.5" x14ac:dyDescent="0.25">
      <c r="B46" s="124" t="s">
        <v>39</v>
      </c>
      <c r="C46" s="125">
        <f ca="1">TODAY()</f>
        <v>46283</v>
      </c>
      <c r="E46" s="90" t="s">
        <v>40</v>
      </c>
      <c r="F46" s="91" t="s">
        <v>41</v>
      </c>
      <c r="G46" s="92">
        <f>H33</f>
        <v>4486.82</v>
      </c>
    </row>
    <row r="47" spans="2:9" ht="13.5" x14ac:dyDescent="0.25">
      <c r="B47" s="87" t="s">
        <v>42</v>
      </c>
      <c r="C47" s="125"/>
      <c r="E47" s="90" t="s">
        <v>43</v>
      </c>
      <c r="F47" s="91" t="s">
        <v>44</v>
      </c>
      <c r="G47" s="92">
        <f>I33</f>
        <v>3421.74</v>
      </c>
    </row>
    <row r="48" spans="2:9" ht="13.5" x14ac:dyDescent="0.25">
      <c r="B48" s="124" t="s">
        <v>45</v>
      </c>
      <c r="C48" s="125">
        <f ca="1">TODAY()</f>
        <v>46283</v>
      </c>
      <c r="E48" s="90" t="s">
        <v>46</v>
      </c>
      <c r="F48" s="91" t="s">
        <v>47</v>
      </c>
      <c r="G48" s="92">
        <f>SUM(I36:I40)</f>
        <v>0</v>
      </c>
    </row>
    <row r="49" spans="2:7" ht="13.5" x14ac:dyDescent="0.25">
      <c r="B49" s="87" t="s">
        <v>48</v>
      </c>
      <c r="C49" s="125"/>
      <c r="E49" s="90" t="s">
        <v>49</v>
      </c>
      <c r="F49" s="91" t="s">
        <v>50</v>
      </c>
      <c r="G49" s="92">
        <f>I41</f>
        <v>0</v>
      </c>
    </row>
    <row r="50" spans="2:7" ht="13.5" x14ac:dyDescent="0.25">
      <c r="B50" s="124" t="s">
        <v>51</v>
      </c>
      <c r="C50" s="125">
        <f ca="1">TODAY()</f>
        <v>46283</v>
      </c>
    </row>
    <row r="51" spans="2:7" ht="13.5" x14ac:dyDescent="0.25">
      <c r="B51" s="87" t="s">
        <v>52</v>
      </c>
      <c r="C51" s="125"/>
    </row>
    <row r="52" spans="2:7" x14ac:dyDescent="0.2">
      <c r="C52" s="125"/>
    </row>
  </sheetData>
  <mergeCells count="17">
    <mergeCell ref="B37:E41"/>
    <mergeCell ref="B45:C45"/>
    <mergeCell ref="E45:G45"/>
    <mergeCell ref="B6:F6"/>
    <mergeCell ref="E10:F10"/>
    <mergeCell ref="B34:H34"/>
    <mergeCell ref="G35:I35"/>
    <mergeCell ref="C9:D9"/>
    <mergeCell ref="E9:F9"/>
    <mergeCell ref="B36:E36"/>
    <mergeCell ref="E12:F12"/>
    <mergeCell ref="G6:H7"/>
    <mergeCell ref="C2:G2"/>
    <mergeCell ref="B16:I16"/>
    <mergeCell ref="G5:H5"/>
    <mergeCell ref="B5:F5"/>
    <mergeCell ref="C3:G3"/>
  </mergeCells>
  <printOptions horizontalCentered="1"/>
  <pageMargins left="0.28000000000000003" right="0.28000000000000003" top="0.3" bottom="0.3" header="0.1" footer="0.15"/>
  <pageSetup scale="88" orientation="landscape"/>
  <headerFooter>
    <oddFooter>&amp;L&amp;7 Levy • UNM Athletics&amp;R&amp;7 Settlement Statement • 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ErrorMessage="1" errorTitle="Payee / NPO" error="Select a Payee/NPO from the SET-UP &amp; SUMMARY list." promptTitle="Payee / NPO" prompt="Select the vendor / NPO for this settlement statement." xr:uid="{00000000-0002-0000-0100-000000000000}">
          <x14:formula1>
            <xm:f>'SET-UP &amp; SUMMARY'!$A$12:$A$18</xm:f>
          </x14:formula1>
          <xm:sqref>E10</xm:sqref>
        </x14:dataValidation>
        <x14:dataValidation type="list" showErrorMessage="1" errorTitle="Event Date" error="Select an Event Date that exists on EVENT ASSIGNMENT." promptTitle="Event Date" prompt="Select the event date for this settlement statement." xr:uid="{00000000-0002-0000-0100-000001000000}">
          <x14:formula1>
            <xm:f>'EVENT ASSIGNMENT'!$A$2:$A$101</xm:f>
          </x14:formula1>
          <xm:sqref>B10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7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customHeight="1" x14ac:dyDescent="0.2"/>
  <cols>
    <col min="1" max="2" width="42" customWidth="1"/>
    <col min="3" max="3" width="60" customWidth="1"/>
    <col min="4" max="4" width="30" customWidth="1"/>
    <col min="5" max="23" width="16" customWidth="1"/>
  </cols>
  <sheetData>
    <row r="1" spans="1:23" ht="15" customHeight="1" x14ac:dyDescent="0.2">
      <c r="A1" s="29" t="s">
        <v>190</v>
      </c>
      <c r="R1" t="s">
        <v>191</v>
      </c>
    </row>
    <row r="2" spans="1:23" ht="15" customHeight="1" x14ac:dyDescent="0.2">
      <c r="U2" t="s">
        <v>192</v>
      </c>
    </row>
    <row r="3" spans="1:23" ht="68.650000000000006" customHeight="1" x14ac:dyDescent="0.2">
      <c r="A3" s="30" t="s">
        <v>193</v>
      </c>
    </row>
    <row r="4" spans="1:23" ht="15" customHeight="1" x14ac:dyDescent="0.2">
      <c r="A4" t="s">
        <v>194</v>
      </c>
      <c r="F4" t="s">
        <v>195</v>
      </c>
      <c r="W4" t="s">
        <v>196</v>
      </c>
    </row>
    <row r="5" spans="1:23" ht="15" customHeight="1" x14ac:dyDescent="0.2">
      <c r="A5" t="s">
        <v>197</v>
      </c>
      <c r="D5" t="s">
        <v>198</v>
      </c>
      <c r="E5" t="s">
        <v>199</v>
      </c>
      <c r="F5" t="s">
        <v>200</v>
      </c>
      <c r="H5" t="s">
        <v>201</v>
      </c>
      <c r="J5" t="s">
        <v>202</v>
      </c>
      <c r="M5" t="s">
        <v>203</v>
      </c>
      <c r="O5" t="s">
        <v>204</v>
      </c>
      <c r="Q5" t="s">
        <v>205</v>
      </c>
      <c r="T5" t="s">
        <v>206</v>
      </c>
    </row>
    <row r="6" spans="1:23" ht="15" customHeight="1" x14ac:dyDescent="0.2">
      <c r="A6" t="s">
        <v>207</v>
      </c>
    </row>
    <row r="7" spans="1:23" ht="15" customHeight="1" x14ac:dyDescent="0.2">
      <c r="B7" t="s">
        <v>208</v>
      </c>
    </row>
    <row r="8" spans="1:23" ht="15" customHeight="1" x14ac:dyDescent="0.2">
      <c r="C8" t="s">
        <v>209</v>
      </c>
      <c r="F8" t="s">
        <v>210</v>
      </c>
      <c r="G8" t="s">
        <v>211</v>
      </c>
      <c r="I8">
        <v>0</v>
      </c>
      <c r="L8" t="s">
        <v>210</v>
      </c>
      <c r="N8" t="s">
        <v>212</v>
      </c>
      <c r="P8" t="s">
        <v>211</v>
      </c>
      <c r="S8" t="s">
        <v>210</v>
      </c>
    </row>
    <row r="9" spans="1:23" ht="15" customHeight="1" x14ac:dyDescent="0.2">
      <c r="C9" t="s">
        <v>213</v>
      </c>
      <c r="F9" t="s">
        <v>210</v>
      </c>
      <c r="G9" t="s">
        <v>214</v>
      </c>
      <c r="I9">
        <v>0</v>
      </c>
      <c r="L9" t="s">
        <v>215</v>
      </c>
      <c r="N9" t="s">
        <v>216</v>
      </c>
      <c r="P9" t="s">
        <v>217</v>
      </c>
      <c r="S9" t="s">
        <v>218</v>
      </c>
    </row>
    <row r="10" spans="1:23" ht="15" customHeight="1" x14ac:dyDescent="0.2">
      <c r="C10" t="s">
        <v>219</v>
      </c>
      <c r="F10" t="s">
        <v>210</v>
      </c>
      <c r="G10" t="s">
        <v>220</v>
      </c>
      <c r="I10">
        <v>0</v>
      </c>
      <c r="L10" t="s">
        <v>210</v>
      </c>
      <c r="N10" t="s">
        <v>221</v>
      </c>
      <c r="P10" t="s">
        <v>222</v>
      </c>
      <c r="S10" t="s">
        <v>223</v>
      </c>
    </row>
    <row r="11" spans="1:23" ht="15" customHeight="1" x14ac:dyDescent="0.2">
      <c r="C11" t="s">
        <v>224</v>
      </c>
      <c r="F11" t="s">
        <v>210</v>
      </c>
      <c r="G11" t="s">
        <v>225</v>
      </c>
      <c r="I11">
        <v>0</v>
      </c>
      <c r="L11" t="s">
        <v>210</v>
      </c>
      <c r="N11" t="s">
        <v>226</v>
      </c>
      <c r="P11" t="s">
        <v>227</v>
      </c>
      <c r="S11" t="s">
        <v>228</v>
      </c>
    </row>
    <row r="12" spans="1:23" ht="15" customHeight="1" x14ac:dyDescent="0.2">
      <c r="C12" t="s">
        <v>229</v>
      </c>
      <c r="F12" t="s">
        <v>210</v>
      </c>
      <c r="G12" t="s">
        <v>230</v>
      </c>
      <c r="I12">
        <v>0</v>
      </c>
      <c r="L12" t="s">
        <v>231</v>
      </c>
      <c r="N12" t="s">
        <v>232</v>
      </c>
      <c r="P12" t="s">
        <v>233</v>
      </c>
      <c r="S12" t="s">
        <v>234</v>
      </c>
    </row>
    <row r="13" spans="1:23" ht="15" customHeight="1" x14ac:dyDescent="0.2">
      <c r="B13" t="s">
        <v>235</v>
      </c>
      <c r="F13" t="s">
        <v>210</v>
      </c>
      <c r="G13" t="s">
        <v>236</v>
      </c>
      <c r="I13">
        <v>0</v>
      </c>
      <c r="L13" t="s">
        <v>237</v>
      </c>
      <c r="N13" t="s">
        <v>238</v>
      </c>
      <c r="P13" t="s">
        <v>239</v>
      </c>
      <c r="S13" t="s">
        <v>240</v>
      </c>
    </row>
    <row r="14" spans="1:23" ht="15" customHeight="1" x14ac:dyDescent="0.2">
      <c r="B14" t="s">
        <v>241</v>
      </c>
    </row>
    <row r="15" spans="1:23" ht="15" customHeight="1" x14ac:dyDescent="0.2">
      <c r="C15" t="s">
        <v>209</v>
      </c>
      <c r="F15" t="s">
        <v>210</v>
      </c>
      <c r="G15" t="s">
        <v>242</v>
      </c>
      <c r="I15">
        <v>0</v>
      </c>
      <c r="L15" t="s">
        <v>210</v>
      </c>
      <c r="N15" t="s">
        <v>243</v>
      </c>
      <c r="P15" t="s">
        <v>242</v>
      </c>
      <c r="S15" t="s">
        <v>210</v>
      </c>
    </row>
    <row r="16" spans="1:23" ht="15" customHeight="1" x14ac:dyDescent="0.2">
      <c r="C16" t="s">
        <v>213</v>
      </c>
      <c r="F16" t="s">
        <v>210</v>
      </c>
      <c r="G16" t="s">
        <v>244</v>
      </c>
      <c r="I16">
        <v>0</v>
      </c>
      <c r="L16" t="s">
        <v>245</v>
      </c>
      <c r="N16" t="s">
        <v>246</v>
      </c>
      <c r="P16" t="s">
        <v>247</v>
      </c>
      <c r="S16" t="s">
        <v>248</v>
      </c>
    </row>
    <row r="17" spans="2:19" ht="15" customHeight="1" x14ac:dyDescent="0.2">
      <c r="C17" t="s">
        <v>224</v>
      </c>
      <c r="F17" t="s">
        <v>210</v>
      </c>
      <c r="G17" t="s">
        <v>249</v>
      </c>
      <c r="I17">
        <v>0</v>
      </c>
      <c r="L17" t="s">
        <v>210</v>
      </c>
      <c r="N17" t="s">
        <v>250</v>
      </c>
      <c r="P17" t="s">
        <v>251</v>
      </c>
      <c r="S17" t="s">
        <v>252</v>
      </c>
    </row>
    <row r="18" spans="2:19" ht="15" customHeight="1" x14ac:dyDescent="0.2">
      <c r="C18" t="s">
        <v>229</v>
      </c>
      <c r="F18" t="s">
        <v>210</v>
      </c>
      <c r="G18" t="s">
        <v>253</v>
      </c>
      <c r="I18">
        <v>0</v>
      </c>
      <c r="L18" t="s">
        <v>210</v>
      </c>
      <c r="N18" t="s">
        <v>254</v>
      </c>
      <c r="P18" t="s">
        <v>255</v>
      </c>
      <c r="S18" t="s">
        <v>256</v>
      </c>
    </row>
    <row r="19" spans="2:19" ht="15" customHeight="1" x14ac:dyDescent="0.2">
      <c r="B19" t="s">
        <v>257</v>
      </c>
      <c r="F19" t="s">
        <v>210</v>
      </c>
      <c r="G19" t="s">
        <v>258</v>
      </c>
      <c r="I19">
        <v>0</v>
      </c>
      <c r="L19" t="s">
        <v>245</v>
      </c>
      <c r="N19" t="s">
        <v>259</v>
      </c>
      <c r="P19" t="s">
        <v>260</v>
      </c>
      <c r="S19" t="s">
        <v>261</v>
      </c>
    </row>
    <row r="20" spans="2:19" ht="15" customHeight="1" x14ac:dyDescent="0.2">
      <c r="B20" t="s">
        <v>262</v>
      </c>
    </row>
    <row r="21" spans="2:19" ht="15" customHeight="1" x14ac:dyDescent="0.2">
      <c r="C21" t="s">
        <v>209</v>
      </c>
      <c r="F21" t="s">
        <v>210</v>
      </c>
      <c r="G21" t="s">
        <v>263</v>
      </c>
      <c r="I21">
        <v>0</v>
      </c>
      <c r="L21" t="s">
        <v>210</v>
      </c>
      <c r="N21" t="s">
        <v>264</v>
      </c>
      <c r="P21" t="s">
        <v>263</v>
      </c>
      <c r="S21" t="s">
        <v>210</v>
      </c>
    </row>
    <row r="22" spans="2:19" ht="15" customHeight="1" x14ac:dyDescent="0.2">
      <c r="C22" t="s">
        <v>213</v>
      </c>
      <c r="F22" t="s">
        <v>210</v>
      </c>
      <c r="G22" t="s">
        <v>265</v>
      </c>
      <c r="I22">
        <v>0</v>
      </c>
      <c r="L22" t="s">
        <v>266</v>
      </c>
      <c r="N22" t="s">
        <v>267</v>
      </c>
      <c r="P22" t="s">
        <v>268</v>
      </c>
      <c r="S22" t="s">
        <v>269</v>
      </c>
    </row>
    <row r="23" spans="2:19" ht="15" customHeight="1" x14ac:dyDescent="0.2">
      <c r="C23" t="s">
        <v>219</v>
      </c>
      <c r="F23" t="s">
        <v>210</v>
      </c>
      <c r="G23" t="s">
        <v>270</v>
      </c>
      <c r="I23">
        <v>0</v>
      </c>
      <c r="L23" t="s">
        <v>271</v>
      </c>
      <c r="N23" t="s">
        <v>272</v>
      </c>
      <c r="P23" t="s">
        <v>273</v>
      </c>
      <c r="S23" t="s">
        <v>274</v>
      </c>
    </row>
    <row r="24" spans="2:19" ht="15" customHeight="1" x14ac:dyDescent="0.2">
      <c r="C24" t="s">
        <v>224</v>
      </c>
      <c r="F24" t="s">
        <v>210</v>
      </c>
      <c r="G24" t="s">
        <v>275</v>
      </c>
      <c r="I24">
        <v>0</v>
      </c>
      <c r="L24" t="s">
        <v>210</v>
      </c>
      <c r="N24" t="s">
        <v>276</v>
      </c>
      <c r="P24" t="s">
        <v>277</v>
      </c>
      <c r="S24" t="s">
        <v>278</v>
      </c>
    </row>
    <row r="25" spans="2:19" ht="15" customHeight="1" x14ac:dyDescent="0.2">
      <c r="C25" t="s">
        <v>229</v>
      </c>
      <c r="F25" t="s">
        <v>210</v>
      </c>
      <c r="G25" t="s">
        <v>279</v>
      </c>
      <c r="I25">
        <v>0</v>
      </c>
      <c r="L25" t="s">
        <v>210</v>
      </c>
      <c r="N25" t="s">
        <v>280</v>
      </c>
      <c r="P25" t="s">
        <v>281</v>
      </c>
      <c r="S25" t="s">
        <v>282</v>
      </c>
    </row>
    <row r="26" spans="2:19" ht="15" customHeight="1" x14ac:dyDescent="0.2">
      <c r="C26" t="s">
        <v>283</v>
      </c>
      <c r="F26" t="s">
        <v>210</v>
      </c>
      <c r="G26" t="s">
        <v>284</v>
      </c>
      <c r="I26">
        <v>0</v>
      </c>
      <c r="L26" t="s">
        <v>210</v>
      </c>
      <c r="N26" t="s">
        <v>285</v>
      </c>
      <c r="P26" t="s">
        <v>286</v>
      </c>
      <c r="S26" t="s">
        <v>287</v>
      </c>
    </row>
    <row r="27" spans="2:19" ht="15" customHeight="1" x14ac:dyDescent="0.2">
      <c r="C27" t="s">
        <v>288</v>
      </c>
      <c r="F27" t="s">
        <v>210</v>
      </c>
      <c r="G27" t="s">
        <v>289</v>
      </c>
      <c r="I27">
        <v>0</v>
      </c>
      <c r="L27" t="s">
        <v>210</v>
      </c>
      <c r="N27" t="s">
        <v>290</v>
      </c>
      <c r="P27" t="s">
        <v>291</v>
      </c>
      <c r="S27" t="s">
        <v>292</v>
      </c>
    </row>
    <row r="28" spans="2:19" ht="15" customHeight="1" x14ac:dyDescent="0.2">
      <c r="B28" t="s">
        <v>293</v>
      </c>
      <c r="F28" t="s">
        <v>210</v>
      </c>
      <c r="G28" t="s">
        <v>294</v>
      </c>
      <c r="I28">
        <v>0</v>
      </c>
      <c r="L28" t="s">
        <v>295</v>
      </c>
      <c r="N28" t="s">
        <v>296</v>
      </c>
      <c r="P28" t="s">
        <v>297</v>
      </c>
      <c r="S28" t="s">
        <v>298</v>
      </c>
    </row>
    <row r="29" spans="2:19" ht="15" customHeight="1" x14ac:dyDescent="0.2">
      <c r="B29" t="s">
        <v>299</v>
      </c>
    </row>
    <row r="30" spans="2:19" ht="15" customHeight="1" x14ac:dyDescent="0.2">
      <c r="C30" t="s">
        <v>209</v>
      </c>
      <c r="F30" t="s">
        <v>210</v>
      </c>
      <c r="G30" t="s">
        <v>300</v>
      </c>
      <c r="I30">
        <v>0</v>
      </c>
      <c r="L30" t="s">
        <v>210</v>
      </c>
      <c r="N30" t="s">
        <v>301</v>
      </c>
      <c r="P30" t="s">
        <v>300</v>
      </c>
      <c r="S30" t="s">
        <v>210</v>
      </c>
    </row>
    <row r="31" spans="2:19" ht="15" customHeight="1" x14ac:dyDescent="0.2">
      <c r="C31" t="s">
        <v>213</v>
      </c>
      <c r="F31" t="s">
        <v>210</v>
      </c>
      <c r="G31" t="s">
        <v>302</v>
      </c>
      <c r="I31">
        <v>0</v>
      </c>
      <c r="L31" t="s">
        <v>303</v>
      </c>
      <c r="N31" t="s">
        <v>304</v>
      </c>
      <c r="P31" t="s">
        <v>305</v>
      </c>
      <c r="S31" t="s">
        <v>306</v>
      </c>
    </row>
    <row r="32" spans="2:19" ht="15" customHeight="1" x14ac:dyDescent="0.2">
      <c r="C32" t="s">
        <v>219</v>
      </c>
      <c r="F32" t="s">
        <v>210</v>
      </c>
      <c r="G32" t="s">
        <v>307</v>
      </c>
      <c r="I32">
        <v>0</v>
      </c>
      <c r="L32" t="s">
        <v>308</v>
      </c>
      <c r="N32" t="s">
        <v>309</v>
      </c>
      <c r="P32" t="s">
        <v>310</v>
      </c>
      <c r="S32" t="s">
        <v>311</v>
      </c>
    </row>
    <row r="33" spans="2:19" ht="15" customHeight="1" x14ac:dyDescent="0.2">
      <c r="C33" t="s">
        <v>224</v>
      </c>
      <c r="F33" t="s">
        <v>210</v>
      </c>
      <c r="G33" t="s">
        <v>312</v>
      </c>
      <c r="I33">
        <v>0</v>
      </c>
      <c r="L33" t="s">
        <v>210</v>
      </c>
      <c r="N33" t="s">
        <v>313</v>
      </c>
      <c r="P33" t="s">
        <v>314</v>
      </c>
      <c r="S33" t="s">
        <v>315</v>
      </c>
    </row>
    <row r="34" spans="2:19" ht="15" customHeight="1" x14ac:dyDescent="0.2">
      <c r="C34" t="s">
        <v>229</v>
      </c>
      <c r="F34" t="s">
        <v>210</v>
      </c>
      <c r="G34" t="s">
        <v>316</v>
      </c>
      <c r="I34">
        <v>0</v>
      </c>
      <c r="L34" t="s">
        <v>210</v>
      </c>
      <c r="N34" t="s">
        <v>317</v>
      </c>
      <c r="P34" t="s">
        <v>318</v>
      </c>
      <c r="S34" t="s">
        <v>319</v>
      </c>
    </row>
    <row r="35" spans="2:19" ht="15" customHeight="1" x14ac:dyDescent="0.2">
      <c r="C35" t="s">
        <v>283</v>
      </c>
      <c r="F35" t="s">
        <v>210</v>
      </c>
      <c r="G35" t="s">
        <v>320</v>
      </c>
      <c r="I35">
        <v>0</v>
      </c>
      <c r="L35" t="s">
        <v>210</v>
      </c>
      <c r="N35" t="s">
        <v>321</v>
      </c>
      <c r="P35" t="s">
        <v>322</v>
      </c>
      <c r="S35" t="s">
        <v>323</v>
      </c>
    </row>
    <row r="36" spans="2:19" ht="15" customHeight="1" x14ac:dyDescent="0.2">
      <c r="C36" t="s">
        <v>288</v>
      </c>
      <c r="F36" t="s">
        <v>210</v>
      </c>
      <c r="G36" t="s">
        <v>324</v>
      </c>
      <c r="I36">
        <v>0</v>
      </c>
      <c r="L36" t="s">
        <v>325</v>
      </c>
      <c r="N36" t="s">
        <v>326</v>
      </c>
      <c r="P36" t="s">
        <v>327</v>
      </c>
      <c r="S36" t="s">
        <v>328</v>
      </c>
    </row>
    <row r="37" spans="2:19" ht="15" customHeight="1" x14ac:dyDescent="0.2">
      <c r="B37" t="s">
        <v>329</v>
      </c>
      <c r="F37" t="s">
        <v>210</v>
      </c>
      <c r="G37" t="s">
        <v>330</v>
      </c>
      <c r="I37">
        <v>0</v>
      </c>
      <c r="L37" t="s">
        <v>331</v>
      </c>
      <c r="N37" t="s">
        <v>332</v>
      </c>
      <c r="P37" t="s">
        <v>333</v>
      </c>
      <c r="S37" t="s">
        <v>334</v>
      </c>
    </row>
    <row r="38" spans="2:19" ht="15" customHeight="1" x14ac:dyDescent="0.2">
      <c r="B38" t="s">
        <v>335</v>
      </c>
    </row>
    <row r="39" spans="2:19" ht="15" customHeight="1" x14ac:dyDescent="0.2">
      <c r="C39" t="s">
        <v>209</v>
      </c>
      <c r="F39" t="s">
        <v>210</v>
      </c>
      <c r="G39" t="s">
        <v>336</v>
      </c>
      <c r="I39">
        <v>0</v>
      </c>
      <c r="L39" t="s">
        <v>210</v>
      </c>
      <c r="N39" t="s">
        <v>337</v>
      </c>
      <c r="P39" t="s">
        <v>336</v>
      </c>
      <c r="S39" t="s">
        <v>210</v>
      </c>
    </row>
    <row r="40" spans="2:19" ht="15" customHeight="1" x14ac:dyDescent="0.2">
      <c r="C40" t="s">
        <v>213</v>
      </c>
      <c r="F40" t="s">
        <v>210</v>
      </c>
      <c r="G40" t="s">
        <v>338</v>
      </c>
      <c r="I40">
        <v>0</v>
      </c>
      <c r="L40" t="s">
        <v>339</v>
      </c>
      <c r="N40" t="s">
        <v>340</v>
      </c>
      <c r="P40" t="s">
        <v>341</v>
      </c>
      <c r="S40" t="s">
        <v>342</v>
      </c>
    </row>
    <row r="41" spans="2:19" ht="15" customHeight="1" x14ac:dyDescent="0.2">
      <c r="C41" t="s">
        <v>219</v>
      </c>
      <c r="F41" t="s">
        <v>210</v>
      </c>
      <c r="G41" t="s">
        <v>343</v>
      </c>
      <c r="I41">
        <v>0</v>
      </c>
      <c r="L41" t="s">
        <v>344</v>
      </c>
      <c r="N41" t="s">
        <v>345</v>
      </c>
      <c r="P41" t="s">
        <v>346</v>
      </c>
      <c r="S41" t="s">
        <v>347</v>
      </c>
    </row>
    <row r="42" spans="2:19" ht="15" customHeight="1" x14ac:dyDescent="0.2">
      <c r="C42" t="s">
        <v>224</v>
      </c>
      <c r="F42" t="s">
        <v>210</v>
      </c>
      <c r="G42" t="s">
        <v>348</v>
      </c>
      <c r="I42">
        <v>0</v>
      </c>
      <c r="L42" t="s">
        <v>210</v>
      </c>
      <c r="N42" t="s">
        <v>349</v>
      </c>
      <c r="P42" t="s">
        <v>350</v>
      </c>
      <c r="S42" t="s">
        <v>351</v>
      </c>
    </row>
    <row r="43" spans="2:19" ht="15" customHeight="1" x14ac:dyDescent="0.2">
      <c r="C43" t="s">
        <v>229</v>
      </c>
      <c r="F43" t="s">
        <v>210</v>
      </c>
      <c r="G43" t="s">
        <v>352</v>
      </c>
      <c r="I43">
        <v>0</v>
      </c>
      <c r="L43" t="s">
        <v>210</v>
      </c>
      <c r="N43" t="s">
        <v>353</v>
      </c>
      <c r="P43" t="s">
        <v>354</v>
      </c>
      <c r="S43" t="s">
        <v>355</v>
      </c>
    </row>
    <row r="44" spans="2:19" ht="15" customHeight="1" x14ac:dyDescent="0.2">
      <c r="C44" t="s">
        <v>283</v>
      </c>
      <c r="F44" t="s">
        <v>210</v>
      </c>
      <c r="G44" t="s">
        <v>356</v>
      </c>
      <c r="I44">
        <v>0</v>
      </c>
      <c r="L44" t="s">
        <v>210</v>
      </c>
      <c r="N44" t="s">
        <v>357</v>
      </c>
      <c r="P44" t="s">
        <v>358</v>
      </c>
      <c r="S44" t="s">
        <v>359</v>
      </c>
    </row>
    <row r="45" spans="2:19" ht="15" customHeight="1" x14ac:dyDescent="0.2">
      <c r="C45" t="s">
        <v>288</v>
      </c>
      <c r="F45" t="s">
        <v>210</v>
      </c>
      <c r="G45" t="s">
        <v>360</v>
      </c>
      <c r="I45">
        <v>0</v>
      </c>
      <c r="L45" t="s">
        <v>243</v>
      </c>
      <c r="N45" t="s">
        <v>361</v>
      </c>
      <c r="P45" t="s">
        <v>362</v>
      </c>
      <c r="S45" t="s">
        <v>363</v>
      </c>
    </row>
    <row r="46" spans="2:19" ht="15" customHeight="1" x14ac:dyDescent="0.2">
      <c r="B46" t="s">
        <v>364</v>
      </c>
      <c r="F46" t="s">
        <v>210</v>
      </c>
      <c r="G46" t="s">
        <v>365</v>
      </c>
      <c r="I46">
        <v>0</v>
      </c>
      <c r="L46" t="s">
        <v>366</v>
      </c>
      <c r="N46" t="s">
        <v>367</v>
      </c>
      <c r="P46" t="s">
        <v>368</v>
      </c>
      <c r="S46" t="s">
        <v>369</v>
      </c>
    </row>
    <row r="47" spans="2:19" ht="15" customHeight="1" x14ac:dyDescent="0.2">
      <c r="B47" t="s">
        <v>370</v>
      </c>
    </row>
    <row r="48" spans="2:19" ht="15" customHeight="1" x14ac:dyDescent="0.2">
      <c r="C48" t="s">
        <v>209</v>
      </c>
      <c r="F48" t="s">
        <v>210</v>
      </c>
      <c r="G48" t="s">
        <v>271</v>
      </c>
      <c r="I48">
        <v>0</v>
      </c>
      <c r="L48" t="s">
        <v>210</v>
      </c>
      <c r="N48" t="s">
        <v>371</v>
      </c>
      <c r="P48" t="s">
        <v>271</v>
      </c>
      <c r="S48" t="s">
        <v>210</v>
      </c>
    </row>
    <row r="49" spans="2:19" ht="15" customHeight="1" x14ac:dyDescent="0.2">
      <c r="C49" t="s">
        <v>213</v>
      </c>
      <c r="F49" t="s">
        <v>210</v>
      </c>
      <c r="G49" t="s">
        <v>372</v>
      </c>
      <c r="I49">
        <v>0</v>
      </c>
      <c r="L49" t="s">
        <v>373</v>
      </c>
      <c r="N49" t="s">
        <v>374</v>
      </c>
      <c r="P49" t="s">
        <v>375</v>
      </c>
      <c r="S49" t="s">
        <v>376</v>
      </c>
    </row>
    <row r="50" spans="2:19" ht="15" customHeight="1" x14ac:dyDescent="0.2">
      <c r="C50" t="s">
        <v>219</v>
      </c>
      <c r="F50" t="s">
        <v>210</v>
      </c>
      <c r="G50" t="s">
        <v>377</v>
      </c>
      <c r="I50">
        <v>0</v>
      </c>
      <c r="L50" t="s">
        <v>378</v>
      </c>
      <c r="N50" t="s">
        <v>379</v>
      </c>
      <c r="P50" t="s">
        <v>380</v>
      </c>
      <c r="S50" t="s">
        <v>381</v>
      </c>
    </row>
    <row r="51" spans="2:19" ht="15" customHeight="1" x14ac:dyDescent="0.2">
      <c r="C51" t="s">
        <v>224</v>
      </c>
      <c r="F51" t="s">
        <v>210</v>
      </c>
      <c r="G51" t="s">
        <v>382</v>
      </c>
      <c r="I51">
        <v>0</v>
      </c>
      <c r="L51" t="s">
        <v>210</v>
      </c>
      <c r="N51" t="s">
        <v>383</v>
      </c>
      <c r="P51" t="s">
        <v>384</v>
      </c>
      <c r="S51" t="s">
        <v>385</v>
      </c>
    </row>
    <row r="52" spans="2:19" ht="15" customHeight="1" x14ac:dyDescent="0.2">
      <c r="C52" t="s">
        <v>229</v>
      </c>
      <c r="F52" t="s">
        <v>210</v>
      </c>
      <c r="G52" t="s">
        <v>386</v>
      </c>
      <c r="I52">
        <v>0</v>
      </c>
      <c r="L52" t="s">
        <v>210</v>
      </c>
      <c r="N52" t="s">
        <v>387</v>
      </c>
      <c r="P52" t="s">
        <v>388</v>
      </c>
      <c r="S52" t="s">
        <v>389</v>
      </c>
    </row>
    <row r="53" spans="2:19" ht="15" customHeight="1" x14ac:dyDescent="0.2">
      <c r="C53" t="s">
        <v>283</v>
      </c>
      <c r="F53" t="s">
        <v>210</v>
      </c>
      <c r="G53" t="s">
        <v>390</v>
      </c>
      <c r="I53">
        <v>0</v>
      </c>
      <c r="L53" t="s">
        <v>210</v>
      </c>
      <c r="N53" t="s">
        <v>391</v>
      </c>
      <c r="P53" t="s">
        <v>392</v>
      </c>
      <c r="S53" t="s">
        <v>393</v>
      </c>
    </row>
    <row r="54" spans="2:19" ht="15" customHeight="1" x14ac:dyDescent="0.2">
      <c r="C54" t="s">
        <v>288</v>
      </c>
      <c r="F54" t="s">
        <v>210</v>
      </c>
      <c r="G54" t="s">
        <v>394</v>
      </c>
      <c r="I54">
        <v>0</v>
      </c>
      <c r="L54" t="s">
        <v>395</v>
      </c>
      <c r="N54" t="s">
        <v>396</v>
      </c>
      <c r="P54" t="s">
        <v>397</v>
      </c>
      <c r="S54" t="s">
        <v>398</v>
      </c>
    </row>
    <row r="55" spans="2:19" ht="15" customHeight="1" x14ac:dyDescent="0.2">
      <c r="B55" t="s">
        <v>399</v>
      </c>
      <c r="F55" t="s">
        <v>210</v>
      </c>
      <c r="G55" t="s">
        <v>400</v>
      </c>
      <c r="I55">
        <v>0</v>
      </c>
      <c r="L55" t="s">
        <v>401</v>
      </c>
      <c r="N55" t="s">
        <v>402</v>
      </c>
      <c r="P55" t="s">
        <v>403</v>
      </c>
      <c r="S55" t="s">
        <v>404</v>
      </c>
    </row>
    <row r="56" spans="2:19" ht="15" customHeight="1" x14ac:dyDescent="0.2">
      <c r="B56" t="s">
        <v>405</v>
      </c>
    </row>
    <row r="57" spans="2:19" ht="15" customHeight="1" x14ac:dyDescent="0.2">
      <c r="C57" t="s">
        <v>209</v>
      </c>
      <c r="F57" t="s">
        <v>210</v>
      </c>
      <c r="G57" t="s">
        <v>406</v>
      </c>
      <c r="I57">
        <v>0</v>
      </c>
      <c r="L57" t="s">
        <v>210</v>
      </c>
      <c r="N57" t="s">
        <v>407</v>
      </c>
      <c r="P57" t="s">
        <v>406</v>
      </c>
      <c r="S57" t="s">
        <v>210</v>
      </c>
    </row>
    <row r="58" spans="2:19" ht="15" customHeight="1" x14ac:dyDescent="0.2">
      <c r="C58" t="s">
        <v>213</v>
      </c>
      <c r="F58" t="s">
        <v>210</v>
      </c>
      <c r="G58" t="s">
        <v>408</v>
      </c>
      <c r="I58">
        <v>0</v>
      </c>
      <c r="L58" t="s">
        <v>210</v>
      </c>
      <c r="N58" t="s">
        <v>409</v>
      </c>
      <c r="P58" t="s">
        <v>410</v>
      </c>
      <c r="S58" t="s">
        <v>411</v>
      </c>
    </row>
    <row r="59" spans="2:19" ht="15" customHeight="1" x14ac:dyDescent="0.2">
      <c r="C59" t="s">
        <v>219</v>
      </c>
      <c r="F59" t="s">
        <v>210</v>
      </c>
      <c r="G59" t="s">
        <v>412</v>
      </c>
      <c r="I59">
        <v>0</v>
      </c>
      <c r="L59" t="s">
        <v>210</v>
      </c>
      <c r="N59" t="s">
        <v>413</v>
      </c>
      <c r="P59" t="s">
        <v>414</v>
      </c>
      <c r="S59" t="s">
        <v>415</v>
      </c>
    </row>
    <row r="60" spans="2:19" ht="15" customHeight="1" x14ac:dyDescent="0.2">
      <c r="C60" t="s">
        <v>224</v>
      </c>
      <c r="F60" t="s">
        <v>210</v>
      </c>
      <c r="G60" t="s">
        <v>416</v>
      </c>
      <c r="I60">
        <v>0</v>
      </c>
      <c r="L60" t="s">
        <v>210</v>
      </c>
      <c r="N60" t="s">
        <v>417</v>
      </c>
      <c r="P60" t="s">
        <v>418</v>
      </c>
      <c r="S60" t="s">
        <v>419</v>
      </c>
    </row>
    <row r="61" spans="2:19" ht="15" customHeight="1" x14ac:dyDescent="0.2">
      <c r="C61" t="s">
        <v>229</v>
      </c>
      <c r="F61" t="s">
        <v>210</v>
      </c>
      <c r="G61" t="s">
        <v>420</v>
      </c>
      <c r="I61">
        <v>0</v>
      </c>
      <c r="L61" t="s">
        <v>210</v>
      </c>
      <c r="N61" t="s">
        <v>421</v>
      </c>
      <c r="P61" t="s">
        <v>422</v>
      </c>
      <c r="S61" t="s">
        <v>423</v>
      </c>
    </row>
    <row r="62" spans="2:19" ht="15" customHeight="1" x14ac:dyDescent="0.2">
      <c r="C62" t="s">
        <v>288</v>
      </c>
      <c r="F62" t="s">
        <v>210</v>
      </c>
      <c r="G62" t="s">
        <v>424</v>
      </c>
      <c r="I62">
        <v>0</v>
      </c>
      <c r="L62" t="s">
        <v>210</v>
      </c>
      <c r="N62" t="s">
        <v>425</v>
      </c>
      <c r="P62" t="s">
        <v>426</v>
      </c>
      <c r="S62" t="s">
        <v>427</v>
      </c>
    </row>
    <row r="63" spans="2:19" ht="15" customHeight="1" x14ac:dyDescent="0.2">
      <c r="B63" t="s">
        <v>428</v>
      </c>
      <c r="F63" t="s">
        <v>210</v>
      </c>
      <c r="G63" t="s">
        <v>429</v>
      </c>
      <c r="I63">
        <v>0</v>
      </c>
      <c r="L63" t="s">
        <v>210</v>
      </c>
      <c r="N63" t="s">
        <v>430</v>
      </c>
      <c r="P63" t="s">
        <v>431</v>
      </c>
      <c r="S63" t="s">
        <v>432</v>
      </c>
    </row>
    <row r="64" spans="2:19" ht="15" customHeight="1" x14ac:dyDescent="0.2">
      <c r="B64" t="s">
        <v>433</v>
      </c>
    </row>
    <row r="65" spans="2:19" ht="15" customHeight="1" x14ac:dyDescent="0.2">
      <c r="C65" t="s">
        <v>209</v>
      </c>
      <c r="F65" t="s">
        <v>210</v>
      </c>
      <c r="G65" t="s">
        <v>434</v>
      </c>
      <c r="I65">
        <v>0</v>
      </c>
      <c r="L65" t="s">
        <v>210</v>
      </c>
      <c r="N65" t="s">
        <v>435</v>
      </c>
      <c r="P65" t="s">
        <v>434</v>
      </c>
      <c r="S65" t="s">
        <v>210</v>
      </c>
    </row>
    <row r="66" spans="2:19" ht="15" customHeight="1" x14ac:dyDescent="0.2">
      <c r="C66" t="s">
        <v>213</v>
      </c>
      <c r="F66" t="s">
        <v>210</v>
      </c>
      <c r="G66" t="s">
        <v>436</v>
      </c>
      <c r="I66">
        <v>0</v>
      </c>
      <c r="L66" t="s">
        <v>437</v>
      </c>
      <c r="N66" t="s">
        <v>438</v>
      </c>
      <c r="P66" t="s">
        <v>439</v>
      </c>
      <c r="S66" t="s">
        <v>440</v>
      </c>
    </row>
    <row r="67" spans="2:19" ht="15" customHeight="1" x14ac:dyDescent="0.2">
      <c r="C67" t="s">
        <v>219</v>
      </c>
      <c r="F67" t="s">
        <v>210</v>
      </c>
      <c r="G67" t="s">
        <v>441</v>
      </c>
      <c r="I67">
        <v>0</v>
      </c>
      <c r="L67" t="s">
        <v>442</v>
      </c>
      <c r="N67" t="s">
        <v>443</v>
      </c>
      <c r="P67" t="s">
        <v>444</v>
      </c>
      <c r="S67" t="s">
        <v>445</v>
      </c>
    </row>
    <row r="68" spans="2:19" ht="15" customHeight="1" x14ac:dyDescent="0.2">
      <c r="C68" t="s">
        <v>224</v>
      </c>
      <c r="F68" t="s">
        <v>210</v>
      </c>
      <c r="G68" t="s">
        <v>446</v>
      </c>
      <c r="I68">
        <v>0</v>
      </c>
      <c r="L68" t="s">
        <v>210</v>
      </c>
      <c r="N68" t="s">
        <v>447</v>
      </c>
      <c r="P68" t="s">
        <v>448</v>
      </c>
      <c r="S68" t="s">
        <v>449</v>
      </c>
    </row>
    <row r="69" spans="2:19" ht="15" customHeight="1" x14ac:dyDescent="0.2">
      <c r="C69" t="s">
        <v>229</v>
      </c>
      <c r="F69" t="s">
        <v>210</v>
      </c>
      <c r="G69" t="s">
        <v>450</v>
      </c>
      <c r="I69">
        <v>0</v>
      </c>
      <c r="L69" t="s">
        <v>210</v>
      </c>
      <c r="N69" t="s">
        <v>451</v>
      </c>
      <c r="P69" t="s">
        <v>452</v>
      </c>
      <c r="S69" t="s">
        <v>453</v>
      </c>
    </row>
    <row r="70" spans="2:19" ht="15" customHeight="1" x14ac:dyDescent="0.2">
      <c r="C70" t="s">
        <v>288</v>
      </c>
      <c r="F70" t="s">
        <v>210</v>
      </c>
      <c r="G70" t="s">
        <v>454</v>
      </c>
      <c r="I70">
        <v>0</v>
      </c>
      <c r="L70" t="s">
        <v>455</v>
      </c>
      <c r="N70" t="s">
        <v>456</v>
      </c>
      <c r="P70" t="s">
        <v>457</v>
      </c>
      <c r="S70" t="s">
        <v>458</v>
      </c>
    </row>
    <row r="71" spans="2:19" ht="15" customHeight="1" x14ac:dyDescent="0.2">
      <c r="B71" t="s">
        <v>459</v>
      </c>
      <c r="F71" t="s">
        <v>210</v>
      </c>
      <c r="G71" t="s">
        <v>460</v>
      </c>
      <c r="I71">
        <v>0</v>
      </c>
      <c r="L71" t="s">
        <v>461</v>
      </c>
      <c r="N71" t="s">
        <v>462</v>
      </c>
      <c r="P71" t="s">
        <v>463</v>
      </c>
      <c r="S71" t="s">
        <v>464</v>
      </c>
    </row>
    <row r="72" spans="2:19" ht="15" customHeight="1" x14ac:dyDescent="0.2">
      <c r="B72" t="s">
        <v>465</v>
      </c>
    </row>
    <row r="73" spans="2:19" ht="15" customHeight="1" x14ac:dyDescent="0.2">
      <c r="C73" t="s">
        <v>209</v>
      </c>
      <c r="F73" t="s">
        <v>210</v>
      </c>
      <c r="G73" t="s">
        <v>466</v>
      </c>
      <c r="I73">
        <v>0</v>
      </c>
      <c r="L73" t="s">
        <v>210</v>
      </c>
      <c r="N73" t="s">
        <v>467</v>
      </c>
      <c r="P73" t="s">
        <v>466</v>
      </c>
      <c r="S73" t="s">
        <v>210</v>
      </c>
    </row>
    <row r="74" spans="2:19" ht="15" customHeight="1" x14ac:dyDescent="0.2">
      <c r="C74" t="s">
        <v>213</v>
      </c>
      <c r="F74" t="s">
        <v>210</v>
      </c>
      <c r="G74" t="s">
        <v>468</v>
      </c>
      <c r="I74">
        <v>0</v>
      </c>
      <c r="L74" t="s">
        <v>469</v>
      </c>
      <c r="N74" t="s">
        <v>470</v>
      </c>
      <c r="P74" t="s">
        <v>471</v>
      </c>
      <c r="S74" t="s">
        <v>472</v>
      </c>
    </row>
    <row r="75" spans="2:19" ht="15" customHeight="1" x14ac:dyDescent="0.2">
      <c r="C75" t="s">
        <v>219</v>
      </c>
      <c r="F75" t="s">
        <v>210</v>
      </c>
      <c r="G75" t="s">
        <v>473</v>
      </c>
      <c r="I75">
        <v>0</v>
      </c>
      <c r="L75" t="s">
        <v>210</v>
      </c>
      <c r="N75" t="s">
        <v>474</v>
      </c>
      <c r="P75" t="s">
        <v>475</v>
      </c>
      <c r="S75" t="s">
        <v>476</v>
      </c>
    </row>
    <row r="76" spans="2:19" ht="15" customHeight="1" x14ac:dyDescent="0.2">
      <c r="C76" t="s">
        <v>224</v>
      </c>
      <c r="F76" t="s">
        <v>210</v>
      </c>
      <c r="G76" t="s">
        <v>477</v>
      </c>
      <c r="I76">
        <v>0</v>
      </c>
      <c r="L76" t="s">
        <v>210</v>
      </c>
      <c r="N76" t="s">
        <v>478</v>
      </c>
      <c r="P76" t="s">
        <v>479</v>
      </c>
      <c r="S76" t="s">
        <v>480</v>
      </c>
    </row>
    <row r="77" spans="2:19" ht="15" customHeight="1" x14ac:dyDescent="0.2">
      <c r="C77" t="s">
        <v>229</v>
      </c>
      <c r="F77" t="s">
        <v>210</v>
      </c>
      <c r="G77" t="s">
        <v>481</v>
      </c>
      <c r="I77">
        <v>0</v>
      </c>
      <c r="L77" t="s">
        <v>482</v>
      </c>
      <c r="N77" t="s">
        <v>483</v>
      </c>
      <c r="P77" t="s">
        <v>484</v>
      </c>
      <c r="S77" t="s">
        <v>485</v>
      </c>
    </row>
    <row r="78" spans="2:19" ht="15" customHeight="1" x14ac:dyDescent="0.2">
      <c r="B78" t="s">
        <v>486</v>
      </c>
      <c r="F78" t="s">
        <v>210</v>
      </c>
      <c r="G78" t="s">
        <v>487</v>
      </c>
      <c r="I78">
        <v>0</v>
      </c>
      <c r="L78" t="s">
        <v>488</v>
      </c>
      <c r="N78" t="s">
        <v>489</v>
      </c>
      <c r="P78" t="s">
        <v>490</v>
      </c>
      <c r="S78" t="s">
        <v>491</v>
      </c>
    </row>
    <row r="79" spans="2:19" ht="15" customHeight="1" x14ac:dyDescent="0.2">
      <c r="B79" t="s">
        <v>492</v>
      </c>
    </row>
    <row r="80" spans="2:19" ht="15" customHeight="1" x14ac:dyDescent="0.2">
      <c r="C80" t="s">
        <v>209</v>
      </c>
      <c r="F80" t="s">
        <v>210</v>
      </c>
      <c r="G80" t="s">
        <v>493</v>
      </c>
      <c r="I80">
        <v>0</v>
      </c>
      <c r="L80" t="s">
        <v>210</v>
      </c>
      <c r="N80" t="s">
        <v>494</v>
      </c>
      <c r="P80" t="s">
        <v>493</v>
      </c>
      <c r="S80" t="s">
        <v>210</v>
      </c>
    </row>
    <row r="81" spans="2:19" ht="15" customHeight="1" x14ac:dyDescent="0.2">
      <c r="C81" t="s">
        <v>213</v>
      </c>
      <c r="F81" t="s">
        <v>210</v>
      </c>
      <c r="G81" t="s">
        <v>495</v>
      </c>
      <c r="I81">
        <v>0</v>
      </c>
      <c r="L81" t="s">
        <v>210</v>
      </c>
      <c r="N81" t="s">
        <v>496</v>
      </c>
      <c r="P81" t="s">
        <v>497</v>
      </c>
      <c r="S81" t="s">
        <v>498</v>
      </c>
    </row>
    <row r="82" spans="2:19" ht="15" customHeight="1" x14ac:dyDescent="0.2">
      <c r="C82" t="s">
        <v>219</v>
      </c>
      <c r="F82" t="s">
        <v>210</v>
      </c>
      <c r="G82" t="s">
        <v>499</v>
      </c>
      <c r="I82">
        <v>0</v>
      </c>
      <c r="L82" t="s">
        <v>500</v>
      </c>
      <c r="N82" t="s">
        <v>501</v>
      </c>
      <c r="P82" t="s">
        <v>502</v>
      </c>
      <c r="S82" t="s">
        <v>503</v>
      </c>
    </row>
    <row r="83" spans="2:19" ht="15" customHeight="1" x14ac:dyDescent="0.2">
      <c r="C83" t="s">
        <v>224</v>
      </c>
      <c r="F83" t="s">
        <v>210</v>
      </c>
      <c r="G83" t="s">
        <v>504</v>
      </c>
      <c r="I83">
        <v>0</v>
      </c>
      <c r="L83" t="s">
        <v>210</v>
      </c>
      <c r="N83" t="s">
        <v>309</v>
      </c>
      <c r="P83" t="s">
        <v>505</v>
      </c>
      <c r="S83" t="s">
        <v>506</v>
      </c>
    </row>
    <row r="84" spans="2:19" ht="15" customHeight="1" x14ac:dyDescent="0.2">
      <c r="C84" t="s">
        <v>229</v>
      </c>
      <c r="F84" t="s">
        <v>210</v>
      </c>
      <c r="G84" t="s">
        <v>507</v>
      </c>
      <c r="I84">
        <v>0</v>
      </c>
      <c r="L84" t="s">
        <v>210</v>
      </c>
      <c r="N84" t="s">
        <v>508</v>
      </c>
      <c r="P84" t="s">
        <v>509</v>
      </c>
      <c r="S84" t="s">
        <v>510</v>
      </c>
    </row>
    <row r="85" spans="2:19" ht="15" customHeight="1" x14ac:dyDescent="0.2">
      <c r="C85" t="s">
        <v>283</v>
      </c>
      <c r="F85" t="s">
        <v>210</v>
      </c>
      <c r="G85" t="s">
        <v>511</v>
      </c>
      <c r="I85">
        <v>0</v>
      </c>
      <c r="L85" t="s">
        <v>210</v>
      </c>
      <c r="N85" t="s">
        <v>512</v>
      </c>
      <c r="P85" t="s">
        <v>513</v>
      </c>
      <c r="S85" t="s">
        <v>514</v>
      </c>
    </row>
    <row r="86" spans="2:19" ht="15" customHeight="1" x14ac:dyDescent="0.2">
      <c r="B86" t="s">
        <v>515</v>
      </c>
      <c r="F86" t="s">
        <v>210</v>
      </c>
      <c r="G86" t="s">
        <v>516</v>
      </c>
      <c r="I86">
        <v>0</v>
      </c>
      <c r="L86" t="s">
        <v>500</v>
      </c>
      <c r="N86" t="s">
        <v>517</v>
      </c>
      <c r="P86" t="s">
        <v>518</v>
      </c>
      <c r="S86" t="s">
        <v>519</v>
      </c>
    </row>
    <row r="87" spans="2:19" ht="15" customHeight="1" x14ac:dyDescent="0.2">
      <c r="B87" t="s">
        <v>520</v>
      </c>
    </row>
    <row r="88" spans="2:19" ht="15" customHeight="1" x14ac:dyDescent="0.2">
      <c r="C88" t="s">
        <v>209</v>
      </c>
      <c r="F88" t="s">
        <v>210</v>
      </c>
      <c r="G88" t="s">
        <v>521</v>
      </c>
      <c r="I88">
        <v>0</v>
      </c>
      <c r="L88" t="s">
        <v>210</v>
      </c>
      <c r="N88" t="s">
        <v>522</v>
      </c>
      <c r="P88" t="s">
        <v>521</v>
      </c>
      <c r="S88" t="s">
        <v>210</v>
      </c>
    </row>
    <row r="89" spans="2:19" ht="15" customHeight="1" x14ac:dyDescent="0.2">
      <c r="C89" t="s">
        <v>213</v>
      </c>
      <c r="F89" t="s">
        <v>210</v>
      </c>
      <c r="G89" t="s">
        <v>523</v>
      </c>
      <c r="I89">
        <v>0</v>
      </c>
      <c r="L89" t="s">
        <v>524</v>
      </c>
      <c r="N89" t="s">
        <v>525</v>
      </c>
      <c r="P89" t="s">
        <v>526</v>
      </c>
      <c r="S89" t="s">
        <v>527</v>
      </c>
    </row>
    <row r="90" spans="2:19" ht="15" customHeight="1" x14ac:dyDescent="0.2">
      <c r="C90" t="s">
        <v>224</v>
      </c>
      <c r="F90" t="s">
        <v>210</v>
      </c>
      <c r="G90" t="s">
        <v>528</v>
      </c>
      <c r="I90">
        <v>0</v>
      </c>
      <c r="L90" t="s">
        <v>210</v>
      </c>
      <c r="N90" t="s">
        <v>529</v>
      </c>
      <c r="P90" t="s">
        <v>530</v>
      </c>
      <c r="S90" t="s">
        <v>531</v>
      </c>
    </row>
    <row r="91" spans="2:19" ht="15" customHeight="1" x14ac:dyDescent="0.2">
      <c r="C91" t="s">
        <v>229</v>
      </c>
      <c r="F91" t="s">
        <v>210</v>
      </c>
      <c r="G91" t="s">
        <v>532</v>
      </c>
      <c r="I91">
        <v>0</v>
      </c>
      <c r="L91" t="s">
        <v>210</v>
      </c>
      <c r="N91" t="s">
        <v>533</v>
      </c>
      <c r="P91" t="s">
        <v>534</v>
      </c>
      <c r="S91" t="s">
        <v>535</v>
      </c>
    </row>
    <row r="92" spans="2:19" ht="15" customHeight="1" x14ac:dyDescent="0.2">
      <c r="B92" t="s">
        <v>536</v>
      </c>
      <c r="F92" t="s">
        <v>210</v>
      </c>
      <c r="G92" t="s">
        <v>537</v>
      </c>
      <c r="I92">
        <v>0</v>
      </c>
      <c r="L92" t="s">
        <v>524</v>
      </c>
      <c r="N92" t="s">
        <v>538</v>
      </c>
      <c r="P92" t="s">
        <v>539</v>
      </c>
      <c r="S92" t="s">
        <v>540</v>
      </c>
    </row>
    <row r="93" spans="2:19" ht="15" customHeight="1" x14ac:dyDescent="0.2">
      <c r="B93" t="s">
        <v>541</v>
      </c>
    </row>
    <row r="94" spans="2:19" ht="15" customHeight="1" x14ac:dyDescent="0.2">
      <c r="C94" t="s">
        <v>209</v>
      </c>
      <c r="F94" t="s">
        <v>210</v>
      </c>
      <c r="G94" t="s">
        <v>542</v>
      </c>
      <c r="I94">
        <v>0</v>
      </c>
      <c r="L94" t="s">
        <v>210</v>
      </c>
      <c r="N94" t="s">
        <v>543</v>
      </c>
      <c r="P94" t="s">
        <v>542</v>
      </c>
      <c r="S94" t="s">
        <v>210</v>
      </c>
    </row>
    <row r="95" spans="2:19" ht="15" customHeight="1" x14ac:dyDescent="0.2">
      <c r="C95" t="s">
        <v>213</v>
      </c>
      <c r="F95" t="s">
        <v>210</v>
      </c>
      <c r="G95" t="s">
        <v>544</v>
      </c>
      <c r="I95">
        <v>0</v>
      </c>
      <c r="L95" t="s">
        <v>545</v>
      </c>
      <c r="N95" t="s">
        <v>250</v>
      </c>
      <c r="P95" t="s">
        <v>546</v>
      </c>
      <c r="S95" t="s">
        <v>547</v>
      </c>
    </row>
    <row r="96" spans="2:19" ht="15" customHeight="1" x14ac:dyDescent="0.2">
      <c r="C96" t="s">
        <v>224</v>
      </c>
      <c r="F96" t="s">
        <v>210</v>
      </c>
      <c r="G96" t="s">
        <v>548</v>
      </c>
      <c r="I96">
        <v>0</v>
      </c>
      <c r="L96" t="s">
        <v>210</v>
      </c>
      <c r="N96" t="s">
        <v>549</v>
      </c>
      <c r="P96" t="s">
        <v>550</v>
      </c>
      <c r="S96" t="s">
        <v>551</v>
      </c>
    </row>
    <row r="97" spans="2:19" ht="15" customHeight="1" x14ac:dyDescent="0.2">
      <c r="C97" t="s">
        <v>229</v>
      </c>
      <c r="F97" t="s">
        <v>210</v>
      </c>
      <c r="G97" t="s">
        <v>552</v>
      </c>
      <c r="I97">
        <v>0</v>
      </c>
      <c r="L97" t="s">
        <v>210</v>
      </c>
      <c r="N97" t="s">
        <v>553</v>
      </c>
      <c r="P97" t="s">
        <v>554</v>
      </c>
      <c r="S97" t="s">
        <v>555</v>
      </c>
    </row>
    <row r="98" spans="2:19" ht="15" customHeight="1" x14ac:dyDescent="0.2">
      <c r="B98" t="s">
        <v>556</v>
      </c>
      <c r="F98" t="s">
        <v>210</v>
      </c>
      <c r="G98" t="s">
        <v>557</v>
      </c>
      <c r="I98">
        <v>0</v>
      </c>
      <c r="L98" t="s">
        <v>545</v>
      </c>
      <c r="N98" t="s">
        <v>558</v>
      </c>
      <c r="P98" t="s">
        <v>559</v>
      </c>
      <c r="S98" t="s">
        <v>560</v>
      </c>
    </row>
    <row r="99" spans="2:19" ht="15" customHeight="1" x14ac:dyDescent="0.2">
      <c r="B99" t="s">
        <v>561</v>
      </c>
    </row>
    <row r="100" spans="2:19" ht="15" customHeight="1" x14ac:dyDescent="0.2">
      <c r="C100" t="s">
        <v>209</v>
      </c>
      <c r="F100" t="s">
        <v>210</v>
      </c>
      <c r="G100" t="s">
        <v>562</v>
      </c>
      <c r="I100">
        <v>0</v>
      </c>
      <c r="L100" t="s">
        <v>210</v>
      </c>
      <c r="N100" t="s">
        <v>563</v>
      </c>
      <c r="P100" t="s">
        <v>562</v>
      </c>
      <c r="S100" t="s">
        <v>210</v>
      </c>
    </row>
    <row r="101" spans="2:19" ht="15" customHeight="1" x14ac:dyDescent="0.2">
      <c r="C101" t="s">
        <v>213</v>
      </c>
      <c r="F101" t="s">
        <v>210</v>
      </c>
      <c r="G101" t="s">
        <v>564</v>
      </c>
      <c r="I101">
        <v>0</v>
      </c>
      <c r="L101" t="s">
        <v>565</v>
      </c>
      <c r="N101" t="s">
        <v>566</v>
      </c>
      <c r="P101" t="s">
        <v>567</v>
      </c>
      <c r="S101" t="s">
        <v>568</v>
      </c>
    </row>
    <row r="102" spans="2:19" ht="15" customHeight="1" x14ac:dyDescent="0.2">
      <c r="C102" t="s">
        <v>224</v>
      </c>
      <c r="F102" t="s">
        <v>210</v>
      </c>
      <c r="G102" t="s">
        <v>569</v>
      </c>
      <c r="I102">
        <v>0</v>
      </c>
      <c r="L102" t="s">
        <v>210</v>
      </c>
      <c r="N102" t="s">
        <v>570</v>
      </c>
      <c r="P102" t="s">
        <v>571</v>
      </c>
      <c r="S102" t="s">
        <v>572</v>
      </c>
    </row>
    <row r="103" spans="2:19" ht="15" customHeight="1" x14ac:dyDescent="0.2">
      <c r="C103" t="s">
        <v>229</v>
      </c>
      <c r="F103" t="s">
        <v>210</v>
      </c>
      <c r="G103" t="s">
        <v>573</v>
      </c>
      <c r="I103">
        <v>0</v>
      </c>
      <c r="L103" t="s">
        <v>210</v>
      </c>
      <c r="N103" t="s">
        <v>574</v>
      </c>
      <c r="P103" t="s">
        <v>575</v>
      </c>
      <c r="S103" t="s">
        <v>576</v>
      </c>
    </row>
    <row r="104" spans="2:19" ht="15" customHeight="1" x14ac:dyDescent="0.2">
      <c r="B104" t="s">
        <v>577</v>
      </c>
      <c r="F104" t="s">
        <v>210</v>
      </c>
      <c r="G104" t="s">
        <v>578</v>
      </c>
      <c r="I104">
        <v>0</v>
      </c>
      <c r="L104" t="s">
        <v>565</v>
      </c>
      <c r="N104" t="s">
        <v>579</v>
      </c>
      <c r="P104" t="s">
        <v>580</v>
      </c>
      <c r="S104" t="s">
        <v>581</v>
      </c>
    </row>
    <row r="105" spans="2:19" ht="15" customHeight="1" x14ac:dyDescent="0.2">
      <c r="B105" t="s">
        <v>582</v>
      </c>
    </row>
    <row r="106" spans="2:19" ht="15" customHeight="1" x14ac:dyDescent="0.2">
      <c r="C106" t="s">
        <v>209</v>
      </c>
      <c r="F106" t="s">
        <v>210</v>
      </c>
      <c r="G106" t="s">
        <v>583</v>
      </c>
      <c r="I106">
        <v>0</v>
      </c>
      <c r="L106" t="s">
        <v>210</v>
      </c>
      <c r="N106" t="s">
        <v>584</v>
      </c>
      <c r="P106" t="s">
        <v>583</v>
      </c>
      <c r="S106" t="s">
        <v>210</v>
      </c>
    </row>
    <row r="107" spans="2:19" ht="15" customHeight="1" x14ac:dyDescent="0.2">
      <c r="C107" t="s">
        <v>213</v>
      </c>
      <c r="F107" t="s">
        <v>210</v>
      </c>
      <c r="G107" t="s">
        <v>585</v>
      </c>
      <c r="I107">
        <v>0</v>
      </c>
      <c r="L107" t="s">
        <v>586</v>
      </c>
      <c r="N107" t="s">
        <v>587</v>
      </c>
      <c r="P107" t="s">
        <v>588</v>
      </c>
      <c r="S107" t="s">
        <v>589</v>
      </c>
    </row>
    <row r="108" spans="2:19" ht="15" customHeight="1" x14ac:dyDescent="0.2">
      <c r="C108" t="s">
        <v>219</v>
      </c>
      <c r="F108" t="s">
        <v>210</v>
      </c>
      <c r="G108" t="s">
        <v>590</v>
      </c>
      <c r="I108">
        <v>0</v>
      </c>
      <c r="L108" t="s">
        <v>210</v>
      </c>
      <c r="N108" t="s">
        <v>591</v>
      </c>
      <c r="P108" t="s">
        <v>592</v>
      </c>
      <c r="S108" t="s">
        <v>593</v>
      </c>
    </row>
    <row r="109" spans="2:19" ht="15" customHeight="1" x14ac:dyDescent="0.2">
      <c r="C109" t="s">
        <v>224</v>
      </c>
      <c r="F109" t="s">
        <v>210</v>
      </c>
      <c r="G109" t="s">
        <v>594</v>
      </c>
      <c r="I109">
        <v>0</v>
      </c>
      <c r="L109" t="s">
        <v>210</v>
      </c>
      <c r="N109" t="s">
        <v>595</v>
      </c>
      <c r="P109" t="s">
        <v>596</v>
      </c>
      <c r="S109" t="s">
        <v>353</v>
      </c>
    </row>
    <row r="110" spans="2:19" ht="15" customHeight="1" x14ac:dyDescent="0.2">
      <c r="C110" t="s">
        <v>229</v>
      </c>
      <c r="F110" t="s">
        <v>210</v>
      </c>
      <c r="G110" t="s">
        <v>597</v>
      </c>
      <c r="I110">
        <v>0</v>
      </c>
      <c r="L110" t="s">
        <v>210</v>
      </c>
      <c r="N110" t="s">
        <v>598</v>
      </c>
      <c r="P110" t="s">
        <v>599</v>
      </c>
      <c r="S110" t="s">
        <v>600</v>
      </c>
    </row>
    <row r="111" spans="2:19" ht="15" customHeight="1" x14ac:dyDescent="0.2">
      <c r="B111" t="s">
        <v>601</v>
      </c>
      <c r="F111" t="s">
        <v>210</v>
      </c>
      <c r="G111" t="s">
        <v>602</v>
      </c>
      <c r="I111">
        <v>0</v>
      </c>
      <c r="L111" t="s">
        <v>586</v>
      </c>
      <c r="N111" t="s">
        <v>603</v>
      </c>
      <c r="P111" t="s">
        <v>604</v>
      </c>
      <c r="S111" t="s">
        <v>605</v>
      </c>
    </row>
    <row r="112" spans="2:19" ht="15" customHeight="1" x14ac:dyDescent="0.2">
      <c r="B112" t="s">
        <v>606</v>
      </c>
    </row>
    <row r="113" spans="2:19" ht="15" customHeight="1" x14ac:dyDescent="0.2">
      <c r="C113" t="s">
        <v>209</v>
      </c>
      <c r="F113" t="s">
        <v>210</v>
      </c>
      <c r="G113" t="s">
        <v>210</v>
      </c>
      <c r="I113">
        <v>0</v>
      </c>
      <c r="L113" t="s">
        <v>210</v>
      </c>
      <c r="N113" t="s">
        <v>607</v>
      </c>
      <c r="P113" t="s">
        <v>210</v>
      </c>
      <c r="S113" t="s">
        <v>210</v>
      </c>
    </row>
    <row r="114" spans="2:19" ht="15" customHeight="1" x14ac:dyDescent="0.2">
      <c r="C114" t="s">
        <v>219</v>
      </c>
      <c r="F114" t="s">
        <v>210</v>
      </c>
      <c r="G114" t="s">
        <v>608</v>
      </c>
      <c r="I114">
        <v>0</v>
      </c>
      <c r="L114" t="s">
        <v>210</v>
      </c>
      <c r="N114" t="s">
        <v>609</v>
      </c>
      <c r="P114" t="s">
        <v>610</v>
      </c>
      <c r="S114" t="s">
        <v>611</v>
      </c>
    </row>
    <row r="115" spans="2:19" ht="15" customHeight="1" x14ac:dyDescent="0.2">
      <c r="B115" t="s">
        <v>612</v>
      </c>
      <c r="F115" t="s">
        <v>210</v>
      </c>
      <c r="G115" t="s">
        <v>608</v>
      </c>
      <c r="I115">
        <v>0</v>
      </c>
      <c r="L115" t="s">
        <v>210</v>
      </c>
      <c r="N115" t="s">
        <v>613</v>
      </c>
      <c r="P115" t="s">
        <v>610</v>
      </c>
      <c r="S115" t="s">
        <v>611</v>
      </c>
    </row>
    <row r="116" spans="2:19" ht="15" customHeight="1" x14ac:dyDescent="0.2">
      <c r="B116" t="s">
        <v>614</v>
      </c>
    </row>
    <row r="117" spans="2:19" ht="15" customHeight="1" x14ac:dyDescent="0.2">
      <c r="C117" t="s">
        <v>209</v>
      </c>
      <c r="F117" t="s">
        <v>210</v>
      </c>
      <c r="G117" t="s">
        <v>615</v>
      </c>
      <c r="I117">
        <v>0</v>
      </c>
      <c r="L117" t="s">
        <v>210</v>
      </c>
      <c r="N117" t="s">
        <v>616</v>
      </c>
      <c r="P117" t="s">
        <v>615</v>
      </c>
      <c r="S117" t="s">
        <v>210</v>
      </c>
    </row>
    <row r="118" spans="2:19" ht="15" customHeight="1" x14ac:dyDescent="0.2">
      <c r="C118" t="s">
        <v>219</v>
      </c>
      <c r="F118" t="s">
        <v>210</v>
      </c>
      <c r="G118" t="s">
        <v>617</v>
      </c>
      <c r="I118">
        <v>0</v>
      </c>
      <c r="L118" t="s">
        <v>210</v>
      </c>
      <c r="N118" t="s">
        <v>618</v>
      </c>
      <c r="P118" t="s">
        <v>619</v>
      </c>
      <c r="S118" t="s">
        <v>620</v>
      </c>
    </row>
    <row r="119" spans="2:19" ht="15" customHeight="1" x14ac:dyDescent="0.2">
      <c r="B119" t="s">
        <v>621</v>
      </c>
      <c r="F119" t="s">
        <v>210</v>
      </c>
      <c r="G119" t="s">
        <v>622</v>
      </c>
      <c r="I119">
        <v>0</v>
      </c>
      <c r="L119" t="s">
        <v>210</v>
      </c>
      <c r="N119" t="s">
        <v>623</v>
      </c>
      <c r="P119" t="s">
        <v>624</v>
      </c>
      <c r="S119" t="s">
        <v>620</v>
      </c>
    </row>
    <row r="120" spans="2:19" ht="15" customHeight="1" x14ac:dyDescent="0.2">
      <c r="B120" t="s">
        <v>625</v>
      </c>
    </row>
    <row r="121" spans="2:19" ht="15" customHeight="1" x14ac:dyDescent="0.2">
      <c r="C121" t="s">
        <v>209</v>
      </c>
      <c r="F121" t="s">
        <v>210</v>
      </c>
      <c r="G121" t="s">
        <v>626</v>
      </c>
      <c r="I121">
        <v>0</v>
      </c>
      <c r="L121" t="s">
        <v>210</v>
      </c>
      <c r="N121" t="s">
        <v>627</v>
      </c>
      <c r="P121" t="s">
        <v>626</v>
      </c>
      <c r="S121" t="s">
        <v>210</v>
      </c>
    </row>
    <row r="122" spans="2:19" ht="15" customHeight="1" x14ac:dyDescent="0.2">
      <c r="C122" t="s">
        <v>213</v>
      </c>
      <c r="F122" t="s">
        <v>210</v>
      </c>
      <c r="G122" t="s">
        <v>628</v>
      </c>
      <c r="I122">
        <v>0</v>
      </c>
      <c r="L122" t="s">
        <v>304</v>
      </c>
      <c r="N122" t="s">
        <v>629</v>
      </c>
      <c r="P122" t="s">
        <v>630</v>
      </c>
      <c r="S122" t="s">
        <v>631</v>
      </c>
    </row>
    <row r="123" spans="2:19" ht="15" customHeight="1" x14ac:dyDescent="0.2">
      <c r="C123" t="s">
        <v>219</v>
      </c>
      <c r="F123" t="s">
        <v>210</v>
      </c>
      <c r="G123" t="s">
        <v>632</v>
      </c>
      <c r="I123">
        <v>0</v>
      </c>
      <c r="L123" t="s">
        <v>210</v>
      </c>
      <c r="N123" t="s">
        <v>633</v>
      </c>
      <c r="P123" t="s">
        <v>634</v>
      </c>
      <c r="S123" t="s">
        <v>635</v>
      </c>
    </row>
    <row r="124" spans="2:19" ht="15" customHeight="1" x14ac:dyDescent="0.2">
      <c r="C124" t="s">
        <v>224</v>
      </c>
      <c r="F124" t="s">
        <v>210</v>
      </c>
      <c r="G124" t="s">
        <v>636</v>
      </c>
      <c r="I124">
        <v>0</v>
      </c>
      <c r="L124" t="s">
        <v>210</v>
      </c>
      <c r="N124" t="s">
        <v>637</v>
      </c>
      <c r="P124" t="s">
        <v>638</v>
      </c>
      <c r="S124" t="s">
        <v>639</v>
      </c>
    </row>
    <row r="125" spans="2:19" ht="15" customHeight="1" x14ac:dyDescent="0.2">
      <c r="C125" t="s">
        <v>229</v>
      </c>
      <c r="F125" t="s">
        <v>210</v>
      </c>
      <c r="G125" t="s">
        <v>640</v>
      </c>
      <c r="I125">
        <v>0</v>
      </c>
      <c r="L125" t="s">
        <v>210</v>
      </c>
      <c r="N125" t="s">
        <v>641</v>
      </c>
      <c r="P125" t="s">
        <v>642</v>
      </c>
      <c r="S125" t="s">
        <v>643</v>
      </c>
    </row>
    <row r="126" spans="2:19" ht="15" customHeight="1" x14ac:dyDescent="0.2">
      <c r="B126" t="s">
        <v>644</v>
      </c>
      <c r="F126" t="s">
        <v>210</v>
      </c>
      <c r="G126" t="s">
        <v>645</v>
      </c>
      <c r="I126">
        <v>0</v>
      </c>
      <c r="L126" t="s">
        <v>304</v>
      </c>
      <c r="N126" t="s">
        <v>646</v>
      </c>
      <c r="P126" t="s">
        <v>647</v>
      </c>
      <c r="S126" t="s">
        <v>648</v>
      </c>
    </row>
    <row r="127" spans="2:19" ht="15" customHeight="1" x14ac:dyDescent="0.2">
      <c r="B127" t="s">
        <v>649</v>
      </c>
    </row>
    <row r="128" spans="2:19" ht="15" customHeight="1" x14ac:dyDescent="0.2">
      <c r="C128" t="s">
        <v>209</v>
      </c>
      <c r="F128" t="s">
        <v>210</v>
      </c>
      <c r="G128" t="s">
        <v>650</v>
      </c>
      <c r="I128">
        <v>0</v>
      </c>
      <c r="L128" t="s">
        <v>210</v>
      </c>
      <c r="N128" t="s">
        <v>228</v>
      </c>
      <c r="P128" t="s">
        <v>650</v>
      </c>
      <c r="S128" t="s">
        <v>210</v>
      </c>
    </row>
    <row r="129" spans="1:19" ht="15" customHeight="1" x14ac:dyDescent="0.2">
      <c r="C129" t="s">
        <v>213</v>
      </c>
      <c r="F129" t="s">
        <v>210</v>
      </c>
      <c r="G129" t="s">
        <v>651</v>
      </c>
      <c r="I129">
        <v>0</v>
      </c>
      <c r="L129" t="s">
        <v>652</v>
      </c>
      <c r="N129" t="s">
        <v>653</v>
      </c>
      <c r="P129" t="s">
        <v>654</v>
      </c>
      <c r="S129" t="s">
        <v>655</v>
      </c>
    </row>
    <row r="130" spans="1:19" ht="15" customHeight="1" x14ac:dyDescent="0.2">
      <c r="C130" t="s">
        <v>224</v>
      </c>
      <c r="F130" t="s">
        <v>210</v>
      </c>
      <c r="G130" t="s">
        <v>656</v>
      </c>
      <c r="I130">
        <v>0</v>
      </c>
      <c r="L130" t="s">
        <v>210</v>
      </c>
      <c r="N130" t="s">
        <v>657</v>
      </c>
      <c r="P130" t="s">
        <v>658</v>
      </c>
      <c r="S130" t="s">
        <v>659</v>
      </c>
    </row>
    <row r="131" spans="1:19" ht="15" customHeight="1" x14ac:dyDescent="0.2">
      <c r="C131" t="s">
        <v>229</v>
      </c>
      <c r="F131" t="s">
        <v>210</v>
      </c>
      <c r="G131" t="s">
        <v>660</v>
      </c>
      <c r="I131">
        <v>0</v>
      </c>
      <c r="L131" t="s">
        <v>210</v>
      </c>
      <c r="N131" t="s">
        <v>661</v>
      </c>
      <c r="P131" t="s">
        <v>662</v>
      </c>
      <c r="S131" t="s">
        <v>663</v>
      </c>
    </row>
    <row r="132" spans="1:19" ht="15" customHeight="1" x14ac:dyDescent="0.2">
      <c r="B132" t="s">
        <v>664</v>
      </c>
      <c r="F132" t="s">
        <v>210</v>
      </c>
      <c r="G132" t="s">
        <v>665</v>
      </c>
      <c r="I132">
        <v>0</v>
      </c>
      <c r="L132" t="s">
        <v>652</v>
      </c>
      <c r="N132" t="s">
        <v>666</v>
      </c>
      <c r="P132" t="s">
        <v>667</v>
      </c>
      <c r="S132" t="s">
        <v>668</v>
      </c>
    </row>
    <row r="133" spans="1:19" ht="15" customHeight="1" x14ac:dyDescent="0.2">
      <c r="A133" t="s">
        <v>669</v>
      </c>
      <c r="F133" t="s">
        <v>210</v>
      </c>
      <c r="G133" t="s">
        <v>670</v>
      </c>
      <c r="I133">
        <v>0</v>
      </c>
      <c r="L133" t="s">
        <v>671</v>
      </c>
      <c r="N133" t="s">
        <v>672</v>
      </c>
      <c r="P133" t="s">
        <v>673</v>
      </c>
      <c r="S133" t="s">
        <v>674</v>
      </c>
    </row>
    <row r="134" spans="1:19" ht="15" customHeight="1" x14ac:dyDescent="0.2">
      <c r="A134" t="s">
        <v>675</v>
      </c>
    </row>
    <row r="135" spans="1:19" ht="15" customHeight="1" x14ac:dyDescent="0.2">
      <c r="B135" t="s">
        <v>676</v>
      </c>
    </row>
    <row r="136" spans="1:19" ht="15" customHeight="1" x14ac:dyDescent="0.2">
      <c r="C136" t="s">
        <v>209</v>
      </c>
      <c r="F136" t="s">
        <v>210</v>
      </c>
      <c r="G136" t="s">
        <v>677</v>
      </c>
      <c r="I136">
        <v>0</v>
      </c>
      <c r="L136" t="s">
        <v>210</v>
      </c>
      <c r="N136" t="s">
        <v>678</v>
      </c>
      <c r="P136" t="s">
        <v>677</v>
      </c>
      <c r="S136" t="s">
        <v>210</v>
      </c>
    </row>
    <row r="137" spans="1:19" ht="15" customHeight="1" x14ac:dyDescent="0.2">
      <c r="C137" t="s">
        <v>224</v>
      </c>
      <c r="F137" t="s">
        <v>210</v>
      </c>
      <c r="G137" t="s">
        <v>679</v>
      </c>
      <c r="I137">
        <v>0</v>
      </c>
      <c r="L137" t="s">
        <v>210</v>
      </c>
      <c r="N137" t="s">
        <v>680</v>
      </c>
      <c r="P137" t="s">
        <v>681</v>
      </c>
      <c r="S137" t="s">
        <v>221</v>
      </c>
    </row>
    <row r="138" spans="1:19" ht="15" customHeight="1" x14ac:dyDescent="0.2">
      <c r="C138" t="s">
        <v>229</v>
      </c>
      <c r="F138" t="s">
        <v>210</v>
      </c>
      <c r="G138" t="s">
        <v>682</v>
      </c>
      <c r="I138">
        <v>0</v>
      </c>
      <c r="L138" t="s">
        <v>683</v>
      </c>
      <c r="N138" t="s">
        <v>680</v>
      </c>
      <c r="P138" t="s">
        <v>684</v>
      </c>
      <c r="S138" t="s">
        <v>685</v>
      </c>
    </row>
    <row r="139" spans="1:19" ht="15" customHeight="1" x14ac:dyDescent="0.2">
      <c r="C139" t="s">
        <v>686</v>
      </c>
      <c r="F139" t="s">
        <v>210</v>
      </c>
      <c r="G139" t="s">
        <v>687</v>
      </c>
      <c r="I139">
        <v>0</v>
      </c>
      <c r="L139" t="s">
        <v>210</v>
      </c>
      <c r="N139" t="s">
        <v>688</v>
      </c>
      <c r="P139" t="s">
        <v>689</v>
      </c>
      <c r="S139" t="s">
        <v>637</v>
      </c>
    </row>
    <row r="140" spans="1:19" ht="15" customHeight="1" x14ac:dyDescent="0.2">
      <c r="B140" t="s">
        <v>690</v>
      </c>
      <c r="F140" t="s">
        <v>210</v>
      </c>
      <c r="G140" t="s">
        <v>691</v>
      </c>
      <c r="I140">
        <v>0</v>
      </c>
      <c r="L140" t="s">
        <v>683</v>
      </c>
      <c r="N140" t="s">
        <v>692</v>
      </c>
      <c r="P140" t="s">
        <v>693</v>
      </c>
      <c r="S140" t="s">
        <v>694</v>
      </c>
    </row>
    <row r="141" spans="1:19" ht="15" customHeight="1" x14ac:dyDescent="0.2">
      <c r="B141" t="s">
        <v>695</v>
      </c>
    </row>
    <row r="142" spans="1:19" ht="15" customHeight="1" x14ac:dyDescent="0.2">
      <c r="C142" t="s">
        <v>209</v>
      </c>
      <c r="F142" t="s">
        <v>210</v>
      </c>
      <c r="G142" t="s">
        <v>696</v>
      </c>
      <c r="I142">
        <v>0</v>
      </c>
      <c r="L142" t="s">
        <v>210</v>
      </c>
      <c r="N142" t="s">
        <v>697</v>
      </c>
      <c r="P142" t="s">
        <v>696</v>
      </c>
      <c r="S142" t="s">
        <v>210</v>
      </c>
    </row>
    <row r="143" spans="1:19" ht="15" customHeight="1" x14ac:dyDescent="0.2">
      <c r="C143" t="s">
        <v>213</v>
      </c>
      <c r="F143" t="s">
        <v>210</v>
      </c>
      <c r="G143" t="s">
        <v>698</v>
      </c>
      <c r="I143">
        <v>0</v>
      </c>
      <c r="L143" t="s">
        <v>271</v>
      </c>
      <c r="N143" t="s">
        <v>678</v>
      </c>
      <c r="P143" t="s">
        <v>699</v>
      </c>
      <c r="S143" t="s">
        <v>700</v>
      </c>
    </row>
    <row r="144" spans="1:19" ht="15" customHeight="1" x14ac:dyDescent="0.2">
      <c r="C144" t="s">
        <v>224</v>
      </c>
      <c r="F144" t="s">
        <v>210</v>
      </c>
      <c r="G144" t="s">
        <v>701</v>
      </c>
      <c r="I144">
        <v>0</v>
      </c>
      <c r="L144" t="s">
        <v>702</v>
      </c>
      <c r="N144" t="s">
        <v>703</v>
      </c>
      <c r="P144" t="s">
        <v>704</v>
      </c>
      <c r="S144" t="s">
        <v>705</v>
      </c>
    </row>
    <row r="145" spans="2:19" ht="15" customHeight="1" x14ac:dyDescent="0.2">
      <c r="C145" t="s">
        <v>229</v>
      </c>
      <c r="F145" t="s">
        <v>210</v>
      </c>
      <c r="G145" t="s">
        <v>706</v>
      </c>
      <c r="I145">
        <v>0</v>
      </c>
      <c r="L145" t="s">
        <v>707</v>
      </c>
      <c r="N145" t="s">
        <v>708</v>
      </c>
      <c r="P145" t="s">
        <v>709</v>
      </c>
      <c r="S145" t="s">
        <v>710</v>
      </c>
    </row>
    <row r="146" spans="2:19" ht="15" customHeight="1" x14ac:dyDescent="0.2">
      <c r="C146" t="s">
        <v>686</v>
      </c>
      <c r="F146" t="s">
        <v>210</v>
      </c>
      <c r="G146" t="s">
        <v>711</v>
      </c>
      <c r="I146">
        <v>0</v>
      </c>
      <c r="L146" t="s">
        <v>210</v>
      </c>
      <c r="N146" t="s">
        <v>712</v>
      </c>
      <c r="P146" t="s">
        <v>713</v>
      </c>
      <c r="S146" t="s">
        <v>629</v>
      </c>
    </row>
    <row r="147" spans="2:19" ht="15" customHeight="1" x14ac:dyDescent="0.2">
      <c r="B147" t="s">
        <v>714</v>
      </c>
      <c r="F147" t="s">
        <v>210</v>
      </c>
      <c r="G147" t="s">
        <v>715</v>
      </c>
      <c r="I147">
        <v>0</v>
      </c>
      <c r="L147" t="s">
        <v>716</v>
      </c>
      <c r="N147" t="s">
        <v>717</v>
      </c>
      <c r="P147" t="s">
        <v>718</v>
      </c>
      <c r="S147" t="s">
        <v>719</v>
      </c>
    </row>
    <row r="148" spans="2:19" ht="15" customHeight="1" x14ac:dyDescent="0.2">
      <c r="B148" t="s">
        <v>720</v>
      </c>
    </row>
    <row r="149" spans="2:19" ht="15" customHeight="1" x14ac:dyDescent="0.2">
      <c r="C149" t="s">
        <v>209</v>
      </c>
      <c r="F149" t="s">
        <v>210</v>
      </c>
      <c r="G149" t="s">
        <v>721</v>
      </c>
      <c r="I149">
        <v>0</v>
      </c>
      <c r="L149" t="s">
        <v>210</v>
      </c>
      <c r="N149" t="s">
        <v>722</v>
      </c>
      <c r="P149" t="s">
        <v>721</v>
      </c>
      <c r="S149" t="s">
        <v>210</v>
      </c>
    </row>
    <row r="150" spans="2:19" ht="15" customHeight="1" x14ac:dyDescent="0.2">
      <c r="C150" t="s">
        <v>213</v>
      </c>
      <c r="F150" t="s">
        <v>210</v>
      </c>
      <c r="G150" t="s">
        <v>723</v>
      </c>
      <c r="I150">
        <v>0</v>
      </c>
      <c r="L150" t="s">
        <v>210</v>
      </c>
      <c r="N150" t="s">
        <v>724</v>
      </c>
      <c r="P150" t="s">
        <v>725</v>
      </c>
      <c r="S150" t="s">
        <v>595</v>
      </c>
    </row>
    <row r="151" spans="2:19" ht="15" customHeight="1" x14ac:dyDescent="0.2">
      <c r="C151" t="s">
        <v>224</v>
      </c>
      <c r="F151" t="s">
        <v>210</v>
      </c>
      <c r="G151" t="s">
        <v>726</v>
      </c>
      <c r="I151">
        <v>0</v>
      </c>
      <c r="L151" t="s">
        <v>727</v>
      </c>
      <c r="N151" t="s">
        <v>728</v>
      </c>
      <c r="P151" t="s">
        <v>729</v>
      </c>
      <c r="S151" t="s">
        <v>730</v>
      </c>
    </row>
    <row r="152" spans="2:19" ht="15" customHeight="1" x14ac:dyDescent="0.2">
      <c r="C152" t="s">
        <v>229</v>
      </c>
      <c r="F152" t="s">
        <v>210</v>
      </c>
      <c r="G152" t="s">
        <v>731</v>
      </c>
      <c r="I152">
        <v>0</v>
      </c>
      <c r="L152" t="s">
        <v>732</v>
      </c>
      <c r="N152" t="s">
        <v>733</v>
      </c>
      <c r="P152" t="s">
        <v>734</v>
      </c>
      <c r="S152" t="s">
        <v>735</v>
      </c>
    </row>
    <row r="153" spans="2:19" ht="15" customHeight="1" x14ac:dyDescent="0.2">
      <c r="C153" t="s">
        <v>686</v>
      </c>
      <c r="F153" t="s">
        <v>210</v>
      </c>
      <c r="G153" t="s">
        <v>736</v>
      </c>
      <c r="I153">
        <v>0</v>
      </c>
      <c r="L153" t="s">
        <v>210</v>
      </c>
      <c r="N153" t="s">
        <v>737</v>
      </c>
      <c r="P153" t="s">
        <v>738</v>
      </c>
      <c r="S153" t="s">
        <v>739</v>
      </c>
    </row>
    <row r="154" spans="2:19" ht="15" customHeight="1" x14ac:dyDescent="0.2">
      <c r="B154" t="s">
        <v>740</v>
      </c>
      <c r="F154" t="s">
        <v>210</v>
      </c>
      <c r="G154" t="s">
        <v>741</v>
      </c>
      <c r="I154">
        <v>0</v>
      </c>
      <c r="L154" t="s">
        <v>742</v>
      </c>
      <c r="N154" t="s">
        <v>743</v>
      </c>
      <c r="P154" t="s">
        <v>744</v>
      </c>
      <c r="S154" t="s">
        <v>745</v>
      </c>
    </row>
    <row r="155" spans="2:19" ht="15" customHeight="1" x14ac:dyDescent="0.2">
      <c r="B155" t="s">
        <v>746</v>
      </c>
    </row>
    <row r="156" spans="2:19" ht="15" customHeight="1" x14ac:dyDescent="0.2">
      <c r="C156" t="s">
        <v>209</v>
      </c>
      <c r="F156" t="s">
        <v>210</v>
      </c>
      <c r="G156" t="s">
        <v>747</v>
      </c>
      <c r="I156">
        <v>0</v>
      </c>
      <c r="L156" t="s">
        <v>210</v>
      </c>
      <c r="N156" t="s">
        <v>739</v>
      </c>
      <c r="P156" t="s">
        <v>747</v>
      </c>
      <c r="S156" t="s">
        <v>210</v>
      </c>
    </row>
    <row r="157" spans="2:19" ht="15" customHeight="1" x14ac:dyDescent="0.2">
      <c r="C157" t="s">
        <v>213</v>
      </c>
      <c r="F157" t="s">
        <v>210</v>
      </c>
      <c r="G157" t="s">
        <v>748</v>
      </c>
      <c r="I157">
        <v>0</v>
      </c>
      <c r="L157" t="s">
        <v>712</v>
      </c>
      <c r="N157" t="s">
        <v>712</v>
      </c>
      <c r="P157" t="s">
        <v>749</v>
      </c>
      <c r="S157" t="s">
        <v>750</v>
      </c>
    </row>
    <row r="158" spans="2:19" ht="15" customHeight="1" x14ac:dyDescent="0.2">
      <c r="C158" t="s">
        <v>224</v>
      </c>
      <c r="F158" t="s">
        <v>210</v>
      </c>
      <c r="G158" t="s">
        <v>751</v>
      </c>
      <c r="I158">
        <v>0</v>
      </c>
      <c r="L158" t="s">
        <v>752</v>
      </c>
      <c r="N158" t="s">
        <v>427</v>
      </c>
      <c r="P158" t="s">
        <v>753</v>
      </c>
      <c r="S158" t="s">
        <v>754</v>
      </c>
    </row>
    <row r="159" spans="2:19" ht="15" customHeight="1" x14ac:dyDescent="0.2">
      <c r="C159" t="s">
        <v>229</v>
      </c>
      <c r="F159" t="s">
        <v>210</v>
      </c>
      <c r="G159" t="s">
        <v>755</v>
      </c>
      <c r="I159">
        <v>0</v>
      </c>
      <c r="L159" t="s">
        <v>272</v>
      </c>
      <c r="N159" t="s">
        <v>756</v>
      </c>
      <c r="P159" t="s">
        <v>757</v>
      </c>
      <c r="S159" t="s">
        <v>758</v>
      </c>
    </row>
    <row r="160" spans="2:19" ht="15" customHeight="1" x14ac:dyDescent="0.2">
      <c r="C160" t="s">
        <v>686</v>
      </c>
      <c r="F160" t="s">
        <v>210</v>
      </c>
      <c r="G160" t="s">
        <v>759</v>
      </c>
      <c r="I160">
        <v>0</v>
      </c>
      <c r="L160" t="s">
        <v>595</v>
      </c>
      <c r="N160" t="s">
        <v>760</v>
      </c>
      <c r="P160" t="s">
        <v>761</v>
      </c>
      <c r="S160" t="s">
        <v>762</v>
      </c>
    </row>
    <row r="161" spans="1:19" ht="15" customHeight="1" x14ac:dyDescent="0.2">
      <c r="C161" t="s">
        <v>283</v>
      </c>
      <c r="F161" t="s">
        <v>210</v>
      </c>
      <c r="G161" t="s">
        <v>763</v>
      </c>
      <c r="I161">
        <v>0</v>
      </c>
      <c r="L161" t="s">
        <v>226</v>
      </c>
      <c r="N161" t="s">
        <v>226</v>
      </c>
      <c r="P161" t="s">
        <v>764</v>
      </c>
      <c r="S161" t="s">
        <v>765</v>
      </c>
    </row>
    <row r="162" spans="1:19" ht="15" customHeight="1" x14ac:dyDescent="0.2">
      <c r="B162" t="s">
        <v>766</v>
      </c>
      <c r="F162" t="s">
        <v>210</v>
      </c>
      <c r="G162" t="s">
        <v>767</v>
      </c>
      <c r="I162">
        <v>0</v>
      </c>
      <c r="L162" t="s">
        <v>768</v>
      </c>
      <c r="N162" t="s">
        <v>769</v>
      </c>
      <c r="P162" t="s">
        <v>770</v>
      </c>
      <c r="S162" t="s">
        <v>771</v>
      </c>
    </row>
    <row r="163" spans="1:19" ht="15" customHeight="1" x14ac:dyDescent="0.2">
      <c r="A163" t="s">
        <v>772</v>
      </c>
      <c r="F163" t="s">
        <v>210</v>
      </c>
      <c r="G163" t="s">
        <v>773</v>
      </c>
      <c r="I163">
        <v>0</v>
      </c>
      <c r="L163" t="s">
        <v>774</v>
      </c>
      <c r="N163" t="s">
        <v>775</v>
      </c>
      <c r="P163" t="s">
        <v>776</v>
      </c>
      <c r="S163" t="s">
        <v>777</v>
      </c>
    </row>
    <row r="164" spans="1:19" ht="15" customHeight="1" x14ac:dyDescent="0.2">
      <c r="A164" t="s">
        <v>778</v>
      </c>
    </row>
    <row r="165" spans="1:19" ht="15" customHeight="1" x14ac:dyDescent="0.2">
      <c r="B165" t="s">
        <v>779</v>
      </c>
    </row>
    <row r="166" spans="1:19" ht="15" customHeight="1" x14ac:dyDescent="0.2">
      <c r="C166" t="s">
        <v>209</v>
      </c>
      <c r="F166" t="s">
        <v>210</v>
      </c>
      <c r="G166" t="s">
        <v>210</v>
      </c>
      <c r="I166">
        <v>0</v>
      </c>
      <c r="L166" t="s">
        <v>210</v>
      </c>
      <c r="N166" t="s">
        <v>780</v>
      </c>
      <c r="P166" t="s">
        <v>210</v>
      </c>
      <c r="S166" t="s">
        <v>210</v>
      </c>
    </row>
    <row r="167" spans="1:19" ht="15" customHeight="1" x14ac:dyDescent="0.2">
      <c r="C167" t="s">
        <v>781</v>
      </c>
      <c r="F167" t="s">
        <v>210</v>
      </c>
      <c r="G167" t="s">
        <v>782</v>
      </c>
      <c r="I167">
        <v>0</v>
      </c>
      <c r="L167" t="s">
        <v>210</v>
      </c>
      <c r="N167" t="s">
        <v>783</v>
      </c>
      <c r="P167" t="s">
        <v>784</v>
      </c>
      <c r="S167" t="s">
        <v>785</v>
      </c>
    </row>
    <row r="168" spans="1:19" ht="15" customHeight="1" x14ac:dyDescent="0.2">
      <c r="B168" t="s">
        <v>786</v>
      </c>
      <c r="F168" t="s">
        <v>210</v>
      </c>
      <c r="G168" t="s">
        <v>782</v>
      </c>
      <c r="I168">
        <v>0</v>
      </c>
      <c r="L168" t="s">
        <v>210</v>
      </c>
      <c r="N168" t="s">
        <v>787</v>
      </c>
      <c r="P168" t="s">
        <v>784</v>
      </c>
      <c r="S168" t="s">
        <v>785</v>
      </c>
    </row>
    <row r="169" spans="1:19" ht="15" customHeight="1" x14ac:dyDescent="0.2">
      <c r="B169" t="s">
        <v>788</v>
      </c>
    </row>
    <row r="170" spans="1:19" ht="15" customHeight="1" x14ac:dyDescent="0.2">
      <c r="C170" t="s">
        <v>209</v>
      </c>
      <c r="F170" t="s">
        <v>210</v>
      </c>
      <c r="G170" t="s">
        <v>626</v>
      </c>
      <c r="I170">
        <v>0</v>
      </c>
      <c r="L170" t="s">
        <v>210</v>
      </c>
      <c r="N170" t="s">
        <v>789</v>
      </c>
      <c r="P170" t="s">
        <v>626</v>
      </c>
      <c r="S170" t="s">
        <v>210</v>
      </c>
    </row>
    <row r="171" spans="1:19" ht="15" customHeight="1" x14ac:dyDescent="0.2">
      <c r="C171" t="s">
        <v>781</v>
      </c>
      <c r="F171" t="s">
        <v>210</v>
      </c>
      <c r="G171" t="s">
        <v>790</v>
      </c>
      <c r="I171">
        <v>0</v>
      </c>
      <c r="L171" t="s">
        <v>210</v>
      </c>
      <c r="N171" t="s">
        <v>791</v>
      </c>
      <c r="P171" t="s">
        <v>792</v>
      </c>
      <c r="S171" t="s">
        <v>793</v>
      </c>
    </row>
    <row r="172" spans="1:19" ht="15" customHeight="1" x14ac:dyDescent="0.2">
      <c r="B172" t="s">
        <v>794</v>
      </c>
      <c r="F172" t="s">
        <v>210</v>
      </c>
      <c r="G172" t="s">
        <v>795</v>
      </c>
      <c r="I172">
        <v>0</v>
      </c>
      <c r="L172" t="s">
        <v>210</v>
      </c>
      <c r="N172" t="s">
        <v>796</v>
      </c>
      <c r="P172" t="s">
        <v>797</v>
      </c>
      <c r="S172" t="s">
        <v>793</v>
      </c>
    </row>
    <row r="173" spans="1:19" ht="15" customHeight="1" x14ac:dyDescent="0.2">
      <c r="A173" t="s">
        <v>798</v>
      </c>
      <c r="F173" t="s">
        <v>210</v>
      </c>
      <c r="G173" t="s">
        <v>799</v>
      </c>
      <c r="I173">
        <v>0</v>
      </c>
      <c r="L173" t="s">
        <v>210</v>
      </c>
      <c r="N173" t="s">
        <v>800</v>
      </c>
      <c r="P173" t="s">
        <v>801</v>
      </c>
      <c r="S173" t="s">
        <v>802</v>
      </c>
    </row>
    <row r="174" spans="1:19" ht="15" customHeight="1" x14ac:dyDescent="0.2">
      <c r="A174" t="s">
        <v>803</v>
      </c>
      <c r="F174" t="s">
        <v>210</v>
      </c>
      <c r="G174" t="s">
        <v>804</v>
      </c>
      <c r="I174">
        <v>0</v>
      </c>
      <c r="L174" t="s">
        <v>805</v>
      </c>
      <c r="N174" t="s">
        <v>806</v>
      </c>
      <c r="P174" t="s">
        <v>807</v>
      </c>
      <c r="S174" t="s">
        <v>808</v>
      </c>
    </row>
    <row r="175" spans="1:19" ht="15" customHeight="1" x14ac:dyDescent="0.2">
      <c r="A175" t="s">
        <v>809</v>
      </c>
      <c r="K175" t="s">
        <v>810</v>
      </c>
    </row>
  </sheetData>
  <autoFilter ref="A1:W175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showGridLines="0" zoomScaleNormal="100" workbookViewId="0"/>
  </sheetViews>
  <sheetFormatPr defaultColWidth="8.7109375" defaultRowHeight="15" customHeight="1" x14ac:dyDescent="0.2"/>
  <cols>
    <col min="1" max="1" width="24" customWidth="1"/>
    <col min="2" max="2" width="20" customWidth="1"/>
    <col min="3" max="3" width="42" customWidth="1"/>
  </cols>
  <sheetData>
    <row r="1" spans="1:3" ht="15" customHeight="1" x14ac:dyDescent="0.2">
      <c r="A1" s="29" t="s">
        <v>811</v>
      </c>
      <c r="B1" s="29" t="s">
        <v>812</v>
      </c>
      <c r="C1" s="29" t="s">
        <v>813</v>
      </c>
    </row>
    <row r="2" spans="1:3" ht="15" customHeight="1" x14ac:dyDescent="0.2">
      <c r="A2" t="s">
        <v>814</v>
      </c>
      <c r="B2" t="s">
        <v>815</v>
      </c>
      <c r="C2" t="s">
        <v>816</v>
      </c>
    </row>
    <row r="3" spans="1:3" ht="15" customHeight="1" x14ac:dyDescent="0.2">
      <c r="A3" t="s">
        <v>817</v>
      </c>
      <c r="B3" t="s">
        <v>815</v>
      </c>
      <c r="C3" t="s">
        <v>818</v>
      </c>
    </row>
    <row r="4" spans="1:3" ht="15" customHeight="1" x14ac:dyDescent="0.2">
      <c r="A4" t="s">
        <v>819</v>
      </c>
      <c r="B4" t="s">
        <v>13</v>
      </c>
      <c r="C4" t="s">
        <v>820</v>
      </c>
    </row>
    <row r="5" spans="1:3" ht="15" customHeight="1" x14ac:dyDescent="0.2">
      <c r="A5" t="s">
        <v>821</v>
      </c>
      <c r="B5" t="s">
        <v>13</v>
      </c>
      <c r="C5" t="s">
        <v>822</v>
      </c>
    </row>
    <row r="6" spans="1:3" ht="15" customHeight="1" x14ac:dyDescent="0.2">
      <c r="A6" t="s">
        <v>823</v>
      </c>
      <c r="B6" t="s">
        <v>13</v>
      </c>
      <c r="C6" t="s">
        <v>824</v>
      </c>
    </row>
    <row r="7" spans="1:3" ht="15" customHeight="1" x14ac:dyDescent="0.2">
      <c r="A7" t="s">
        <v>825</v>
      </c>
      <c r="B7" t="s">
        <v>815</v>
      </c>
      <c r="C7" t="s">
        <v>826</v>
      </c>
    </row>
    <row r="8" spans="1:3" ht="15" customHeight="1" x14ac:dyDescent="0.2">
      <c r="A8" t="s">
        <v>827</v>
      </c>
      <c r="B8" t="s">
        <v>815</v>
      </c>
      <c r="C8" t="s">
        <v>828</v>
      </c>
    </row>
    <row r="9" spans="1:3" ht="15" customHeight="1" x14ac:dyDescent="0.2">
      <c r="A9" t="s">
        <v>829</v>
      </c>
      <c r="B9" t="s">
        <v>815</v>
      </c>
      <c r="C9" t="s">
        <v>830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showGridLines="0" zoomScaleNormal="100" workbookViewId="0">
      <pane ySplit="1" topLeftCell="A15" activePane="bottomLeft" state="frozen"/>
      <selection pane="bottomLeft"/>
    </sheetView>
  </sheetViews>
  <sheetFormatPr defaultColWidth="8.7109375" defaultRowHeight="15" customHeight="1" x14ac:dyDescent="0.2"/>
  <cols>
    <col min="1" max="1" width="10" customWidth="1"/>
    <col min="2" max="2" width="34" customWidth="1"/>
    <col min="3" max="3" width="38" customWidth="1"/>
    <col min="4" max="4" width="44" customWidth="1"/>
    <col min="5" max="5" width="18" customWidth="1"/>
    <col min="6" max="6" width="42" customWidth="1"/>
    <col min="7" max="7" width="20" customWidth="1"/>
    <col min="8" max="9" width="15" customWidth="1"/>
  </cols>
  <sheetData>
    <row r="1" spans="1:9" ht="15" customHeight="1" x14ac:dyDescent="0.2">
      <c r="A1" s="29" t="s">
        <v>831</v>
      </c>
      <c r="B1" s="29" t="s">
        <v>832</v>
      </c>
      <c r="C1" s="29" t="s">
        <v>833</v>
      </c>
      <c r="D1" s="29" t="s">
        <v>834</v>
      </c>
      <c r="E1" s="29" t="s">
        <v>835</v>
      </c>
      <c r="F1" s="29" t="s">
        <v>836</v>
      </c>
      <c r="G1" s="29" t="s">
        <v>812</v>
      </c>
      <c r="H1" s="29" t="s">
        <v>205</v>
      </c>
      <c r="I1" s="29" t="s">
        <v>206</v>
      </c>
    </row>
    <row r="2" spans="1:9" ht="68.650000000000006" customHeight="1" x14ac:dyDescent="0.2">
      <c r="A2">
        <v>2</v>
      </c>
      <c r="B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" t="str">
        <f>IF(LEFT(TRIM('MSR RAW'!A2),11)="Department:",TRIM('MSR RAW'!A2),"")</f>
        <v/>
      </c>
      <c r="D2" t="str">
        <f>IF(LEFT(TRIM('MSR RAW'!B2),9)="Location:",TRIM(MID('MSR RAW'!B2,10,999)),"")</f>
        <v/>
      </c>
      <c r="E2" t="str">
        <f>IF(AND(ISNUMBER(SEARCH(" - ",TRIM('MSR RAW'!C2))),RIGHT(TRIM('MSR RAW'!C2),6)="Total:"),LEFT(TRIM('MSR RAW'!C2),SEARCH(" - ",TRIM('MSR RAW'!C2))-1),"")</f>
        <v/>
      </c>
      <c r="F2" t="str">
        <f>IF(E2="","",TRIM(MID(TRIM('MSR RAW'!C2),SEARCH(" - ",TRIM('MSR RAW'!C2))+3,LEN(TRIM('MSR RAW'!C2))-SEARCH(" - ",TRIM('MSR RAW'!C2))-9)))</f>
        <v/>
      </c>
      <c r="G2" t="str">
        <f>IF(E2="","",IFERROR(VLOOKUP(E2,'CATEGORY MAP'!$A$2:$B$20,2,FALSE()),"REVIEW"))</f>
        <v/>
      </c>
      <c r="H2" t="str">
        <f>IF(E2="","",IFERROR(VALUE(SUBSTITUTE('MSR RAW'!P2,",","")),0))</f>
        <v/>
      </c>
      <c r="I2" t="str">
        <f>IF(E2="","",IFERROR(VALUE(SUBSTITUTE('MSR RAW'!S2,",","")),0))</f>
        <v/>
      </c>
    </row>
    <row r="3" spans="1:9" ht="68.650000000000006" customHeight="1" x14ac:dyDescent="0.2">
      <c r="A3">
        <v>3</v>
      </c>
      <c r="B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" t="str">
        <f>IF(LEFT(TRIM('MSR RAW'!A3),11)="Department:",TRIM('MSR RAW'!A3),C2)</f>
        <v/>
      </c>
      <c r="D3" t="str">
        <f>IF(LEFT(TRIM('MSR RAW'!B3),9)="Location:",TRIM(MID('MSR RAW'!B3,10,999)),D2)</f>
        <v/>
      </c>
      <c r="E3" t="str">
        <f>IF(AND(ISNUMBER(SEARCH(" - ",TRIM('MSR RAW'!C3))),RIGHT(TRIM('MSR RAW'!C3),6)="Total:"),LEFT(TRIM('MSR RAW'!C3),SEARCH(" - ",TRIM('MSR RAW'!C3))-1),"")</f>
        <v/>
      </c>
      <c r="F3" t="str">
        <f>IF(E3="","",TRIM(MID(TRIM('MSR RAW'!C3),SEARCH(" - ",TRIM('MSR RAW'!C3))+3,LEN(TRIM('MSR RAW'!C3))-SEARCH(" - ",TRIM('MSR RAW'!C3))-9)))</f>
        <v/>
      </c>
      <c r="G3" t="str">
        <f>IF(E3="","",IFERROR(VLOOKUP(E3,'CATEGORY MAP'!$A$2:$B$20,2,FALSE()),"REVIEW"))</f>
        <v/>
      </c>
      <c r="H3" t="str">
        <f>IF(E3="","",IFERROR(VALUE(SUBSTITUTE('MSR RAW'!P3,",","")),0))</f>
        <v/>
      </c>
      <c r="I3" t="str">
        <f>IF(E3="","",IFERROR(VALUE(SUBSTITUTE('MSR RAW'!S3,",","")),0))</f>
        <v/>
      </c>
    </row>
    <row r="4" spans="1:9" ht="68.650000000000006" customHeight="1" x14ac:dyDescent="0.2">
      <c r="A4">
        <v>4</v>
      </c>
      <c r="B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" t="str">
        <f>IF(LEFT(TRIM('MSR RAW'!A4),11)="Department:",TRIM('MSR RAW'!A4),C3)</f>
        <v/>
      </c>
      <c r="D4" t="str">
        <f>IF(LEFT(TRIM('MSR RAW'!B4),9)="Location:",TRIM(MID('MSR RAW'!B4,10,999)),D3)</f>
        <v/>
      </c>
      <c r="E4" t="str">
        <f>IF(AND(ISNUMBER(SEARCH(" - ",TRIM('MSR RAW'!C4))),RIGHT(TRIM('MSR RAW'!C4),6)="Total:"),LEFT(TRIM('MSR RAW'!C4),SEARCH(" - ",TRIM('MSR RAW'!C4))-1),"")</f>
        <v/>
      </c>
      <c r="F4" t="str">
        <f>IF(E4="","",TRIM(MID(TRIM('MSR RAW'!C4),SEARCH(" - ",TRIM('MSR RAW'!C4))+3,LEN(TRIM('MSR RAW'!C4))-SEARCH(" - ",TRIM('MSR RAW'!C4))-9)))</f>
        <v/>
      </c>
      <c r="G4" t="str">
        <f>IF(E4="","",IFERROR(VLOOKUP(E4,'CATEGORY MAP'!$A$2:$B$20,2,FALSE()),"REVIEW"))</f>
        <v/>
      </c>
      <c r="H4" t="str">
        <f>IF(E4="","",IFERROR(VALUE(SUBSTITUTE('MSR RAW'!P4,",","")),0))</f>
        <v/>
      </c>
      <c r="I4" t="str">
        <f>IF(E4="","",IFERROR(VALUE(SUBSTITUTE('MSR RAW'!S4,",","")),0))</f>
        <v/>
      </c>
    </row>
    <row r="5" spans="1:9" ht="68.650000000000006" customHeight="1" x14ac:dyDescent="0.2">
      <c r="A5">
        <v>5</v>
      </c>
      <c r="B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" t="str">
        <f>IF(LEFT(TRIM('MSR RAW'!A5),11)="Department:",TRIM('MSR RAW'!A5),C4)</f>
        <v/>
      </c>
      <c r="D5" t="str">
        <f>IF(LEFT(TRIM('MSR RAW'!B5),9)="Location:",TRIM(MID('MSR RAW'!B5,10,999)),D4)</f>
        <v/>
      </c>
      <c r="E5" t="str">
        <f>IF(AND(ISNUMBER(SEARCH(" - ",TRIM('MSR RAW'!C5))),RIGHT(TRIM('MSR RAW'!C5),6)="Total:"),LEFT(TRIM('MSR RAW'!C5),SEARCH(" - ",TRIM('MSR RAW'!C5))-1),"")</f>
        <v/>
      </c>
      <c r="F5" t="str">
        <f>IF(E5="","",TRIM(MID(TRIM('MSR RAW'!C5),SEARCH(" - ",TRIM('MSR RAW'!C5))+3,LEN(TRIM('MSR RAW'!C5))-SEARCH(" - ",TRIM('MSR RAW'!C5))-9)))</f>
        <v/>
      </c>
      <c r="G5" t="str">
        <f>IF(E5="","",IFERROR(VLOOKUP(E5,'CATEGORY MAP'!$A$2:$B$20,2,FALSE()),"REVIEW"))</f>
        <v/>
      </c>
      <c r="H5" t="str">
        <f>IF(E5="","",IFERROR(VALUE(SUBSTITUTE('MSR RAW'!P5,",","")),0))</f>
        <v/>
      </c>
      <c r="I5" t="str">
        <f>IF(E5="","",IFERROR(VALUE(SUBSTITUTE('MSR RAW'!S5,",","")),0))</f>
        <v/>
      </c>
    </row>
    <row r="6" spans="1:9" ht="68.650000000000006" customHeight="1" x14ac:dyDescent="0.2">
      <c r="A6">
        <v>6</v>
      </c>
      <c r="B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" t="str">
        <f>IF(LEFT(TRIM('MSR RAW'!A6),11)="Department:",TRIM('MSR RAW'!A6),C5)</f>
        <v>Department: 36127 - CONCESSIONS</v>
      </c>
      <c r="D6" t="str">
        <f>IF(LEFT(TRIM('MSR RAW'!B6),9)="Location:",TRIM(MID('MSR RAW'!B6,10,999)),D5)</f>
        <v/>
      </c>
      <c r="E6" t="str">
        <f>IF(AND(ISNUMBER(SEARCH(" - ",TRIM('MSR RAW'!C6))),RIGHT(TRIM('MSR RAW'!C6),6)="Total:"),LEFT(TRIM('MSR RAW'!C6),SEARCH(" - ",TRIM('MSR RAW'!C6))-1),"")</f>
        <v/>
      </c>
      <c r="F6" t="str">
        <f>IF(E6="","",TRIM(MID(TRIM('MSR RAW'!C6),SEARCH(" - ",TRIM('MSR RAW'!C6))+3,LEN(TRIM('MSR RAW'!C6))-SEARCH(" - ",TRIM('MSR RAW'!C6))-9)))</f>
        <v/>
      </c>
      <c r="G6" t="str">
        <f>IF(E6="","",IFERROR(VLOOKUP(E6,'CATEGORY MAP'!$A$2:$B$20,2,FALSE()),"REVIEW"))</f>
        <v/>
      </c>
      <c r="H6" t="str">
        <f>IF(E6="","",IFERROR(VALUE(SUBSTITUTE('MSR RAW'!P6,",","")),0))</f>
        <v/>
      </c>
      <c r="I6" t="str">
        <f>IF(E6="","",IFERROR(VALUE(SUBSTITUTE('MSR RAW'!S6,",","")),0))</f>
        <v/>
      </c>
    </row>
    <row r="7" spans="1:9" ht="68.650000000000006" customHeight="1" x14ac:dyDescent="0.2">
      <c r="A7">
        <v>7</v>
      </c>
      <c r="B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" t="str">
        <f>IF(LEFT(TRIM('MSR RAW'!A7),11)="Department:",TRIM('MSR RAW'!A7),C6)</f>
        <v>Department: 36127 - CONCESSIONS</v>
      </c>
      <c r="D7" t="str">
        <f>IF(LEFT(TRIM('MSR RAW'!B7),9)="Location:",TRIM(MID('MSR RAW'!B7,10,999)),D6)</f>
        <v>FB 100 - TRAILER N CONCOURSE</v>
      </c>
      <c r="E7" t="str">
        <f>IF(AND(ISNUMBER(SEARCH(" - ",TRIM('MSR RAW'!C7))),RIGHT(TRIM('MSR RAW'!C7),6)="Total:"),LEFT(TRIM('MSR RAW'!C7),SEARCH(" - ",TRIM('MSR RAW'!C7))-1),"")</f>
        <v/>
      </c>
      <c r="F7" t="str">
        <f>IF(E7="","",TRIM(MID(TRIM('MSR RAW'!C7),SEARCH(" - ",TRIM('MSR RAW'!C7))+3,LEN(TRIM('MSR RAW'!C7))-SEARCH(" - ",TRIM('MSR RAW'!C7))-9)))</f>
        <v/>
      </c>
      <c r="G7" t="str">
        <f>IF(E7="","",IFERROR(VLOOKUP(E7,'CATEGORY MAP'!$A$2:$B$20,2,FALSE()),"REVIEW"))</f>
        <v/>
      </c>
      <c r="H7" t="str">
        <f>IF(E7="","",IFERROR(VALUE(SUBSTITUTE('MSR RAW'!P7,",","")),0))</f>
        <v/>
      </c>
      <c r="I7" t="str">
        <f>IF(E7="","",IFERROR(VALUE(SUBSTITUTE('MSR RAW'!S7,",","")),0))</f>
        <v/>
      </c>
    </row>
    <row r="8" spans="1:9" ht="68.650000000000006" customHeight="1" x14ac:dyDescent="0.2">
      <c r="A8">
        <v>8</v>
      </c>
      <c r="B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" t="str">
        <f>IF(LEFT(TRIM('MSR RAW'!A8),11)="Department:",TRIM('MSR RAW'!A8),C7)</f>
        <v>Department: 36127 - CONCESSIONS</v>
      </c>
      <c r="D8" t="str">
        <f>IF(LEFT(TRIM('MSR RAW'!B8),9)="Location:",TRIM(MID('MSR RAW'!B8,10,999)),D7)</f>
        <v>FB 100 - TRAILER N CONCOURSE</v>
      </c>
      <c r="E8" t="str">
        <f>IF(AND(ISNUMBER(SEARCH(" - ",TRIM('MSR RAW'!C8))),RIGHT(TRIM('MSR RAW'!C8),6)="Total:"),LEFT(TRIM('MSR RAW'!C8),SEARCH(" - ",TRIM('MSR RAW'!C8))-1),"")</f>
        <v/>
      </c>
      <c r="F8" t="str">
        <f>IF(E8="","",TRIM(MID(TRIM('MSR RAW'!C8),SEARCH(" - ",TRIM('MSR RAW'!C8))+3,LEN(TRIM('MSR RAW'!C8))-SEARCH(" - ",TRIM('MSR RAW'!C8))-9)))</f>
        <v/>
      </c>
      <c r="G8" t="str">
        <f>IF(E8="","",IFERROR(VLOOKUP(E8,'CATEGORY MAP'!$A$2:$B$20,2,FALSE()),"REVIEW"))</f>
        <v/>
      </c>
      <c r="H8" t="str">
        <f>IF(E8="","",IFERROR(VALUE(SUBSTITUTE('MSR RAW'!P8,",","")),0))</f>
        <v/>
      </c>
      <c r="I8" t="str">
        <f>IF(E8="","",IFERROR(VALUE(SUBSTITUTE('MSR RAW'!S8,",","")),0))</f>
        <v/>
      </c>
    </row>
    <row r="9" spans="1:9" ht="68.650000000000006" customHeight="1" x14ac:dyDescent="0.2">
      <c r="A9">
        <v>9</v>
      </c>
      <c r="B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" t="str">
        <f>IF(LEFT(TRIM('MSR RAW'!A9),11)="Department:",TRIM('MSR RAW'!A9),C8)</f>
        <v>Department: 36127 - CONCESSIONS</v>
      </c>
      <c r="D9" t="str">
        <f>IF(LEFT(TRIM('MSR RAW'!B9),9)="Location:",TRIM(MID('MSR RAW'!B9,10,999)),D8)</f>
        <v>FB 100 - TRAILER N CONCOURSE</v>
      </c>
      <c r="E9" t="str">
        <f>IF(AND(ISNUMBER(SEARCH(" - ",TRIM('MSR RAW'!C9))),RIGHT(TRIM('MSR RAW'!C9),6)="Total:"),LEFT(TRIM('MSR RAW'!C9),SEARCH(" - ",TRIM('MSR RAW'!C9))-1),"")</f>
        <v>312115</v>
      </c>
      <c r="F9" t="str">
        <f>IF(E9="","",TRIM(MID(TRIM('MSR RAW'!C9),SEARCH(" - ",TRIM('MSR RAW'!C9))+3,LEN(TRIM('MSR RAW'!C9))-SEARCH(" - ",TRIM('MSR RAW'!C9))-9)))</f>
        <v>N/A BEVERAGE SALES - TAXABLE</v>
      </c>
      <c r="G9" t="str">
        <f>IF(E9="","",IFERROR(VLOOKUP(E9,'CATEGORY MAP'!$A$2:$B$20,2,FALSE()),"REVIEW"))</f>
        <v>FOOD/NON-ALC</v>
      </c>
      <c r="H9">
        <f>IF(E9="","",IFERROR(VALUE(SUBSTITUTE('MSR RAW'!P9,",","")),0))</f>
        <v>2332.23</v>
      </c>
      <c r="I9">
        <f>IF(E9="","",IFERROR(VALUE(SUBSTITUTE('MSR RAW'!S9,",","")),0))</f>
        <v>2167</v>
      </c>
    </row>
    <row r="10" spans="1:9" ht="68.650000000000006" customHeight="1" x14ac:dyDescent="0.2">
      <c r="A10">
        <v>10</v>
      </c>
      <c r="B1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0" t="str">
        <f>IF(LEFT(TRIM('MSR RAW'!A10),11)="Department:",TRIM('MSR RAW'!A10),C9)</f>
        <v>Department: 36127 - CONCESSIONS</v>
      </c>
      <c r="D10" t="str">
        <f>IF(LEFT(TRIM('MSR RAW'!B10),9)="Location:",TRIM(MID('MSR RAW'!B10,10,999)),D9)</f>
        <v>FB 100 - TRAILER N CONCOURSE</v>
      </c>
      <c r="E10" t="str">
        <f>IF(AND(ISNUMBER(SEARCH(" - ",TRIM('MSR RAW'!C10))),RIGHT(TRIM('MSR RAW'!C10),6)="Total:"),LEFT(TRIM('MSR RAW'!C10),SEARCH(" - ",TRIM('MSR RAW'!C10))-1),"")</f>
        <v>313000</v>
      </c>
      <c r="F10" t="str">
        <f>IF(E10="","",TRIM(MID(TRIM('MSR RAW'!C10),SEARCH(" - ",TRIM('MSR RAW'!C10))+3,LEN(TRIM('MSR RAW'!C10))-SEARCH(" - ",TRIM('MSR RAW'!C10))-9)))</f>
        <v>FOOD SALES - TAXABLE</v>
      </c>
      <c r="G10" t="str">
        <f>IF(E10="","",IFERROR(VLOOKUP(E10,'CATEGORY MAP'!$A$2:$B$20,2,FALSE()),"REVIEW"))</f>
        <v>FOOD/NON-ALC</v>
      </c>
      <c r="H10">
        <f>IF(E10="","",IFERROR(VALUE(SUBSTITUTE('MSR RAW'!P10,",","")),0))</f>
        <v>3455.84</v>
      </c>
      <c r="I10">
        <f>IF(E10="","",IFERROR(VALUE(SUBSTITUTE('MSR RAW'!S10,",","")),0))</f>
        <v>3211</v>
      </c>
    </row>
    <row r="11" spans="1:9" ht="68.650000000000006" customHeight="1" x14ac:dyDescent="0.2">
      <c r="A11">
        <v>11</v>
      </c>
      <c r="B1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1" t="str">
        <f>IF(LEFT(TRIM('MSR RAW'!A11),11)="Department:",TRIM('MSR RAW'!A11),C10)</f>
        <v>Department: 36127 - CONCESSIONS</v>
      </c>
      <c r="D11" t="str">
        <f>IF(LEFT(TRIM('MSR RAW'!B11),9)="Location:",TRIM(MID('MSR RAW'!B11,10,999)),D10)</f>
        <v>FB 100 - TRAILER N CONCOURSE</v>
      </c>
      <c r="E11" t="str">
        <f>IF(AND(ISNUMBER(SEARCH(" - ",TRIM('MSR RAW'!C11))),RIGHT(TRIM('MSR RAW'!C11),6)="Total:"),LEFT(TRIM('MSR RAW'!C11),SEARCH(" - ",TRIM('MSR RAW'!C11))-1),"")</f>
        <v>313004</v>
      </c>
      <c r="F11" t="str">
        <f>IF(E11="","",TRIM(MID(TRIM('MSR RAW'!C11),SEARCH(" - ",TRIM('MSR RAW'!C11))+3,LEN(TRIM('MSR RAW'!C11))-SEARCH(" - ",TRIM('MSR RAW'!C11))-9)))</f>
        <v>LIQUOR SALES - TAXABLE</v>
      </c>
      <c r="G11" t="str">
        <f>IF(E11="","",IFERROR(VLOOKUP(E11,'CATEGORY MAP'!$A$2:$B$20,2,FALSE()),"REVIEW"))</f>
        <v>ALCOHOL</v>
      </c>
      <c r="H11">
        <f>IF(E11="","",IFERROR(VALUE(SUBSTITUTE('MSR RAW'!P11,",","")),0))</f>
        <v>361.62</v>
      </c>
      <c r="I11">
        <f>IF(E11="","",IFERROR(VALUE(SUBSTITUTE('MSR RAW'!S11,",","")),0))</f>
        <v>336</v>
      </c>
    </row>
    <row r="12" spans="1:9" ht="68.650000000000006" customHeight="1" x14ac:dyDescent="0.2">
      <c r="A12">
        <v>12</v>
      </c>
      <c r="B1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2" t="str">
        <f>IF(LEFT(TRIM('MSR RAW'!A12),11)="Department:",TRIM('MSR RAW'!A12),C11)</f>
        <v>Department: 36127 - CONCESSIONS</v>
      </c>
      <c r="D12" t="str">
        <f>IF(LEFT(TRIM('MSR RAW'!B12),9)="Location:",TRIM(MID('MSR RAW'!B12,10,999)),D11)</f>
        <v>FB 100 - TRAILER N CONCOURSE</v>
      </c>
      <c r="E12" t="str">
        <f>IF(AND(ISNUMBER(SEARCH(" - ",TRIM('MSR RAW'!C12))),RIGHT(TRIM('MSR RAW'!C12),6)="Total:"),LEFT(TRIM('MSR RAW'!C12),SEARCH(" - ",TRIM('MSR RAW'!C12))-1),"")</f>
        <v>313082</v>
      </c>
      <c r="F12" t="str">
        <f>IF(E12="","",TRIM(MID(TRIM('MSR RAW'!C12),SEARCH(" - ",TRIM('MSR RAW'!C12))+3,LEN(TRIM('MSR RAW'!C12))-SEARCH(" - ",TRIM('MSR RAW'!C12))-9)))</f>
        <v>BEER PACKAGED SALES</v>
      </c>
      <c r="G12" t="str">
        <f>IF(E12="","",IFERROR(VLOOKUP(E12,'CATEGORY MAP'!$A$2:$B$20,2,FALSE()),"REVIEW"))</f>
        <v>ALCOHOL</v>
      </c>
      <c r="H12">
        <f>IF(E12="","",IFERROR(VALUE(SUBSTITUTE('MSR RAW'!P12,",","")),0))</f>
        <v>1055.26</v>
      </c>
      <c r="I12">
        <f>IF(E12="","",IFERROR(VALUE(SUBSTITUTE('MSR RAW'!S12,",","")),0))</f>
        <v>980.5</v>
      </c>
    </row>
    <row r="13" spans="1:9" ht="68.650000000000006" customHeight="1" x14ac:dyDescent="0.2">
      <c r="A13">
        <v>13</v>
      </c>
      <c r="B1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3" t="str">
        <f>IF(LEFT(TRIM('MSR RAW'!A13),11)="Department:",TRIM('MSR RAW'!A13),C12)</f>
        <v>Department: 36127 - CONCESSIONS</v>
      </c>
      <c r="D13" t="str">
        <f>IF(LEFT(TRIM('MSR RAW'!B13),9)="Location:",TRIM(MID('MSR RAW'!B13,10,999)),D12)</f>
        <v>FB 100 - TRAILER N CONCOURSE</v>
      </c>
      <c r="E13" t="str">
        <f>IF(AND(ISNUMBER(SEARCH(" - ",TRIM('MSR RAW'!C13))),RIGHT(TRIM('MSR RAW'!C13),6)="Total:"),LEFT(TRIM('MSR RAW'!C13),SEARCH(" - ",TRIM('MSR RAW'!C13))-1),"")</f>
        <v/>
      </c>
      <c r="F13" t="str">
        <f>IF(E13="","",TRIM(MID(TRIM('MSR RAW'!C13),SEARCH(" - ",TRIM('MSR RAW'!C13))+3,LEN(TRIM('MSR RAW'!C13))-SEARCH(" - ",TRIM('MSR RAW'!C13))-9)))</f>
        <v/>
      </c>
      <c r="G13" t="str">
        <f>IF(E13="","",IFERROR(VLOOKUP(E13,'CATEGORY MAP'!$A$2:$B$20,2,FALSE()),"REVIEW"))</f>
        <v/>
      </c>
      <c r="H13" t="str">
        <f>IF(E13="","",IFERROR(VALUE(SUBSTITUTE('MSR RAW'!P13,",","")),0))</f>
        <v/>
      </c>
      <c r="I13" t="str">
        <f>IF(E13="","",IFERROR(VALUE(SUBSTITUTE('MSR RAW'!S13,",","")),0))</f>
        <v/>
      </c>
    </row>
    <row r="14" spans="1:9" ht="68.650000000000006" customHeight="1" x14ac:dyDescent="0.2">
      <c r="A14">
        <v>14</v>
      </c>
      <c r="B1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4" t="str">
        <f>IF(LEFT(TRIM('MSR RAW'!A14),11)="Department:",TRIM('MSR RAW'!A14),C13)</f>
        <v>Department: 36127 - CONCESSIONS</v>
      </c>
      <c r="D14" t="str">
        <f>IF(LEFT(TRIM('MSR RAW'!B14),9)="Location:",TRIM(MID('MSR RAW'!B14,10,999)),D13)</f>
        <v>FB 100B - MBP TRAILER N CONCOURSE</v>
      </c>
      <c r="E14" t="str">
        <f>IF(AND(ISNUMBER(SEARCH(" - ",TRIM('MSR RAW'!C14))),RIGHT(TRIM('MSR RAW'!C14),6)="Total:"),LEFT(TRIM('MSR RAW'!C14),SEARCH(" - ",TRIM('MSR RAW'!C14))-1),"")</f>
        <v/>
      </c>
      <c r="F14" t="str">
        <f>IF(E14="","",TRIM(MID(TRIM('MSR RAW'!C14),SEARCH(" - ",TRIM('MSR RAW'!C14))+3,LEN(TRIM('MSR RAW'!C14))-SEARCH(" - ",TRIM('MSR RAW'!C14))-9)))</f>
        <v/>
      </c>
      <c r="G14" t="str">
        <f>IF(E14="","",IFERROR(VLOOKUP(E14,'CATEGORY MAP'!$A$2:$B$20,2,FALSE()),"REVIEW"))</f>
        <v/>
      </c>
      <c r="H14" t="str">
        <f>IF(E14="","",IFERROR(VALUE(SUBSTITUTE('MSR RAW'!P14,",","")),0))</f>
        <v/>
      </c>
      <c r="I14" t="str">
        <f>IF(E14="","",IFERROR(VALUE(SUBSTITUTE('MSR RAW'!S14,",","")),0))</f>
        <v/>
      </c>
    </row>
    <row r="15" spans="1:9" ht="68.650000000000006" customHeight="1" x14ac:dyDescent="0.2">
      <c r="A15">
        <v>15</v>
      </c>
      <c r="B1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5" t="str">
        <f>IF(LEFT(TRIM('MSR RAW'!A15),11)="Department:",TRIM('MSR RAW'!A15),C14)</f>
        <v>Department: 36127 - CONCESSIONS</v>
      </c>
      <c r="D15" t="str">
        <f>IF(LEFT(TRIM('MSR RAW'!B15),9)="Location:",TRIM(MID('MSR RAW'!B15,10,999)),D14)</f>
        <v>FB 100B - MBP TRAILER N CONCOURSE</v>
      </c>
      <c r="E15" t="str">
        <f>IF(AND(ISNUMBER(SEARCH(" - ",TRIM('MSR RAW'!C15))),RIGHT(TRIM('MSR RAW'!C15),6)="Total:"),LEFT(TRIM('MSR RAW'!C15),SEARCH(" - ",TRIM('MSR RAW'!C15))-1),"")</f>
        <v/>
      </c>
      <c r="F15" t="str">
        <f>IF(E15="","",TRIM(MID(TRIM('MSR RAW'!C15),SEARCH(" - ",TRIM('MSR RAW'!C15))+3,LEN(TRIM('MSR RAW'!C15))-SEARCH(" - ",TRIM('MSR RAW'!C15))-9)))</f>
        <v/>
      </c>
      <c r="G15" t="str">
        <f>IF(E15="","",IFERROR(VLOOKUP(E15,'CATEGORY MAP'!$A$2:$B$20,2,FALSE()),"REVIEW"))</f>
        <v/>
      </c>
      <c r="H15" t="str">
        <f>IF(E15="","",IFERROR(VALUE(SUBSTITUTE('MSR RAW'!P15,",","")),0))</f>
        <v/>
      </c>
      <c r="I15" t="str">
        <f>IF(E15="","",IFERROR(VALUE(SUBSTITUTE('MSR RAW'!S15,",","")),0))</f>
        <v/>
      </c>
    </row>
    <row r="16" spans="1:9" ht="68.650000000000006" customHeight="1" x14ac:dyDescent="0.2">
      <c r="A16">
        <v>16</v>
      </c>
      <c r="B1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6" t="str">
        <f>IF(LEFT(TRIM('MSR RAW'!A16),11)="Department:",TRIM('MSR RAW'!A16),C15)</f>
        <v>Department: 36127 - CONCESSIONS</v>
      </c>
      <c r="D16" t="str">
        <f>IF(LEFT(TRIM('MSR RAW'!B16),9)="Location:",TRIM(MID('MSR RAW'!B16,10,999)),D15)</f>
        <v>FB 100B - MBP TRAILER N CONCOURSE</v>
      </c>
      <c r="E16" t="str">
        <f>IF(AND(ISNUMBER(SEARCH(" - ",TRIM('MSR RAW'!C16))),RIGHT(TRIM('MSR RAW'!C16),6)="Total:"),LEFT(TRIM('MSR RAW'!C16),SEARCH(" - ",TRIM('MSR RAW'!C16))-1),"")</f>
        <v>312115</v>
      </c>
      <c r="F16" t="str">
        <f>IF(E16="","",TRIM(MID(TRIM('MSR RAW'!C16),SEARCH(" - ",TRIM('MSR RAW'!C16))+3,LEN(TRIM('MSR RAW'!C16))-SEARCH(" - ",TRIM('MSR RAW'!C16))-9)))</f>
        <v>N/A BEVERAGE SALES - TAXABLE</v>
      </c>
      <c r="G16" t="str">
        <f>IF(E16="","",IFERROR(VLOOKUP(E16,'CATEGORY MAP'!$A$2:$B$20,2,FALSE()),"REVIEW"))</f>
        <v>FOOD/NON-ALC</v>
      </c>
      <c r="H16">
        <f>IF(E16="","",IFERROR(VALUE(SUBSTITUTE('MSR RAW'!P16,",","")),0))</f>
        <v>740.46</v>
      </c>
      <c r="I16">
        <f>IF(E16="","",IFERROR(VALUE(SUBSTITUTE('MSR RAW'!S16,",","")),0))</f>
        <v>688</v>
      </c>
    </row>
    <row r="17" spans="1:9" ht="68.650000000000006" customHeight="1" x14ac:dyDescent="0.2">
      <c r="A17">
        <v>17</v>
      </c>
      <c r="B1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7" t="str">
        <f>IF(LEFT(TRIM('MSR RAW'!A17),11)="Department:",TRIM('MSR RAW'!A17),C16)</f>
        <v>Department: 36127 - CONCESSIONS</v>
      </c>
      <c r="D17" t="str">
        <f>IF(LEFT(TRIM('MSR RAW'!B17),9)="Location:",TRIM(MID('MSR RAW'!B17,10,999)),D16)</f>
        <v>FB 100B - MBP TRAILER N CONCOURSE</v>
      </c>
      <c r="E17" t="str">
        <f>IF(AND(ISNUMBER(SEARCH(" - ",TRIM('MSR RAW'!C17))),RIGHT(TRIM('MSR RAW'!C17),6)="Total:"),LEFT(TRIM('MSR RAW'!C17),SEARCH(" - ",TRIM('MSR RAW'!C17))-1),"")</f>
        <v>313004</v>
      </c>
      <c r="F17" t="str">
        <f>IF(E17="","",TRIM(MID(TRIM('MSR RAW'!C17),SEARCH(" - ",TRIM('MSR RAW'!C17))+3,LEN(TRIM('MSR RAW'!C17))-SEARCH(" - ",TRIM('MSR RAW'!C17))-9)))</f>
        <v>LIQUOR SALES - TAXABLE</v>
      </c>
      <c r="G17" t="str">
        <f>IF(E17="","",IFERROR(VLOOKUP(E17,'CATEGORY MAP'!$A$2:$B$20,2,FALSE()),"REVIEW"))</f>
        <v>ALCOHOL</v>
      </c>
      <c r="H17">
        <f>IF(E17="","",IFERROR(VALUE(SUBSTITUTE('MSR RAW'!P17,",","")),0))</f>
        <v>2445.2399999999998</v>
      </c>
      <c r="I17">
        <f>IF(E17="","",IFERROR(VALUE(SUBSTITUTE('MSR RAW'!S17,",","")),0))</f>
        <v>2272</v>
      </c>
    </row>
    <row r="18" spans="1:9" ht="68.650000000000006" customHeight="1" x14ac:dyDescent="0.2">
      <c r="A18">
        <v>18</v>
      </c>
      <c r="B1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8" t="str">
        <f>IF(LEFT(TRIM('MSR RAW'!A18),11)="Department:",TRIM('MSR RAW'!A18),C17)</f>
        <v>Department: 36127 - CONCESSIONS</v>
      </c>
      <c r="D18" t="str">
        <f>IF(LEFT(TRIM('MSR RAW'!B18),9)="Location:",TRIM(MID('MSR RAW'!B18,10,999)),D17)</f>
        <v>FB 100B - MBP TRAILER N CONCOURSE</v>
      </c>
      <c r="E18" t="str">
        <f>IF(AND(ISNUMBER(SEARCH(" - ",TRIM('MSR RAW'!C18))),RIGHT(TRIM('MSR RAW'!C18),6)="Total:"),LEFT(TRIM('MSR RAW'!C18),SEARCH(" - ",TRIM('MSR RAW'!C18))-1),"")</f>
        <v>313082</v>
      </c>
      <c r="F18" t="str">
        <f>IF(E18="","",TRIM(MID(TRIM('MSR RAW'!C18),SEARCH(" - ",TRIM('MSR RAW'!C18))+3,LEN(TRIM('MSR RAW'!C18))-SEARCH(" - ",TRIM('MSR RAW'!C18))-9)))</f>
        <v>BEER PACKAGED SALES</v>
      </c>
      <c r="G18" t="str">
        <f>IF(E18="","",IFERROR(VLOOKUP(E18,'CATEGORY MAP'!$A$2:$B$20,2,FALSE()),"REVIEW"))</f>
        <v>ALCOHOL</v>
      </c>
      <c r="H18">
        <f>IF(E18="","",IFERROR(VALUE(SUBSTITUTE('MSR RAW'!P18,",","")),0))</f>
        <v>5021.78</v>
      </c>
      <c r="I18">
        <f>IF(E18="","",IFERROR(VALUE(SUBSTITUTE('MSR RAW'!S18,",","")),0))</f>
        <v>4666</v>
      </c>
    </row>
    <row r="19" spans="1:9" ht="68.650000000000006" customHeight="1" x14ac:dyDescent="0.2">
      <c r="A19">
        <v>19</v>
      </c>
      <c r="B1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9" t="str">
        <f>IF(LEFT(TRIM('MSR RAW'!A19),11)="Department:",TRIM('MSR RAW'!A19),C18)</f>
        <v>Department: 36127 - CONCESSIONS</v>
      </c>
      <c r="D19" t="str">
        <f>IF(LEFT(TRIM('MSR RAW'!B19),9)="Location:",TRIM(MID('MSR RAW'!B19,10,999)),D18)</f>
        <v>FB 100B - MBP TRAILER N CONCOURSE</v>
      </c>
      <c r="E19" t="str">
        <f>IF(AND(ISNUMBER(SEARCH(" - ",TRIM('MSR RAW'!C19))),RIGHT(TRIM('MSR RAW'!C19),6)="Total:"),LEFT(TRIM('MSR RAW'!C19),SEARCH(" - ",TRIM('MSR RAW'!C19))-1),"")</f>
        <v/>
      </c>
      <c r="F19" t="str">
        <f>IF(E19="","",TRIM(MID(TRIM('MSR RAW'!C19),SEARCH(" - ",TRIM('MSR RAW'!C19))+3,LEN(TRIM('MSR RAW'!C19))-SEARCH(" - ",TRIM('MSR RAW'!C19))-9)))</f>
        <v/>
      </c>
      <c r="G19" t="str">
        <f>IF(E19="","",IFERROR(VLOOKUP(E19,'CATEGORY MAP'!$A$2:$B$20,2,FALSE()),"REVIEW"))</f>
        <v/>
      </c>
      <c r="H19" t="str">
        <f>IF(E19="","",IFERROR(VALUE(SUBSTITUTE('MSR RAW'!P19,",","")),0))</f>
        <v/>
      </c>
      <c r="I19" t="str">
        <f>IF(E19="","",IFERROR(VALUE(SUBSTITUTE('MSR RAW'!S19,",","")),0))</f>
        <v/>
      </c>
    </row>
    <row r="20" spans="1:9" ht="68.650000000000006" customHeight="1" x14ac:dyDescent="0.2">
      <c r="A20">
        <v>20</v>
      </c>
      <c r="B2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0" t="str">
        <f>IF(LEFT(TRIM('MSR RAW'!A20),11)="Department:",TRIM('MSR RAW'!A20),C19)</f>
        <v>Department: 36127 - CONCESSIONS</v>
      </c>
      <c r="D20" t="str">
        <f>IF(LEFT(TRIM('MSR RAW'!B20),9)="Location:",TRIM(MID('MSR RAW'!B20,10,999)),D19)</f>
        <v>FB 101 - STADIUM SIPS SHACK SW</v>
      </c>
      <c r="E20" t="str">
        <f>IF(AND(ISNUMBER(SEARCH(" - ",TRIM('MSR RAW'!C20))),RIGHT(TRIM('MSR RAW'!C20),6)="Total:"),LEFT(TRIM('MSR RAW'!C20),SEARCH(" - ",TRIM('MSR RAW'!C20))-1),"")</f>
        <v/>
      </c>
      <c r="F20" t="str">
        <f>IF(E20="","",TRIM(MID(TRIM('MSR RAW'!C20),SEARCH(" - ",TRIM('MSR RAW'!C20))+3,LEN(TRIM('MSR RAW'!C20))-SEARCH(" - ",TRIM('MSR RAW'!C20))-9)))</f>
        <v/>
      </c>
      <c r="G20" t="str">
        <f>IF(E20="","",IFERROR(VLOOKUP(E20,'CATEGORY MAP'!$A$2:$B$20,2,FALSE()),"REVIEW"))</f>
        <v/>
      </c>
      <c r="H20" t="str">
        <f>IF(E20="","",IFERROR(VALUE(SUBSTITUTE('MSR RAW'!P20,",","")),0))</f>
        <v/>
      </c>
      <c r="I20" t="str">
        <f>IF(E20="","",IFERROR(VALUE(SUBSTITUTE('MSR RAW'!S20,",","")),0))</f>
        <v/>
      </c>
    </row>
    <row r="21" spans="1:9" ht="68.650000000000006" customHeight="1" x14ac:dyDescent="0.2">
      <c r="A21">
        <v>21</v>
      </c>
      <c r="B2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1" t="str">
        <f>IF(LEFT(TRIM('MSR RAW'!A21),11)="Department:",TRIM('MSR RAW'!A21),C20)</f>
        <v>Department: 36127 - CONCESSIONS</v>
      </c>
      <c r="D21" t="str">
        <f>IF(LEFT(TRIM('MSR RAW'!B21),9)="Location:",TRIM(MID('MSR RAW'!B21,10,999)),D20)</f>
        <v>FB 101 - STADIUM SIPS SHACK SW</v>
      </c>
      <c r="E21" t="str">
        <f>IF(AND(ISNUMBER(SEARCH(" - ",TRIM('MSR RAW'!C21))),RIGHT(TRIM('MSR RAW'!C21),6)="Total:"),LEFT(TRIM('MSR RAW'!C21),SEARCH(" - ",TRIM('MSR RAW'!C21))-1),"")</f>
        <v/>
      </c>
      <c r="F21" t="str">
        <f>IF(E21="","",TRIM(MID(TRIM('MSR RAW'!C21),SEARCH(" - ",TRIM('MSR RAW'!C21))+3,LEN(TRIM('MSR RAW'!C21))-SEARCH(" - ",TRIM('MSR RAW'!C21))-9)))</f>
        <v/>
      </c>
      <c r="G21" t="str">
        <f>IF(E21="","",IFERROR(VLOOKUP(E21,'CATEGORY MAP'!$A$2:$B$20,2,FALSE()),"REVIEW"))</f>
        <v/>
      </c>
      <c r="H21" t="str">
        <f>IF(E21="","",IFERROR(VALUE(SUBSTITUTE('MSR RAW'!P21,",","")),0))</f>
        <v/>
      </c>
      <c r="I21" t="str">
        <f>IF(E21="","",IFERROR(VALUE(SUBSTITUTE('MSR RAW'!S21,",","")),0))</f>
        <v/>
      </c>
    </row>
    <row r="22" spans="1:9" ht="68.650000000000006" customHeight="1" x14ac:dyDescent="0.2">
      <c r="A22">
        <v>22</v>
      </c>
      <c r="B2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2" t="str">
        <f>IF(LEFT(TRIM('MSR RAW'!A22),11)="Department:",TRIM('MSR RAW'!A22),C21)</f>
        <v>Department: 36127 - CONCESSIONS</v>
      </c>
      <c r="D22" t="str">
        <f>IF(LEFT(TRIM('MSR RAW'!B22),9)="Location:",TRIM(MID('MSR RAW'!B22,10,999)),D21)</f>
        <v>FB 101 - STADIUM SIPS SHACK SW</v>
      </c>
      <c r="E22" t="str">
        <f>IF(AND(ISNUMBER(SEARCH(" - ",TRIM('MSR RAW'!C22))),RIGHT(TRIM('MSR RAW'!C22),6)="Total:"),LEFT(TRIM('MSR RAW'!C22),SEARCH(" - ",TRIM('MSR RAW'!C22))-1),"")</f>
        <v>312115</v>
      </c>
      <c r="F22" t="str">
        <f>IF(E22="","",TRIM(MID(TRIM('MSR RAW'!C22),SEARCH(" - ",TRIM('MSR RAW'!C22))+3,LEN(TRIM('MSR RAW'!C22))-SEARCH(" - ",TRIM('MSR RAW'!C22))-9)))</f>
        <v>N/A BEVERAGE SALES - TAXABLE</v>
      </c>
      <c r="G22" t="str">
        <f>IF(E22="","",IFERROR(VLOOKUP(E22,'CATEGORY MAP'!$A$2:$B$20,2,FALSE()),"REVIEW"))</f>
        <v>FOOD/NON-ALC</v>
      </c>
      <c r="H22">
        <f>IF(E22="","",IFERROR(VALUE(SUBSTITUTE('MSR RAW'!P22,",","")),0))</f>
        <v>1730.61</v>
      </c>
      <c r="I22">
        <f>IF(E22="","",IFERROR(VALUE(SUBSTITUTE('MSR RAW'!S22,",","")),0))</f>
        <v>1608</v>
      </c>
    </row>
    <row r="23" spans="1:9" ht="68.650000000000006" customHeight="1" x14ac:dyDescent="0.2">
      <c r="A23">
        <v>23</v>
      </c>
      <c r="B2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3" t="str">
        <f>IF(LEFT(TRIM('MSR RAW'!A23),11)="Department:",TRIM('MSR RAW'!A23),C22)</f>
        <v>Department: 36127 - CONCESSIONS</v>
      </c>
      <c r="D23" t="str">
        <f>IF(LEFT(TRIM('MSR RAW'!B23),9)="Location:",TRIM(MID('MSR RAW'!B23,10,999)),D22)</f>
        <v>FB 101 - STADIUM SIPS SHACK SW</v>
      </c>
      <c r="E23" t="str">
        <f>IF(AND(ISNUMBER(SEARCH(" - ",TRIM('MSR RAW'!C23))),RIGHT(TRIM('MSR RAW'!C23),6)="Total:"),LEFT(TRIM('MSR RAW'!C23),SEARCH(" - ",TRIM('MSR RAW'!C23))-1),"")</f>
        <v>313000</v>
      </c>
      <c r="F23" t="str">
        <f>IF(E23="","",TRIM(MID(TRIM('MSR RAW'!C23),SEARCH(" - ",TRIM('MSR RAW'!C23))+3,LEN(TRIM('MSR RAW'!C23))-SEARCH(" - ",TRIM('MSR RAW'!C23))-9)))</f>
        <v>FOOD SALES - TAXABLE</v>
      </c>
      <c r="G23" t="str">
        <f>IF(E23="","",IFERROR(VLOOKUP(E23,'CATEGORY MAP'!$A$2:$B$20,2,FALSE()),"REVIEW"))</f>
        <v>FOOD/NON-ALC</v>
      </c>
      <c r="H23">
        <f>IF(E23="","",IFERROR(VALUE(SUBSTITUTE('MSR RAW'!P23,",","")),0))</f>
        <v>492.92</v>
      </c>
      <c r="I23">
        <f>IF(E23="","",IFERROR(VALUE(SUBSTITUTE('MSR RAW'!S23,",","")),0))</f>
        <v>458</v>
      </c>
    </row>
    <row r="24" spans="1:9" ht="68.650000000000006" customHeight="1" x14ac:dyDescent="0.2">
      <c r="A24">
        <v>24</v>
      </c>
      <c r="B2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4" t="str">
        <f>IF(LEFT(TRIM('MSR RAW'!A24),11)="Department:",TRIM('MSR RAW'!A24),C23)</f>
        <v>Department: 36127 - CONCESSIONS</v>
      </c>
      <c r="D24" t="str">
        <f>IF(LEFT(TRIM('MSR RAW'!B24),9)="Location:",TRIM(MID('MSR RAW'!B24,10,999)),D23)</f>
        <v>FB 101 - STADIUM SIPS SHACK SW</v>
      </c>
      <c r="E24" t="str">
        <f>IF(AND(ISNUMBER(SEARCH(" - ",TRIM('MSR RAW'!C24))),RIGHT(TRIM('MSR RAW'!C24),6)="Total:"),LEFT(TRIM('MSR RAW'!C24),SEARCH(" - ",TRIM('MSR RAW'!C24))-1),"")</f>
        <v>313004</v>
      </c>
      <c r="F24" t="str">
        <f>IF(E24="","",TRIM(MID(TRIM('MSR RAW'!C24),SEARCH(" - ",TRIM('MSR RAW'!C24))+3,LEN(TRIM('MSR RAW'!C24))-SEARCH(" - ",TRIM('MSR RAW'!C24))-9)))</f>
        <v>LIQUOR SALES - TAXABLE</v>
      </c>
      <c r="G24" t="str">
        <f>IF(E24="","",IFERROR(VLOOKUP(E24,'CATEGORY MAP'!$A$2:$B$20,2,FALSE()),"REVIEW"))</f>
        <v>ALCOHOL</v>
      </c>
      <c r="H24">
        <f>IF(E24="","",IFERROR(VALUE(SUBSTITUTE('MSR RAW'!P24,",","")),0))</f>
        <v>1894.2</v>
      </c>
      <c r="I24">
        <f>IF(E24="","",IFERROR(VALUE(SUBSTITUTE('MSR RAW'!S24,",","")),0))</f>
        <v>1760</v>
      </c>
    </row>
    <row r="25" spans="1:9" ht="68.650000000000006" customHeight="1" x14ac:dyDescent="0.2">
      <c r="A25">
        <v>25</v>
      </c>
      <c r="B2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5" t="str">
        <f>IF(LEFT(TRIM('MSR RAW'!A25),11)="Department:",TRIM('MSR RAW'!A25),C24)</f>
        <v>Department: 36127 - CONCESSIONS</v>
      </c>
      <c r="D25" t="str">
        <f>IF(LEFT(TRIM('MSR RAW'!B25),9)="Location:",TRIM(MID('MSR RAW'!B25,10,999)),D24)</f>
        <v>FB 101 - STADIUM SIPS SHACK SW</v>
      </c>
      <c r="E25" t="str">
        <f>IF(AND(ISNUMBER(SEARCH(" - ",TRIM('MSR RAW'!C25))),RIGHT(TRIM('MSR RAW'!C25),6)="Total:"),LEFT(TRIM('MSR RAW'!C25),SEARCH(" - ",TRIM('MSR RAW'!C25))-1),"")</f>
        <v>313082</v>
      </c>
      <c r="F25" t="str">
        <f>IF(E25="","",TRIM(MID(TRIM('MSR RAW'!C25),SEARCH(" - ",TRIM('MSR RAW'!C25))+3,LEN(TRIM('MSR RAW'!C25))-SEARCH(" - ",TRIM('MSR RAW'!C25))-9)))</f>
        <v>BEER PACKAGED SALES</v>
      </c>
      <c r="G25" t="str">
        <f>IF(E25="","",IFERROR(VLOOKUP(E25,'CATEGORY MAP'!$A$2:$B$20,2,FALSE()),"REVIEW"))</f>
        <v>ALCOHOL</v>
      </c>
      <c r="H25">
        <f>IF(E25="","",IFERROR(VALUE(SUBSTITUTE('MSR RAW'!P25,",","")),0))</f>
        <v>4994.34</v>
      </c>
      <c r="I25">
        <f>IF(E25="","",IFERROR(VALUE(SUBSTITUTE('MSR RAW'!S25,",","")),0))</f>
        <v>4640.5</v>
      </c>
    </row>
    <row r="26" spans="1:9" ht="68.650000000000006" customHeight="1" x14ac:dyDescent="0.2">
      <c r="A26">
        <v>26</v>
      </c>
      <c r="B2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6" t="str">
        <f>IF(LEFT(TRIM('MSR RAW'!A26),11)="Department:",TRIM('MSR RAW'!A26),C25)</f>
        <v>Department: 36127 - CONCESSIONS</v>
      </c>
      <c r="D26" t="str">
        <f>IF(LEFT(TRIM('MSR RAW'!B26),9)="Location:",TRIM(MID('MSR RAW'!B26,10,999)),D25)</f>
        <v>FB 101 - STADIUM SIPS SHACK SW</v>
      </c>
      <c r="E26" t="str">
        <f>IF(AND(ISNUMBER(SEARCH(" - ",TRIM('MSR RAW'!C26))),RIGHT(TRIM('MSR RAW'!C26),6)="Total:"),LEFT(TRIM('MSR RAW'!C26),SEARCH(" - ",TRIM('MSR RAW'!C26))-1),"")</f>
        <v>FF-312114</v>
      </c>
      <c r="F26" t="str">
        <f>IF(E26="","",TRIM(MID(TRIM('MSR RAW'!C26),SEARCH(" - ",TRIM('MSR RAW'!C26))+3,LEN(TRIM('MSR RAW'!C26))-SEARCH(" - ",TRIM('MSR RAW'!C26))-9)))</f>
        <v>N/A BEV SALE DISC. FAN FRIENDLY (CC36636)</v>
      </c>
      <c r="G26" t="str">
        <f>IF(E26="","",IFERROR(VLOOKUP(E26,'CATEGORY MAP'!$A$2:$B$20,2,FALSE()),"REVIEW"))</f>
        <v>FOOD/NON-ALC</v>
      </c>
      <c r="H26">
        <f>IF(E26="","",IFERROR(VALUE(SUBSTITUTE('MSR RAW'!P26,",","")),0))</f>
        <v>822.26</v>
      </c>
      <c r="I26">
        <f>IF(E26="","",IFERROR(VALUE(SUBSTITUTE('MSR RAW'!S26,",","")),0))</f>
        <v>764</v>
      </c>
    </row>
    <row r="27" spans="1:9" ht="68.650000000000006" customHeight="1" x14ac:dyDescent="0.2">
      <c r="A27">
        <v>27</v>
      </c>
      <c r="B2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7" t="str">
        <f>IF(LEFT(TRIM('MSR RAW'!A27),11)="Department:",TRIM('MSR RAW'!A27),C26)</f>
        <v>Department: 36127 - CONCESSIONS</v>
      </c>
      <c r="D27" t="str">
        <f>IF(LEFT(TRIM('MSR RAW'!B27),9)="Location:",TRIM(MID('MSR RAW'!B27,10,999)),D26)</f>
        <v>FB 101 - STADIUM SIPS SHACK SW</v>
      </c>
      <c r="E27" t="str">
        <f>IF(AND(ISNUMBER(SEARCH(" - ",TRIM('MSR RAW'!C27))),RIGHT(TRIM('MSR RAW'!C27),6)="Total:"),LEFT(TRIM('MSR RAW'!C27),SEARCH(" - ",TRIM('MSR RAW'!C27))-1),"")</f>
        <v>FF-313076</v>
      </c>
      <c r="F27" t="str">
        <f>IF(E27="","",TRIM(MID(TRIM('MSR RAW'!C27),SEARCH(" - ",TRIM('MSR RAW'!C27))+3,LEN(TRIM('MSR RAW'!C27))-SEARCH(" - ",TRIM('MSR RAW'!C27))-9)))</f>
        <v>FOOD SALES DISC. FAN FRIENDLY (CC36636)</v>
      </c>
      <c r="G27" t="str">
        <f>IF(E27="","",IFERROR(VLOOKUP(E27,'CATEGORY MAP'!$A$2:$B$20,2,FALSE()),"REVIEW"))</f>
        <v>FOOD/NON-ALC</v>
      </c>
      <c r="H27">
        <f>IF(E27="","",IFERROR(VALUE(SUBSTITUTE('MSR RAW'!P27,",","")),0))</f>
        <v>443.42</v>
      </c>
      <c r="I27">
        <f>IF(E27="","",IFERROR(VALUE(SUBSTITUTE('MSR RAW'!S27,",","")),0))</f>
        <v>412</v>
      </c>
    </row>
    <row r="28" spans="1:9" ht="68.650000000000006" customHeight="1" x14ac:dyDescent="0.2">
      <c r="A28">
        <v>28</v>
      </c>
      <c r="B2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8" t="str">
        <f>IF(LEFT(TRIM('MSR RAW'!A28),11)="Department:",TRIM('MSR RAW'!A28),C27)</f>
        <v>Department: 36127 - CONCESSIONS</v>
      </c>
      <c r="D28" t="str">
        <f>IF(LEFT(TRIM('MSR RAW'!B28),9)="Location:",TRIM(MID('MSR RAW'!B28,10,999)),D27)</f>
        <v>FB 101 - STADIUM SIPS SHACK SW</v>
      </c>
      <c r="E28" t="str">
        <f>IF(AND(ISNUMBER(SEARCH(" - ",TRIM('MSR RAW'!C28))),RIGHT(TRIM('MSR RAW'!C28),6)="Total:"),LEFT(TRIM('MSR RAW'!C28),SEARCH(" - ",TRIM('MSR RAW'!C28))-1),"")</f>
        <v/>
      </c>
      <c r="F28" t="str">
        <f>IF(E28="","",TRIM(MID(TRIM('MSR RAW'!C28),SEARCH(" - ",TRIM('MSR RAW'!C28))+3,LEN(TRIM('MSR RAW'!C28))-SEARCH(" - ",TRIM('MSR RAW'!C28))-9)))</f>
        <v/>
      </c>
      <c r="G28" t="str">
        <f>IF(E28="","",IFERROR(VLOOKUP(E28,'CATEGORY MAP'!$A$2:$B$20,2,FALSE()),"REVIEW"))</f>
        <v/>
      </c>
      <c r="H28" t="str">
        <f>IF(E28="","",IFERROR(VALUE(SUBSTITUTE('MSR RAW'!P28,",","")),0))</f>
        <v/>
      </c>
      <c r="I28" t="str">
        <f>IF(E28="","",IFERROR(VALUE(SUBSTITUTE('MSR RAW'!S28,",","")),0))</f>
        <v/>
      </c>
    </row>
    <row r="29" spans="1:9" ht="68.650000000000006" customHeight="1" x14ac:dyDescent="0.2">
      <c r="A29">
        <v>29</v>
      </c>
      <c r="B2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9" t="str">
        <f>IF(LEFT(TRIM('MSR RAW'!A29),11)="Department:",TRIM('MSR RAW'!A29),C28)</f>
        <v>Department: 36127 - CONCESSIONS</v>
      </c>
      <c r="D29" t="str">
        <f>IF(LEFT(TRIM('MSR RAW'!B29),9)="Location:",TRIM(MID('MSR RAW'!B29,10,999)),D28)</f>
        <v>FB 102 - TOWER SOUTH</v>
      </c>
      <c r="E29" t="str">
        <f>IF(AND(ISNUMBER(SEARCH(" - ",TRIM('MSR RAW'!C29))),RIGHT(TRIM('MSR RAW'!C29),6)="Total:"),LEFT(TRIM('MSR RAW'!C29),SEARCH(" - ",TRIM('MSR RAW'!C29))-1),"")</f>
        <v/>
      </c>
      <c r="F29" t="str">
        <f>IF(E29="","",TRIM(MID(TRIM('MSR RAW'!C29),SEARCH(" - ",TRIM('MSR RAW'!C29))+3,LEN(TRIM('MSR RAW'!C29))-SEARCH(" - ",TRIM('MSR RAW'!C29))-9)))</f>
        <v/>
      </c>
      <c r="G29" t="str">
        <f>IF(E29="","",IFERROR(VLOOKUP(E29,'CATEGORY MAP'!$A$2:$B$20,2,FALSE()),"REVIEW"))</f>
        <v/>
      </c>
      <c r="H29" t="str">
        <f>IF(E29="","",IFERROR(VALUE(SUBSTITUTE('MSR RAW'!P29,",","")),0))</f>
        <v/>
      </c>
      <c r="I29" t="str">
        <f>IF(E29="","",IFERROR(VALUE(SUBSTITUTE('MSR RAW'!S29,",","")),0))</f>
        <v/>
      </c>
    </row>
    <row r="30" spans="1:9" ht="68.650000000000006" customHeight="1" x14ac:dyDescent="0.2">
      <c r="A30">
        <v>30</v>
      </c>
      <c r="B3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0" t="str">
        <f>IF(LEFT(TRIM('MSR RAW'!A30),11)="Department:",TRIM('MSR RAW'!A30),C29)</f>
        <v>Department: 36127 - CONCESSIONS</v>
      </c>
      <c r="D30" t="str">
        <f>IF(LEFT(TRIM('MSR RAW'!B30),9)="Location:",TRIM(MID('MSR RAW'!B30,10,999)),D29)</f>
        <v>FB 102 - TOWER SOUTH</v>
      </c>
      <c r="E30" t="str">
        <f>IF(AND(ISNUMBER(SEARCH(" - ",TRIM('MSR RAW'!C30))),RIGHT(TRIM('MSR RAW'!C30),6)="Total:"),LEFT(TRIM('MSR RAW'!C30),SEARCH(" - ",TRIM('MSR RAW'!C30))-1),"")</f>
        <v/>
      </c>
      <c r="F30" t="str">
        <f>IF(E30="","",TRIM(MID(TRIM('MSR RAW'!C30),SEARCH(" - ",TRIM('MSR RAW'!C30))+3,LEN(TRIM('MSR RAW'!C30))-SEARCH(" - ",TRIM('MSR RAW'!C30))-9)))</f>
        <v/>
      </c>
      <c r="G30" t="str">
        <f>IF(E30="","",IFERROR(VLOOKUP(E30,'CATEGORY MAP'!$A$2:$B$20,2,FALSE()),"REVIEW"))</f>
        <v/>
      </c>
      <c r="H30" t="str">
        <f>IF(E30="","",IFERROR(VALUE(SUBSTITUTE('MSR RAW'!P30,",","")),0))</f>
        <v/>
      </c>
      <c r="I30" t="str">
        <f>IF(E30="","",IFERROR(VALUE(SUBSTITUTE('MSR RAW'!S30,",","")),0))</f>
        <v/>
      </c>
    </row>
    <row r="31" spans="1:9" ht="68.650000000000006" customHeight="1" x14ac:dyDescent="0.2">
      <c r="A31">
        <v>31</v>
      </c>
      <c r="B3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1" t="str">
        <f>IF(LEFT(TRIM('MSR RAW'!A31),11)="Department:",TRIM('MSR RAW'!A31),C30)</f>
        <v>Department: 36127 - CONCESSIONS</v>
      </c>
      <c r="D31" t="str">
        <f>IF(LEFT(TRIM('MSR RAW'!B31),9)="Location:",TRIM(MID('MSR RAW'!B31,10,999)),D30)</f>
        <v>FB 102 - TOWER SOUTH</v>
      </c>
      <c r="E31" t="str">
        <f>IF(AND(ISNUMBER(SEARCH(" - ",TRIM('MSR RAW'!C31))),RIGHT(TRIM('MSR RAW'!C31),6)="Total:"),LEFT(TRIM('MSR RAW'!C31),SEARCH(" - ",TRIM('MSR RAW'!C31))-1),"")</f>
        <v>312115</v>
      </c>
      <c r="F31" t="str">
        <f>IF(E31="","",TRIM(MID(TRIM('MSR RAW'!C31),SEARCH(" - ",TRIM('MSR RAW'!C31))+3,LEN(TRIM('MSR RAW'!C31))-SEARCH(" - ",TRIM('MSR RAW'!C31))-9)))</f>
        <v>N/A BEVERAGE SALES - TAXABLE</v>
      </c>
      <c r="G31" t="str">
        <f>IF(E31="","",IFERROR(VLOOKUP(E31,'CATEGORY MAP'!$A$2:$B$20,2,FALSE()),"REVIEW"))</f>
        <v>FOOD/NON-ALC</v>
      </c>
      <c r="H31">
        <f>IF(E31="","",IFERROR(VALUE(SUBSTITUTE('MSR RAW'!P31,",","")),0))</f>
        <v>1379.75</v>
      </c>
      <c r="I31">
        <f>IF(E31="","",IFERROR(VALUE(SUBSTITUTE('MSR RAW'!S31,",","")),0))</f>
        <v>1282</v>
      </c>
    </row>
    <row r="32" spans="1:9" ht="68.650000000000006" customHeight="1" x14ac:dyDescent="0.2">
      <c r="A32">
        <v>32</v>
      </c>
      <c r="B3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2" t="str">
        <f>IF(LEFT(TRIM('MSR RAW'!A32),11)="Department:",TRIM('MSR RAW'!A32),C31)</f>
        <v>Department: 36127 - CONCESSIONS</v>
      </c>
      <c r="D32" t="str">
        <f>IF(LEFT(TRIM('MSR RAW'!B32),9)="Location:",TRIM(MID('MSR RAW'!B32,10,999)),D31)</f>
        <v>FB 102 - TOWER SOUTH</v>
      </c>
      <c r="E32" t="str">
        <f>IF(AND(ISNUMBER(SEARCH(" - ",TRIM('MSR RAW'!C32))),RIGHT(TRIM('MSR RAW'!C32),6)="Total:"),LEFT(TRIM('MSR RAW'!C32),SEARCH(" - ",TRIM('MSR RAW'!C32))-1),"")</f>
        <v>313000</v>
      </c>
      <c r="F32" t="str">
        <f>IF(E32="","",TRIM(MID(TRIM('MSR RAW'!C32),SEARCH(" - ",TRIM('MSR RAW'!C32))+3,LEN(TRIM('MSR RAW'!C32))-SEARCH(" - ",TRIM('MSR RAW'!C32))-9)))</f>
        <v>FOOD SALES - TAXABLE</v>
      </c>
      <c r="G32" t="str">
        <f>IF(E32="","",IFERROR(VLOOKUP(E32,'CATEGORY MAP'!$A$2:$B$20,2,FALSE()),"REVIEW"))</f>
        <v>FOOD/NON-ALC</v>
      </c>
      <c r="H32">
        <f>IF(E32="","",IFERROR(VALUE(SUBSTITUTE('MSR RAW'!P32,",","")),0))</f>
        <v>2197.6999999999998</v>
      </c>
      <c r="I32">
        <f>IF(E32="","",IFERROR(VALUE(SUBSTITUTE('MSR RAW'!S32,",","")),0))</f>
        <v>2042</v>
      </c>
    </row>
    <row r="33" spans="1:9" ht="68.650000000000006" customHeight="1" x14ac:dyDescent="0.2">
      <c r="A33">
        <v>33</v>
      </c>
      <c r="B3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3" t="str">
        <f>IF(LEFT(TRIM('MSR RAW'!A33),11)="Department:",TRIM('MSR RAW'!A33),C32)</f>
        <v>Department: 36127 - CONCESSIONS</v>
      </c>
      <c r="D33" t="str">
        <f>IF(LEFT(TRIM('MSR RAW'!B33),9)="Location:",TRIM(MID('MSR RAW'!B33,10,999)),D32)</f>
        <v>FB 102 - TOWER SOUTH</v>
      </c>
      <c r="E33" t="str">
        <f>IF(AND(ISNUMBER(SEARCH(" - ",TRIM('MSR RAW'!C33))),RIGHT(TRIM('MSR RAW'!C33),6)="Total:"),LEFT(TRIM('MSR RAW'!C33),SEARCH(" - ",TRIM('MSR RAW'!C33))-1),"")</f>
        <v>313004</v>
      </c>
      <c r="F33" t="str">
        <f>IF(E33="","",TRIM(MID(TRIM('MSR RAW'!C33),SEARCH(" - ",TRIM('MSR RAW'!C33))+3,LEN(TRIM('MSR RAW'!C33))-SEARCH(" - ",TRIM('MSR RAW'!C33))-9)))</f>
        <v>LIQUOR SALES - TAXABLE</v>
      </c>
      <c r="G33" t="str">
        <f>IF(E33="","",IFERROR(VLOOKUP(E33,'CATEGORY MAP'!$A$2:$B$20,2,FALSE()),"REVIEW"))</f>
        <v>ALCOHOL</v>
      </c>
      <c r="H33">
        <f>IF(E33="","",IFERROR(VALUE(SUBSTITUTE('MSR RAW'!P33,",","")),0))</f>
        <v>533.82000000000005</v>
      </c>
      <c r="I33">
        <f>IF(E33="","",IFERROR(VALUE(SUBSTITUTE('MSR RAW'!S33,",","")),0))</f>
        <v>496</v>
      </c>
    </row>
    <row r="34" spans="1:9" ht="68.650000000000006" customHeight="1" x14ac:dyDescent="0.2">
      <c r="A34">
        <v>34</v>
      </c>
      <c r="B3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4" t="str">
        <f>IF(LEFT(TRIM('MSR RAW'!A34),11)="Department:",TRIM('MSR RAW'!A34),C33)</f>
        <v>Department: 36127 - CONCESSIONS</v>
      </c>
      <c r="D34" t="str">
        <f>IF(LEFT(TRIM('MSR RAW'!B34),9)="Location:",TRIM(MID('MSR RAW'!B34,10,999)),D33)</f>
        <v>FB 102 - TOWER SOUTH</v>
      </c>
      <c r="E34" t="str">
        <f>IF(AND(ISNUMBER(SEARCH(" - ",TRIM('MSR RAW'!C34))),RIGHT(TRIM('MSR RAW'!C34),6)="Total:"),LEFT(TRIM('MSR RAW'!C34),SEARCH(" - ",TRIM('MSR RAW'!C34))-1),"")</f>
        <v>313082</v>
      </c>
      <c r="F34" t="str">
        <f>IF(E34="","",TRIM(MID(TRIM('MSR RAW'!C34),SEARCH(" - ",TRIM('MSR RAW'!C34))+3,LEN(TRIM('MSR RAW'!C34))-SEARCH(" - ",TRIM('MSR RAW'!C34))-9)))</f>
        <v>BEER PACKAGED SALES</v>
      </c>
      <c r="G34" t="str">
        <f>IF(E34="","",IFERROR(VLOOKUP(E34,'CATEGORY MAP'!$A$2:$B$20,2,FALSE()),"REVIEW"))</f>
        <v>ALCOHOL</v>
      </c>
      <c r="H34">
        <f>IF(E34="","",IFERROR(VALUE(SUBSTITUTE('MSR RAW'!P34,",","")),0))</f>
        <v>1994.83</v>
      </c>
      <c r="I34">
        <f>IF(E34="","",IFERROR(VALUE(SUBSTITUTE('MSR RAW'!S34,",","")),0))</f>
        <v>1853.5</v>
      </c>
    </row>
    <row r="35" spans="1:9" ht="68.650000000000006" customHeight="1" x14ac:dyDescent="0.2">
      <c r="A35">
        <v>35</v>
      </c>
      <c r="B3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5" t="str">
        <f>IF(LEFT(TRIM('MSR RAW'!A35),11)="Department:",TRIM('MSR RAW'!A35),C34)</f>
        <v>Department: 36127 - CONCESSIONS</v>
      </c>
      <c r="D35" t="str">
        <f>IF(LEFT(TRIM('MSR RAW'!B35),9)="Location:",TRIM(MID('MSR RAW'!B35,10,999)),D34)</f>
        <v>FB 102 - TOWER SOUTH</v>
      </c>
      <c r="E35" t="str">
        <f>IF(AND(ISNUMBER(SEARCH(" - ",TRIM('MSR RAW'!C35))),RIGHT(TRIM('MSR RAW'!C35),6)="Total:"),LEFT(TRIM('MSR RAW'!C35),SEARCH(" - ",TRIM('MSR RAW'!C35))-1),"")</f>
        <v>FF-312114</v>
      </c>
      <c r="F35" t="str">
        <f>IF(E35="","",TRIM(MID(TRIM('MSR RAW'!C35),SEARCH(" - ",TRIM('MSR RAW'!C35))+3,LEN(TRIM('MSR RAW'!C35))-SEARCH(" - ",TRIM('MSR RAW'!C35))-9)))</f>
        <v>N/A BEV SALE DISC. FAN FRIENDLY (CC36636)</v>
      </c>
      <c r="G35" t="str">
        <f>IF(E35="","",IFERROR(VLOOKUP(E35,'CATEGORY MAP'!$A$2:$B$20,2,FALSE()),"REVIEW"))</f>
        <v>FOOD/NON-ALC</v>
      </c>
      <c r="H35">
        <f>IF(E35="","",IFERROR(VALUE(SUBSTITUTE('MSR RAW'!P35,",","")),0))</f>
        <v>938.49</v>
      </c>
      <c r="I35">
        <f>IF(E35="","",IFERROR(VALUE(SUBSTITUTE('MSR RAW'!S35,",","")),0))</f>
        <v>872</v>
      </c>
    </row>
    <row r="36" spans="1:9" ht="68.650000000000006" customHeight="1" x14ac:dyDescent="0.2">
      <c r="A36">
        <v>36</v>
      </c>
      <c r="B3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6" t="str">
        <f>IF(LEFT(TRIM('MSR RAW'!A36),11)="Department:",TRIM('MSR RAW'!A36),C35)</f>
        <v>Department: 36127 - CONCESSIONS</v>
      </c>
      <c r="D36" t="str">
        <f>IF(LEFT(TRIM('MSR RAW'!B36),9)="Location:",TRIM(MID('MSR RAW'!B36,10,999)),D35)</f>
        <v>FB 102 - TOWER SOUTH</v>
      </c>
      <c r="E36" t="str">
        <f>IF(AND(ISNUMBER(SEARCH(" - ",TRIM('MSR RAW'!C36))),RIGHT(TRIM('MSR RAW'!C36),6)="Total:"),LEFT(TRIM('MSR RAW'!C36),SEARCH(" - ",TRIM('MSR RAW'!C36))-1),"")</f>
        <v>FF-313076</v>
      </c>
      <c r="F36" t="str">
        <f>IF(E36="","",TRIM(MID(TRIM('MSR RAW'!C36),SEARCH(" - ",TRIM('MSR RAW'!C36))+3,LEN(TRIM('MSR RAW'!C36))-SEARCH(" - ",TRIM('MSR RAW'!C36))-9)))</f>
        <v>FOOD SALES DISC. FAN FRIENDLY (CC36636)</v>
      </c>
      <c r="G36" t="str">
        <f>IF(E36="","",IFERROR(VLOOKUP(E36,'CATEGORY MAP'!$A$2:$B$20,2,FALSE()),"REVIEW"))</f>
        <v>FOOD/NON-ALC</v>
      </c>
      <c r="H36">
        <f>IF(E36="","",IFERROR(VALUE(SUBSTITUTE('MSR RAW'!P36,",","")),0))</f>
        <v>792.12</v>
      </c>
      <c r="I36">
        <f>IF(E36="","",IFERROR(VALUE(SUBSTITUTE('MSR RAW'!S36,",","")),0))</f>
        <v>736</v>
      </c>
    </row>
    <row r="37" spans="1:9" ht="68.650000000000006" customHeight="1" x14ac:dyDescent="0.2">
      <c r="A37">
        <v>37</v>
      </c>
      <c r="B3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7" t="str">
        <f>IF(LEFT(TRIM('MSR RAW'!A37),11)="Department:",TRIM('MSR RAW'!A37),C36)</f>
        <v>Department: 36127 - CONCESSIONS</v>
      </c>
      <c r="D37" t="str">
        <f>IF(LEFT(TRIM('MSR RAW'!B37),9)="Location:",TRIM(MID('MSR RAW'!B37,10,999)),D36)</f>
        <v>FB 102 - TOWER SOUTH</v>
      </c>
      <c r="E37" t="str">
        <f>IF(AND(ISNUMBER(SEARCH(" - ",TRIM('MSR RAW'!C37))),RIGHT(TRIM('MSR RAW'!C37),6)="Total:"),LEFT(TRIM('MSR RAW'!C37),SEARCH(" - ",TRIM('MSR RAW'!C37))-1),"")</f>
        <v/>
      </c>
      <c r="F37" t="str">
        <f>IF(E37="","",TRIM(MID(TRIM('MSR RAW'!C37),SEARCH(" - ",TRIM('MSR RAW'!C37))+3,LEN(TRIM('MSR RAW'!C37))-SEARCH(" - ",TRIM('MSR RAW'!C37))-9)))</f>
        <v/>
      </c>
      <c r="G37" t="str">
        <f>IF(E37="","",IFERROR(VLOOKUP(E37,'CATEGORY MAP'!$A$2:$B$20,2,FALSE()),"REVIEW"))</f>
        <v/>
      </c>
      <c r="H37" t="str">
        <f>IF(E37="","",IFERROR(VALUE(SUBSTITUTE('MSR RAW'!P37,",","")),0))</f>
        <v/>
      </c>
      <c r="I37" t="str">
        <f>IF(E37="","",IFERROR(VALUE(SUBSTITUTE('MSR RAW'!S37,",","")),0))</f>
        <v/>
      </c>
    </row>
    <row r="38" spans="1:9" ht="68.650000000000006" customHeight="1" x14ac:dyDescent="0.2">
      <c r="A38">
        <v>38</v>
      </c>
      <c r="B3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8" t="str">
        <f>IF(LEFT(TRIM('MSR RAW'!A38),11)="Department:",TRIM('MSR RAW'!A38),C37)</f>
        <v>Department: 36127 - CONCESSIONS</v>
      </c>
      <c r="D38" t="str">
        <f>IF(LEFT(TRIM('MSR RAW'!B38),9)="Location:",TRIM(MID('MSR RAW'!B38,10,999)),D37)</f>
        <v>FB 103 - TOWER NORTH</v>
      </c>
      <c r="E38" t="str">
        <f>IF(AND(ISNUMBER(SEARCH(" - ",TRIM('MSR RAW'!C38))),RIGHT(TRIM('MSR RAW'!C38),6)="Total:"),LEFT(TRIM('MSR RAW'!C38),SEARCH(" - ",TRIM('MSR RAW'!C38))-1),"")</f>
        <v/>
      </c>
      <c r="F38" t="str">
        <f>IF(E38="","",TRIM(MID(TRIM('MSR RAW'!C38),SEARCH(" - ",TRIM('MSR RAW'!C38))+3,LEN(TRIM('MSR RAW'!C38))-SEARCH(" - ",TRIM('MSR RAW'!C38))-9)))</f>
        <v/>
      </c>
      <c r="G38" t="str">
        <f>IF(E38="","",IFERROR(VLOOKUP(E38,'CATEGORY MAP'!$A$2:$B$20,2,FALSE()),"REVIEW"))</f>
        <v/>
      </c>
      <c r="H38" t="str">
        <f>IF(E38="","",IFERROR(VALUE(SUBSTITUTE('MSR RAW'!P38,",","")),0))</f>
        <v/>
      </c>
      <c r="I38" t="str">
        <f>IF(E38="","",IFERROR(VALUE(SUBSTITUTE('MSR RAW'!S38,",","")),0))</f>
        <v/>
      </c>
    </row>
    <row r="39" spans="1:9" ht="68.650000000000006" customHeight="1" x14ac:dyDescent="0.2">
      <c r="A39">
        <v>39</v>
      </c>
      <c r="B3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9" t="str">
        <f>IF(LEFT(TRIM('MSR RAW'!A39),11)="Department:",TRIM('MSR RAW'!A39),C38)</f>
        <v>Department: 36127 - CONCESSIONS</v>
      </c>
      <c r="D39" t="str">
        <f>IF(LEFT(TRIM('MSR RAW'!B39),9)="Location:",TRIM(MID('MSR RAW'!B39,10,999)),D38)</f>
        <v>FB 103 - TOWER NORTH</v>
      </c>
      <c r="E39" t="str">
        <f>IF(AND(ISNUMBER(SEARCH(" - ",TRIM('MSR RAW'!C39))),RIGHT(TRIM('MSR RAW'!C39),6)="Total:"),LEFT(TRIM('MSR RAW'!C39),SEARCH(" - ",TRIM('MSR RAW'!C39))-1),"")</f>
        <v/>
      </c>
      <c r="F39" t="str">
        <f>IF(E39="","",TRIM(MID(TRIM('MSR RAW'!C39),SEARCH(" - ",TRIM('MSR RAW'!C39))+3,LEN(TRIM('MSR RAW'!C39))-SEARCH(" - ",TRIM('MSR RAW'!C39))-9)))</f>
        <v/>
      </c>
      <c r="G39" t="str">
        <f>IF(E39="","",IFERROR(VLOOKUP(E39,'CATEGORY MAP'!$A$2:$B$20,2,FALSE()),"REVIEW"))</f>
        <v/>
      </c>
      <c r="H39" t="str">
        <f>IF(E39="","",IFERROR(VALUE(SUBSTITUTE('MSR RAW'!P39,",","")),0))</f>
        <v/>
      </c>
      <c r="I39" t="str">
        <f>IF(E39="","",IFERROR(VALUE(SUBSTITUTE('MSR RAW'!S39,",","")),0))</f>
        <v/>
      </c>
    </row>
    <row r="40" spans="1:9" ht="68.650000000000006" customHeight="1" x14ac:dyDescent="0.2">
      <c r="A40">
        <v>40</v>
      </c>
      <c r="B4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0" t="str">
        <f>IF(LEFT(TRIM('MSR RAW'!A40),11)="Department:",TRIM('MSR RAW'!A40),C39)</f>
        <v>Department: 36127 - CONCESSIONS</v>
      </c>
      <c r="D40" t="str">
        <f>IF(LEFT(TRIM('MSR RAW'!B40),9)="Location:",TRIM(MID('MSR RAW'!B40,10,999)),D39)</f>
        <v>FB 103 - TOWER NORTH</v>
      </c>
      <c r="E40" t="str">
        <f>IF(AND(ISNUMBER(SEARCH(" - ",TRIM('MSR RAW'!C40))),RIGHT(TRIM('MSR RAW'!C40),6)="Total:"),LEFT(TRIM('MSR RAW'!C40),SEARCH(" - ",TRIM('MSR RAW'!C40))-1),"")</f>
        <v>312115</v>
      </c>
      <c r="F40" t="str">
        <f>IF(E40="","",TRIM(MID(TRIM('MSR RAW'!C40),SEARCH(" - ",TRIM('MSR RAW'!C40))+3,LEN(TRIM('MSR RAW'!C40))-SEARCH(" - ",TRIM('MSR RAW'!C40))-9)))</f>
        <v>N/A BEVERAGE SALES - TAXABLE</v>
      </c>
      <c r="G40" t="str">
        <f>IF(E40="","",IFERROR(VLOOKUP(E40,'CATEGORY MAP'!$A$2:$B$20,2,FALSE()),"REVIEW"))</f>
        <v>FOOD/NON-ALC</v>
      </c>
      <c r="H40">
        <f>IF(E40="","",IFERROR(VALUE(SUBSTITUTE('MSR RAW'!P40,",","")),0))</f>
        <v>1300.1099999999999</v>
      </c>
      <c r="I40">
        <f>IF(E40="","",IFERROR(VALUE(SUBSTITUTE('MSR RAW'!S40,",","")),0))</f>
        <v>1208</v>
      </c>
    </row>
    <row r="41" spans="1:9" ht="68.650000000000006" customHeight="1" x14ac:dyDescent="0.2">
      <c r="A41">
        <v>41</v>
      </c>
      <c r="B4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1" t="str">
        <f>IF(LEFT(TRIM('MSR RAW'!A41),11)="Department:",TRIM('MSR RAW'!A41),C40)</f>
        <v>Department: 36127 - CONCESSIONS</v>
      </c>
      <c r="D41" t="str">
        <f>IF(LEFT(TRIM('MSR RAW'!B41),9)="Location:",TRIM(MID('MSR RAW'!B41,10,999)),D40)</f>
        <v>FB 103 - TOWER NORTH</v>
      </c>
      <c r="E41" t="str">
        <f>IF(AND(ISNUMBER(SEARCH(" - ",TRIM('MSR RAW'!C41))),RIGHT(TRIM('MSR RAW'!C41),6)="Total:"),LEFT(TRIM('MSR RAW'!C41),SEARCH(" - ",TRIM('MSR RAW'!C41))-1),"")</f>
        <v>313000</v>
      </c>
      <c r="F41" t="str">
        <f>IF(E41="","",TRIM(MID(TRIM('MSR RAW'!C41),SEARCH(" - ",TRIM('MSR RAW'!C41))+3,LEN(TRIM('MSR RAW'!C41))-SEARCH(" - ",TRIM('MSR RAW'!C41))-9)))</f>
        <v>FOOD SALES - TAXABLE</v>
      </c>
      <c r="G41" t="str">
        <f>IF(E41="","",IFERROR(VLOOKUP(E41,'CATEGORY MAP'!$A$2:$B$20,2,FALSE()),"REVIEW"))</f>
        <v>FOOD/NON-ALC</v>
      </c>
      <c r="H41">
        <f>IF(E41="","",IFERROR(VALUE(SUBSTITUTE('MSR RAW'!P41,",","")),0))</f>
        <v>1979.22</v>
      </c>
      <c r="I41">
        <f>IF(E41="","",IFERROR(VALUE(SUBSTITUTE('MSR RAW'!S41,",","")),0))</f>
        <v>1839</v>
      </c>
    </row>
    <row r="42" spans="1:9" ht="68.650000000000006" customHeight="1" x14ac:dyDescent="0.2">
      <c r="A42">
        <v>42</v>
      </c>
      <c r="B4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2" t="str">
        <f>IF(LEFT(TRIM('MSR RAW'!A42),11)="Department:",TRIM('MSR RAW'!A42),C41)</f>
        <v>Department: 36127 - CONCESSIONS</v>
      </c>
      <c r="D42" t="str">
        <f>IF(LEFT(TRIM('MSR RAW'!B42),9)="Location:",TRIM(MID('MSR RAW'!B42,10,999)),D41)</f>
        <v>FB 103 - TOWER NORTH</v>
      </c>
      <c r="E42" t="str">
        <f>IF(AND(ISNUMBER(SEARCH(" - ",TRIM('MSR RAW'!C42))),RIGHT(TRIM('MSR RAW'!C42),6)="Total:"),LEFT(TRIM('MSR RAW'!C42),SEARCH(" - ",TRIM('MSR RAW'!C42))-1),"")</f>
        <v>313004</v>
      </c>
      <c r="F42" t="str">
        <f>IF(E42="","",TRIM(MID(TRIM('MSR RAW'!C42),SEARCH(" - ",TRIM('MSR RAW'!C42))+3,LEN(TRIM('MSR RAW'!C42))-SEARCH(" - ",TRIM('MSR RAW'!C42))-9)))</f>
        <v>LIQUOR SALES - TAXABLE</v>
      </c>
      <c r="G42" t="str">
        <f>IF(E42="","",IFERROR(VLOOKUP(E42,'CATEGORY MAP'!$A$2:$B$20,2,FALSE()),"REVIEW"))</f>
        <v>ALCOHOL</v>
      </c>
      <c r="H42">
        <f>IF(E42="","",IFERROR(VALUE(SUBSTITUTE('MSR RAW'!P42,",","")),0))</f>
        <v>619.91999999999996</v>
      </c>
      <c r="I42">
        <f>IF(E42="","",IFERROR(VALUE(SUBSTITUTE('MSR RAW'!S42,",","")),0))</f>
        <v>576</v>
      </c>
    </row>
    <row r="43" spans="1:9" ht="68.650000000000006" customHeight="1" x14ac:dyDescent="0.2">
      <c r="A43">
        <v>43</v>
      </c>
      <c r="B4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3" t="str">
        <f>IF(LEFT(TRIM('MSR RAW'!A43),11)="Department:",TRIM('MSR RAW'!A43),C42)</f>
        <v>Department: 36127 - CONCESSIONS</v>
      </c>
      <c r="D43" t="str">
        <f>IF(LEFT(TRIM('MSR RAW'!B43),9)="Location:",TRIM(MID('MSR RAW'!B43,10,999)),D42)</f>
        <v>FB 103 - TOWER NORTH</v>
      </c>
      <c r="E43" t="str">
        <f>IF(AND(ISNUMBER(SEARCH(" - ",TRIM('MSR RAW'!C43))),RIGHT(TRIM('MSR RAW'!C43),6)="Total:"),LEFT(TRIM('MSR RAW'!C43),SEARCH(" - ",TRIM('MSR RAW'!C43))-1),"")</f>
        <v>313082</v>
      </c>
      <c r="F43" t="str">
        <f>IF(E43="","",TRIM(MID(TRIM('MSR RAW'!C43),SEARCH(" - ",TRIM('MSR RAW'!C43))+3,LEN(TRIM('MSR RAW'!C43))-SEARCH(" - ",TRIM('MSR RAW'!C43))-9)))</f>
        <v>BEER PACKAGED SALES</v>
      </c>
      <c r="G43" t="str">
        <f>IF(E43="","",IFERROR(VLOOKUP(E43,'CATEGORY MAP'!$A$2:$B$20,2,FALSE()),"REVIEW"))</f>
        <v>ALCOHOL</v>
      </c>
      <c r="H43">
        <f>IF(E43="","",IFERROR(VALUE(SUBSTITUTE('MSR RAW'!P43,",","")),0))</f>
        <v>2701.93</v>
      </c>
      <c r="I43">
        <f>IF(E43="","",IFERROR(VALUE(SUBSTITUTE('MSR RAW'!S43,",","")),0))</f>
        <v>2510.5</v>
      </c>
    </row>
    <row r="44" spans="1:9" ht="68.650000000000006" customHeight="1" x14ac:dyDescent="0.2">
      <c r="A44">
        <v>44</v>
      </c>
      <c r="B4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4" t="str">
        <f>IF(LEFT(TRIM('MSR RAW'!A44),11)="Department:",TRIM('MSR RAW'!A44),C43)</f>
        <v>Department: 36127 - CONCESSIONS</v>
      </c>
      <c r="D44" t="str">
        <f>IF(LEFT(TRIM('MSR RAW'!B44),9)="Location:",TRIM(MID('MSR RAW'!B44,10,999)),D43)</f>
        <v>FB 103 - TOWER NORTH</v>
      </c>
      <c r="E44" t="str">
        <f>IF(AND(ISNUMBER(SEARCH(" - ",TRIM('MSR RAW'!C44))),RIGHT(TRIM('MSR RAW'!C44),6)="Total:"),LEFT(TRIM('MSR RAW'!C44),SEARCH(" - ",TRIM('MSR RAW'!C44))-1),"")</f>
        <v>FF-312114</v>
      </c>
      <c r="F44" t="str">
        <f>IF(E44="","",TRIM(MID(TRIM('MSR RAW'!C44),SEARCH(" - ",TRIM('MSR RAW'!C44))+3,LEN(TRIM('MSR RAW'!C44))-SEARCH(" - ",TRIM('MSR RAW'!C44))-9)))</f>
        <v>N/A BEV SALE DISC. FAN FRIENDLY (CC36636)</v>
      </c>
      <c r="G44" t="str">
        <f>IF(E44="","",IFERROR(VLOOKUP(E44,'CATEGORY MAP'!$A$2:$B$20,2,FALSE()),"REVIEW"))</f>
        <v>FOOD/NON-ALC</v>
      </c>
      <c r="H44">
        <f>IF(E44="","",IFERROR(VALUE(SUBSTITUTE('MSR RAW'!P44,",","")),0))</f>
        <v>1054.73</v>
      </c>
      <c r="I44">
        <f>IF(E44="","",IFERROR(VALUE(SUBSTITUTE('MSR RAW'!S44,",","")),0))</f>
        <v>980</v>
      </c>
    </row>
    <row r="45" spans="1:9" ht="68.650000000000006" customHeight="1" x14ac:dyDescent="0.2">
      <c r="A45">
        <v>45</v>
      </c>
      <c r="B4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5" t="str">
        <f>IF(LEFT(TRIM('MSR RAW'!A45),11)="Department:",TRIM('MSR RAW'!A45),C44)</f>
        <v>Department: 36127 - CONCESSIONS</v>
      </c>
      <c r="D45" t="str">
        <f>IF(LEFT(TRIM('MSR RAW'!B45),9)="Location:",TRIM(MID('MSR RAW'!B45,10,999)),D44)</f>
        <v>FB 103 - TOWER NORTH</v>
      </c>
      <c r="E45" t="str">
        <f>IF(AND(ISNUMBER(SEARCH(" - ",TRIM('MSR RAW'!C45))),RIGHT(TRIM('MSR RAW'!C45),6)="Total:"),LEFT(TRIM('MSR RAW'!C45),SEARCH(" - ",TRIM('MSR RAW'!C45))-1),"")</f>
        <v>FF-313076</v>
      </c>
      <c r="F45" t="str">
        <f>IF(E45="","",TRIM(MID(TRIM('MSR RAW'!C45),SEARCH(" - ",TRIM('MSR RAW'!C45))+3,LEN(TRIM('MSR RAW'!C45))-SEARCH(" - ",TRIM('MSR RAW'!C45))-9)))</f>
        <v>FOOD SALES DISC. FAN FRIENDLY (CC36636)</v>
      </c>
      <c r="G45" t="str">
        <f>IF(E45="","",IFERROR(VLOOKUP(E45,'CATEGORY MAP'!$A$2:$B$20,2,FALSE()),"REVIEW"))</f>
        <v>FOOD/NON-ALC</v>
      </c>
      <c r="H45">
        <f>IF(E45="","",IFERROR(VALUE(SUBSTITUTE('MSR RAW'!P45,",","")),0))</f>
        <v>563.96</v>
      </c>
      <c r="I45">
        <f>IF(E45="","",IFERROR(VALUE(SUBSTITUTE('MSR RAW'!S45,",","")),0))</f>
        <v>524</v>
      </c>
    </row>
    <row r="46" spans="1:9" ht="68.650000000000006" customHeight="1" x14ac:dyDescent="0.2">
      <c r="A46">
        <v>46</v>
      </c>
      <c r="B4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6" t="str">
        <f>IF(LEFT(TRIM('MSR RAW'!A46),11)="Department:",TRIM('MSR RAW'!A46),C45)</f>
        <v>Department: 36127 - CONCESSIONS</v>
      </c>
      <c r="D46" t="str">
        <f>IF(LEFT(TRIM('MSR RAW'!B46),9)="Location:",TRIM(MID('MSR RAW'!B46,10,999)),D45)</f>
        <v>FB 103 - TOWER NORTH</v>
      </c>
      <c r="E46" t="str">
        <f>IF(AND(ISNUMBER(SEARCH(" - ",TRIM('MSR RAW'!C46))),RIGHT(TRIM('MSR RAW'!C46),6)="Total:"),LEFT(TRIM('MSR RAW'!C46),SEARCH(" - ",TRIM('MSR RAW'!C46))-1),"")</f>
        <v/>
      </c>
      <c r="F46" t="str">
        <f>IF(E46="","",TRIM(MID(TRIM('MSR RAW'!C46),SEARCH(" - ",TRIM('MSR RAW'!C46))+3,LEN(TRIM('MSR RAW'!C46))-SEARCH(" - ",TRIM('MSR RAW'!C46))-9)))</f>
        <v/>
      </c>
      <c r="G46" t="str">
        <f>IF(E46="","",IFERROR(VLOOKUP(E46,'CATEGORY MAP'!$A$2:$B$20,2,FALSE()),"REVIEW"))</f>
        <v/>
      </c>
      <c r="H46" t="str">
        <f>IF(E46="","",IFERROR(VALUE(SUBSTITUTE('MSR RAW'!P46,",","")),0))</f>
        <v/>
      </c>
      <c r="I46" t="str">
        <f>IF(E46="","",IFERROR(VALUE(SUBSTITUTE('MSR RAW'!S46,",","")),0))</f>
        <v/>
      </c>
    </row>
    <row r="47" spans="1:9" ht="68.650000000000006" customHeight="1" x14ac:dyDescent="0.2">
      <c r="A47">
        <v>47</v>
      </c>
      <c r="B4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7" t="str">
        <f>IF(LEFT(TRIM('MSR RAW'!A47),11)="Department:",TRIM('MSR RAW'!A47),C46)</f>
        <v>Department: 36127 - CONCESSIONS</v>
      </c>
      <c r="D47" t="str">
        <f>IF(LEFT(TRIM('MSR RAW'!B47),9)="Location:",TRIM(MID('MSR RAW'!B47,10,999)),D46)</f>
        <v>FB 104 - RED RALLY NORTH WEST</v>
      </c>
      <c r="E47" t="str">
        <f>IF(AND(ISNUMBER(SEARCH(" - ",TRIM('MSR RAW'!C47))),RIGHT(TRIM('MSR RAW'!C47),6)="Total:"),LEFT(TRIM('MSR RAW'!C47),SEARCH(" - ",TRIM('MSR RAW'!C47))-1),"")</f>
        <v/>
      </c>
      <c r="F47" t="str">
        <f>IF(E47="","",TRIM(MID(TRIM('MSR RAW'!C47),SEARCH(" - ",TRIM('MSR RAW'!C47))+3,LEN(TRIM('MSR RAW'!C47))-SEARCH(" - ",TRIM('MSR RAW'!C47))-9)))</f>
        <v/>
      </c>
      <c r="G47" t="str">
        <f>IF(E47="","",IFERROR(VLOOKUP(E47,'CATEGORY MAP'!$A$2:$B$20,2,FALSE()),"REVIEW"))</f>
        <v/>
      </c>
      <c r="H47" t="str">
        <f>IF(E47="","",IFERROR(VALUE(SUBSTITUTE('MSR RAW'!P47,",","")),0))</f>
        <v/>
      </c>
      <c r="I47" t="str">
        <f>IF(E47="","",IFERROR(VALUE(SUBSTITUTE('MSR RAW'!S47,",","")),0))</f>
        <v/>
      </c>
    </row>
    <row r="48" spans="1:9" ht="68.650000000000006" customHeight="1" x14ac:dyDescent="0.2">
      <c r="A48">
        <v>48</v>
      </c>
      <c r="B4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8" t="str">
        <f>IF(LEFT(TRIM('MSR RAW'!A48),11)="Department:",TRIM('MSR RAW'!A48),C47)</f>
        <v>Department: 36127 - CONCESSIONS</v>
      </c>
      <c r="D48" t="str">
        <f>IF(LEFT(TRIM('MSR RAW'!B48),9)="Location:",TRIM(MID('MSR RAW'!B48,10,999)),D47)</f>
        <v>FB 104 - RED RALLY NORTH WEST</v>
      </c>
      <c r="E48" t="str">
        <f>IF(AND(ISNUMBER(SEARCH(" - ",TRIM('MSR RAW'!C48))),RIGHT(TRIM('MSR RAW'!C48),6)="Total:"),LEFT(TRIM('MSR RAW'!C48),SEARCH(" - ",TRIM('MSR RAW'!C48))-1),"")</f>
        <v/>
      </c>
      <c r="F48" t="str">
        <f>IF(E48="","",TRIM(MID(TRIM('MSR RAW'!C48),SEARCH(" - ",TRIM('MSR RAW'!C48))+3,LEN(TRIM('MSR RAW'!C48))-SEARCH(" - ",TRIM('MSR RAW'!C48))-9)))</f>
        <v/>
      </c>
      <c r="G48" t="str">
        <f>IF(E48="","",IFERROR(VLOOKUP(E48,'CATEGORY MAP'!$A$2:$B$20,2,FALSE()),"REVIEW"))</f>
        <v/>
      </c>
      <c r="H48" t="str">
        <f>IF(E48="","",IFERROR(VALUE(SUBSTITUTE('MSR RAW'!P48,",","")),0))</f>
        <v/>
      </c>
      <c r="I48" t="str">
        <f>IF(E48="","",IFERROR(VALUE(SUBSTITUTE('MSR RAW'!S48,",","")),0))</f>
        <v/>
      </c>
    </row>
    <row r="49" spans="1:9" ht="68.650000000000006" customHeight="1" x14ac:dyDescent="0.2">
      <c r="A49">
        <v>49</v>
      </c>
      <c r="B4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9" t="str">
        <f>IF(LEFT(TRIM('MSR RAW'!A49),11)="Department:",TRIM('MSR RAW'!A49),C48)</f>
        <v>Department: 36127 - CONCESSIONS</v>
      </c>
      <c r="D49" t="str">
        <f>IF(LEFT(TRIM('MSR RAW'!B49),9)="Location:",TRIM(MID('MSR RAW'!B49,10,999)),D48)</f>
        <v>FB 104 - RED RALLY NORTH WEST</v>
      </c>
      <c r="E49" t="str">
        <f>IF(AND(ISNUMBER(SEARCH(" - ",TRIM('MSR RAW'!C49))),RIGHT(TRIM('MSR RAW'!C49),6)="Total:"),LEFT(TRIM('MSR RAW'!C49),SEARCH(" - ",TRIM('MSR RAW'!C49))-1),"")</f>
        <v>312115</v>
      </c>
      <c r="F49" t="str">
        <f>IF(E49="","",TRIM(MID(TRIM('MSR RAW'!C49),SEARCH(" - ",TRIM('MSR RAW'!C49))+3,LEN(TRIM('MSR RAW'!C49))-SEARCH(" - ",TRIM('MSR RAW'!C49))-9)))</f>
        <v>N/A BEVERAGE SALES - TAXABLE</v>
      </c>
      <c r="G49" t="str">
        <f>IF(E49="","",IFERROR(VLOOKUP(E49,'CATEGORY MAP'!$A$2:$B$20,2,FALSE()),"REVIEW"))</f>
        <v>FOOD/NON-ALC</v>
      </c>
      <c r="H49">
        <f>IF(E49="","",IFERROR(VALUE(SUBSTITUTE('MSR RAW'!P49,",","")),0))</f>
        <v>8587.4</v>
      </c>
      <c r="I49">
        <f>IF(E49="","",IFERROR(VALUE(SUBSTITUTE('MSR RAW'!S49,",","")),0))</f>
        <v>7979</v>
      </c>
    </row>
    <row r="50" spans="1:9" ht="68.650000000000006" customHeight="1" x14ac:dyDescent="0.2">
      <c r="A50">
        <v>50</v>
      </c>
      <c r="B5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0" t="str">
        <f>IF(LEFT(TRIM('MSR RAW'!A50),11)="Department:",TRIM('MSR RAW'!A50),C49)</f>
        <v>Department: 36127 - CONCESSIONS</v>
      </c>
      <c r="D50" t="str">
        <f>IF(LEFT(TRIM('MSR RAW'!B50),9)="Location:",TRIM(MID('MSR RAW'!B50,10,999)),D49)</f>
        <v>FB 104 - RED RALLY NORTH WEST</v>
      </c>
      <c r="E50" t="str">
        <f>IF(AND(ISNUMBER(SEARCH(" - ",TRIM('MSR RAW'!C50))),RIGHT(TRIM('MSR RAW'!C50),6)="Total:"),LEFT(TRIM('MSR RAW'!C50),SEARCH(" - ",TRIM('MSR RAW'!C50))-1),"")</f>
        <v>313000</v>
      </c>
      <c r="F50" t="str">
        <f>IF(E50="","",TRIM(MID(TRIM('MSR RAW'!C50),SEARCH(" - ",TRIM('MSR RAW'!C50))+3,LEN(TRIM('MSR RAW'!C50))-SEARCH(" - ",TRIM('MSR RAW'!C50))-9)))</f>
        <v>FOOD SALES - TAXABLE</v>
      </c>
      <c r="G50" t="str">
        <f>IF(E50="","",IFERROR(VLOOKUP(E50,'CATEGORY MAP'!$A$2:$B$20,2,FALSE()),"REVIEW"))</f>
        <v>FOOD/NON-ALC</v>
      </c>
      <c r="H50">
        <f>IF(E50="","",IFERROR(VALUE(SUBSTITUTE('MSR RAW'!P50,",","")),0))</f>
        <v>12448.98</v>
      </c>
      <c r="I50">
        <f>IF(E50="","",IFERROR(VALUE(SUBSTITUTE('MSR RAW'!S50,",","")),0))</f>
        <v>11567</v>
      </c>
    </row>
    <row r="51" spans="1:9" ht="68.650000000000006" customHeight="1" x14ac:dyDescent="0.2">
      <c r="A51">
        <v>51</v>
      </c>
      <c r="B5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1" t="str">
        <f>IF(LEFT(TRIM('MSR RAW'!A51),11)="Department:",TRIM('MSR RAW'!A51),C50)</f>
        <v>Department: 36127 - CONCESSIONS</v>
      </c>
      <c r="D51" t="str">
        <f>IF(LEFT(TRIM('MSR RAW'!B51),9)="Location:",TRIM(MID('MSR RAW'!B51,10,999)),D50)</f>
        <v>FB 104 - RED RALLY NORTH WEST</v>
      </c>
      <c r="E51" t="str">
        <f>IF(AND(ISNUMBER(SEARCH(" - ",TRIM('MSR RAW'!C51))),RIGHT(TRIM('MSR RAW'!C51),6)="Total:"),LEFT(TRIM('MSR RAW'!C51),SEARCH(" - ",TRIM('MSR RAW'!C51))-1),"")</f>
        <v>313004</v>
      </c>
      <c r="F51" t="str">
        <f>IF(E51="","",TRIM(MID(TRIM('MSR RAW'!C51),SEARCH(" - ",TRIM('MSR RAW'!C51))+3,LEN(TRIM('MSR RAW'!C51))-SEARCH(" - ",TRIM('MSR RAW'!C51))-9)))</f>
        <v>LIQUOR SALES - TAXABLE</v>
      </c>
      <c r="G51" t="str">
        <f>IF(E51="","",IFERROR(VLOOKUP(E51,'CATEGORY MAP'!$A$2:$B$20,2,FALSE()),"REVIEW"))</f>
        <v>ALCOHOL</v>
      </c>
      <c r="H51">
        <f>IF(E51="","",IFERROR(VALUE(SUBSTITUTE('MSR RAW'!P51,",","")),0))</f>
        <v>2548.56</v>
      </c>
      <c r="I51">
        <f>IF(E51="","",IFERROR(VALUE(SUBSTITUTE('MSR RAW'!S51,",","")),0))</f>
        <v>2368</v>
      </c>
    </row>
    <row r="52" spans="1:9" ht="68.650000000000006" customHeight="1" x14ac:dyDescent="0.2">
      <c r="A52">
        <v>52</v>
      </c>
      <c r="B5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2" t="str">
        <f>IF(LEFT(TRIM('MSR RAW'!A52),11)="Department:",TRIM('MSR RAW'!A52),C51)</f>
        <v>Department: 36127 - CONCESSIONS</v>
      </c>
      <c r="D52" t="str">
        <f>IF(LEFT(TRIM('MSR RAW'!B52),9)="Location:",TRIM(MID('MSR RAW'!B52,10,999)),D51)</f>
        <v>FB 104 - RED RALLY NORTH WEST</v>
      </c>
      <c r="E52" t="str">
        <f>IF(AND(ISNUMBER(SEARCH(" - ",TRIM('MSR RAW'!C52))),RIGHT(TRIM('MSR RAW'!C52),6)="Total:"),LEFT(TRIM('MSR RAW'!C52),SEARCH(" - ",TRIM('MSR RAW'!C52))-1),"")</f>
        <v>313082</v>
      </c>
      <c r="F52" t="str">
        <f>IF(E52="","",TRIM(MID(TRIM('MSR RAW'!C52),SEARCH(" - ",TRIM('MSR RAW'!C52))+3,LEN(TRIM('MSR RAW'!C52))-SEARCH(" - ",TRIM('MSR RAW'!C52))-9)))</f>
        <v>BEER PACKAGED SALES</v>
      </c>
      <c r="G52" t="str">
        <f>IF(E52="","",IFERROR(VLOOKUP(E52,'CATEGORY MAP'!$A$2:$B$20,2,FALSE()),"REVIEW"))</f>
        <v>ALCOHOL</v>
      </c>
      <c r="H52">
        <f>IF(E52="","",IFERROR(VALUE(SUBSTITUTE('MSR RAW'!P52,",","")),0))</f>
        <v>5191.83</v>
      </c>
      <c r="I52">
        <f>IF(E52="","",IFERROR(VALUE(SUBSTITUTE('MSR RAW'!S52,",","")),0))</f>
        <v>4824</v>
      </c>
    </row>
    <row r="53" spans="1:9" ht="68.650000000000006" customHeight="1" x14ac:dyDescent="0.2">
      <c r="A53">
        <v>53</v>
      </c>
      <c r="B5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3" t="str">
        <f>IF(LEFT(TRIM('MSR RAW'!A53),11)="Department:",TRIM('MSR RAW'!A53),C52)</f>
        <v>Department: 36127 - CONCESSIONS</v>
      </c>
      <c r="D53" t="str">
        <f>IF(LEFT(TRIM('MSR RAW'!B53),9)="Location:",TRIM(MID('MSR RAW'!B53,10,999)),D52)</f>
        <v>FB 104 - RED RALLY NORTH WEST</v>
      </c>
      <c r="E53" t="str">
        <f>IF(AND(ISNUMBER(SEARCH(" - ",TRIM('MSR RAW'!C53))),RIGHT(TRIM('MSR RAW'!C53),6)="Total:"),LEFT(TRIM('MSR RAW'!C53),SEARCH(" - ",TRIM('MSR RAW'!C53))-1),"")</f>
        <v>FF-312114</v>
      </c>
      <c r="F53" t="str">
        <f>IF(E53="","",TRIM(MID(TRIM('MSR RAW'!C53),SEARCH(" - ",TRIM('MSR RAW'!C53))+3,LEN(TRIM('MSR RAW'!C53))-SEARCH(" - ",TRIM('MSR RAW'!C53))-9)))</f>
        <v>N/A BEV SALE DISC. FAN FRIENDLY (CC36636)</v>
      </c>
      <c r="G53" t="str">
        <f>IF(E53="","",IFERROR(VLOOKUP(E53,'CATEGORY MAP'!$A$2:$B$20,2,FALSE()),"REVIEW"))</f>
        <v>FOOD/NON-ALC</v>
      </c>
      <c r="H53">
        <f>IF(E53="","",IFERROR(VALUE(SUBSTITUTE('MSR RAW'!P53,",","")),0))</f>
        <v>2552.87</v>
      </c>
      <c r="I53">
        <f>IF(E53="","",IFERROR(VALUE(SUBSTITUTE('MSR RAW'!S53,",","")),0))</f>
        <v>2372</v>
      </c>
    </row>
    <row r="54" spans="1:9" ht="68.650000000000006" customHeight="1" x14ac:dyDescent="0.2">
      <c r="A54">
        <v>54</v>
      </c>
      <c r="B5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4" t="str">
        <f>IF(LEFT(TRIM('MSR RAW'!A54),11)="Department:",TRIM('MSR RAW'!A54),C53)</f>
        <v>Department: 36127 - CONCESSIONS</v>
      </c>
      <c r="D54" t="str">
        <f>IF(LEFT(TRIM('MSR RAW'!B54),9)="Location:",TRIM(MID('MSR RAW'!B54,10,999)),D53)</f>
        <v>FB 104 - RED RALLY NORTH WEST</v>
      </c>
      <c r="E54" t="str">
        <f>IF(AND(ISNUMBER(SEARCH(" - ",TRIM('MSR RAW'!C54))),RIGHT(TRIM('MSR RAW'!C54),6)="Total:"),LEFT(TRIM('MSR RAW'!C54),SEARCH(" - ",TRIM('MSR RAW'!C54))-1),"")</f>
        <v>FF-313076</v>
      </c>
      <c r="F54" t="str">
        <f>IF(E54="","",TRIM(MID(TRIM('MSR RAW'!C54),SEARCH(" - ",TRIM('MSR RAW'!C54))+3,LEN(TRIM('MSR RAW'!C54))-SEARCH(" - ",TRIM('MSR RAW'!C54))-9)))</f>
        <v>FOOD SALES DISC. FAN FRIENDLY (CC36636)</v>
      </c>
      <c r="G54" t="str">
        <f>IF(E54="","",IFERROR(VLOOKUP(E54,'CATEGORY MAP'!$A$2:$B$20,2,FALSE()),"REVIEW"))</f>
        <v>FOOD/NON-ALC</v>
      </c>
      <c r="H54">
        <f>IF(E54="","",IFERROR(VALUE(SUBSTITUTE('MSR RAW'!P54,",","")),0))</f>
        <v>3848.67</v>
      </c>
      <c r="I54">
        <f>IF(E54="","",IFERROR(VALUE(SUBSTITUTE('MSR RAW'!S54,",","")),0))</f>
        <v>3576</v>
      </c>
    </row>
    <row r="55" spans="1:9" ht="68.650000000000006" customHeight="1" x14ac:dyDescent="0.2">
      <c r="A55">
        <v>55</v>
      </c>
      <c r="B5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5" t="str">
        <f>IF(LEFT(TRIM('MSR RAW'!A55),11)="Department:",TRIM('MSR RAW'!A55),C54)</f>
        <v>Department: 36127 - CONCESSIONS</v>
      </c>
      <c r="D55" t="str">
        <f>IF(LEFT(TRIM('MSR RAW'!B55),9)="Location:",TRIM(MID('MSR RAW'!B55,10,999)),D54)</f>
        <v>FB 104 - RED RALLY NORTH WEST</v>
      </c>
      <c r="E55" t="str">
        <f>IF(AND(ISNUMBER(SEARCH(" - ",TRIM('MSR RAW'!C55))),RIGHT(TRIM('MSR RAW'!C55),6)="Total:"),LEFT(TRIM('MSR RAW'!C55),SEARCH(" - ",TRIM('MSR RAW'!C55))-1),"")</f>
        <v/>
      </c>
      <c r="F55" t="str">
        <f>IF(E55="","",TRIM(MID(TRIM('MSR RAW'!C55),SEARCH(" - ",TRIM('MSR RAW'!C55))+3,LEN(TRIM('MSR RAW'!C55))-SEARCH(" - ",TRIM('MSR RAW'!C55))-9)))</f>
        <v/>
      </c>
      <c r="G55" t="str">
        <f>IF(E55="","",IFERROR(VLOOKUP(E55,'CATEGORY MAP'!$A$2:$B$20,2,FALSE()),"REVIEW"))</f>
        <v/>
      </c>
      <c r="H55" t="str">
        <f>IF(E55="","",IFERROR(VALUE(SUBSTITUTE('MSR RAW'!P55,",","")),0))</f>
        <v/>
      </c>
      <c r="I55" t="str">
        <f>IF(E55="","",IFERROR(VALUE(SUBSTITUTE('MSR RAW'!S55,",","")),0))</f>
        <v/>
      </c>
    </row>
    <row r="56" spans="1:9" ht="68.650000000000006" customHeight="1" x14ac:dyDescent="0.2">
      <c r="A56">
        <v>56</v>
      </c>
      <c r="B5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6" t="str">
        <f>IF(LEFT(TRIM('MSR RAW'!A56),11)="Department:",TRIM('MSR RAW'!A56),C55)</f>
        <v>Department: 36127 - CONCESSIONS</v>
      </c>
      <c r="D56" t="str">
        <f>IF(LEFT(TRIM('MSR RAW'!B56),9)="Location:",TRIM(MID('MSR RAW'!B56,10,999)),D55)</f>
        <v>FB 105 - NW SPECIALTY - DAWG HOUSE</v>
      </c>
      <c r="E56" t="str">
        <f>IF(AND(ISNUMBER(SEARCH(" - ",TRIM('MSR RAW'!C56))),RIGHT(TRIM('MSR RAW'!C56),6)="Total:"),LEFT(TRIM('MSR RAW'!C56),SEARCH(" - ",TRIM('MSR RAW'!C56))-1),"")</f>
        <v/>
      </c>
      <c r="F56" t="str">
        <f>IF(E56="","",TRIM(MID(TRIM('MSR RAW'!C56),SEARCH(" - ",TRIM('MSR RAW'!C56))+3,LEN(TRIM('MSR RAW'!C56))-SEARCH(" - ",TRIM('MSR RAW'!C56))-9)))</f>
        <v/>
      </c>
      <c r="G56" t="str">
        <f>IF(E56="","",IFERROR(VLOOKUP(E56,'CATEGORY MAP'!$A$2:$B$20,2,FALSE()),"REVIEW"))</f>
        <v/>
      </c>
      <c r="H56" t="str">
        <f>IF(E56="","",IFERROR(VALUE(SUBSTITUTE('MSR RAW'!P56,",","")),0))</f>
        <v/>
      </c>
      <c r="I56" t="str">
        <f>IF(E56="","",IFERROR(VALUE(SUBSTITUTE('MSR RAW'!S56,",","")),0))</f>
        <v/>
      </c>
    </row>
    <row r="57" spans="1:9" ht="68.650000000000006" customHeight="1" x14ac:dyDescent="0.2">
      <c r="A57">
        <v>57</v>
      </c>
      <c r="B5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7" t="str">
        <f>IF(LEFT(TRIM('MSR RAW'!A57),11)="Department:",TRIM('MSR RAW'!A57),C56)</f>
        <v>Department: 36127 - CONCESSIONS</v>
      </c>
      <c r="D57" t="str">
        <f>IF(LEFT(TRIM('MSR RAW'!B57),9)="Location:",TRIM(MID('MSR RAW'!B57,10,999)),D56)</f>
        <v>FB 105 - NW SPECIALTY - DAWG HOUSE</v>
      </c>
      <c r="E57" t="str">
        <f>IF(AND(ISNUMBER(SEARCH(" - ",TRIM('MSR RAW'!C57))),RIGHT(TRIM('MSR RAW'!C57),6)="Total:"),LEFT(TRIM('MSR RAW'!C57),SEARCH(" - ",TRIM('MSR RAW'!C57))-1),"")</f>
        <v/>
      </c>
      <c r="F57" t="str">
        <f>IF(E57="","",TRIM(MID(TRIM('MSR RAW'!C57),SEARCH(" - ",TRIM('MSR RAW'!C57))+3,LEN(TRIM('MSR RAW'!C57))-SEARCH(" - ",TRIM('MSR RAW'!C57))-9)))</f>
        <v/>
      </c>
      <c r="G57" t="str">
        <f>IF(E57="","",IFERROR(VLOOKUP(E57,'CATEGORY MAP'!$A$2:$B$20,2,FALSE()),"REVIEW"))</f>
        <v/>
      </c>
      <c r="H57" t="str">
        <f>IF(E57="","",IFERROR(VALUE(SUBSTITUTE('MSR RAW'!P57,",","")),0))</f>
        <v/>
      </c>
      <c r="I57" t="str">
        <f>IF(E57="","",IFERROR(VALUE(SUBSTITUTE('MSR RAW'!S57,",","")),0))</f>
        <v/>
      </c>
    </row>
    <row r="58" spans="1:9" ht="68.650000000000006" customHeight="1" x14ac:dyDescent="0.2">
      <c r="A58">
        <v>58</v>
      </c>
      <c r="B5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8" t="str">
        <f>IF(LEFT(TRIM('MSR RAW'!A58),11)="Department:",TRIM('MSR RAW'!A58),C57)</f>
        <v>Department: 36127 - CONCESSIONS</v>
      </c>
      <c r="D58" t="str">
        <f>IF(LEFT(TRIM('MSR RAW'!B58),9)="Location:",TRIM(MID('MSR RAW'!B58,10,999)),D57)</f>
        <v>FB 105 - NW SPECIALTY - DAWG HOUSE</v>
      </c>
      <c r="E58" t="str">
        <f>IF(AND(ISNUMBER(SEARCH(" - ",TRIM('MSR RAW'!C58))),RIGHT(TRIM('MSR RAW'!C58),6)="Total:"),LEFT(TRIM('MSR RAW'!C58),SEARCH(" - ",TRIM('MSR RAW'!C58))-1),"")</f>
        <v>312115</v>
      </c>
      <c r="F58" t="str">
        <f>IF(E58="","",TRIM(MID(TRIM('MSR RAW'!C58),SEARCH(" - ",TRIM('MSR RAW'!C58))+3,LEN(TRIM('MSR RAW'!C58))-SEARCH(" - ",TRIM('MSR RAW'!C58))-9)))</f>
        <v>N/A BEVERAGE SALES - TAXABLE</v>
      </c>
      <c r="G58" t="str">
        <f>IF(E58="","",IFERROR(VLOOKUP(E58,'CATEGORY MAP'!$A$2:$B$20,2,FALSE()),"REVIEW"))</f>
        <v>FOOD/NON-ALC</v>
      </c>
      <c r="H58">
        <f>IF(E58="","",IFERROR(VALUE(SUBSTITUTE('MSR RAW'!P58,",","")),0))</f>
        <v>2029.81</v>
      </c>
      <c r="I58">
        <f>IF(E58="","",IFERROR(VALUE(SUBSTITUTE('MSR RAW'!S58,",","")),0))</f>
        <v>1886</v>
      </c>
    </row>
    <row r="59" spans="1:9" ht="68.650000000000006" customHeight="1" x14ac:dyDescent="0.2">
      <c r="A59">
        <v>59</v>
      </c>
      <c r="B5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9" t="str">
        <f>IF(LEFT(TRIM('MSR RAW'!A59),11)="Department:",TRIM('MSR RAW'!A59),C58)</f>
        <v>Department: 36127 - CONCESSIONS</v>
      </c>
      <c r="D59" t="str">
        <f>IF(LEFT(TRIM('MSR RAW'!B59),9)="Location:",TRIM(MID('MSR RAW'!B59,10,999)),D58)</f>
        <v>FB 105 - NW SPECIALTY - DAWG HOUSE</v>
      </c>
      <c r="E59" t="str">
        <f>IF(AND(ISNUMBER(SEARCH(" - ",TRIM('MSR RAW'!C59))),RIGHT(TRIM('MSR RAW'!C59),6)="Total:"),LEFT(TRIM('MSR RAW'!C59),SEARCH(" - ",TRIM('MSR RAW'!C59))-1),"")</f>
        <v>313000</v>
      </c>
      <c r="F59" t="str">
        <f>IF(E59="","",TRIM(MID(TRIM('MSR RAW'!C59),SEARCH(" - ",TRIM('MSR RAW'!C59))+3,LEN(TRIM('MSR RAW'!C59))-SEARCH(" - ",TRIM('MSR RAW'!C59))-9)))</f>
        <v>FOOD SALES - TAXABLE</v>
      </c>
      <c r="G59" t="str">
        <f>IF(E59="","",IFERROR(VLOOKUP(E59,'CATEGORY MAP'!$A$2:$B$20,2,FALSE()),"REVIEW"))</f>
        <v>FOOD/NON-ALC</v>
      </c>
      <c r="H59">
        <f>IF(E59="","",IFERROR(VALUE(SUBSTITUTE('MSR RAW'!P59,",","")),0))</f>
        <v>3318.08</v>
      </c>
      <c r="I59">
        <f>IF(E59="","",IFERROR(VALUE(SUBSTITUTE('MSR RAW'!S59,",","")),0))</f>
        <v>3083</v>
      </c>
    </row>
    <row r="60" spans="1:9" ht="68.650000000000006" customHeight="1" x14ac:dyDescent="0.2">
      <c r="A60">
        <v>60</v>
      </c>
      <c r="B6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0" t="str">
        <f>IF(LEFT(TRIM('MSR RAW'!A60),11)="Department:",TRIM('MSR RAW'!A60),C59)</f>
        <v>Department: 36127 - CONCESSIONS</v>
      </c>
      <c r="D60" t="str">
        <f>IF(LEFT(TRIM('MSR RAW'!B60),9)="Location:",TRIM(MID('MSR RAW'!B60,10,999)),D59)</f>
        <v>FB 105 - NW SPECIALTY - DAWG HOUSE</v>
      </c>
      <c r="E60" t="str">
        <f>IF(AND(ISNUMBER(SEARCH(" - ",TRIM('MSR RAW'!C60))),RIGHT(TRIM('MSR RAW'!C60),6)="Total:"),LEFT(TRIM('MSR RAW'!C60),SEARCH(" - ",TRIM('MSR RAW'!C60))-1),"")</f>
        <v>313004</v>
      </c>
      <c r="F60" t="str">
        <f>IF(E60="","",TRIM(MID(TRIM('MSR RAW'!C60),SEARCH(" - ",TRIM('MSR RAW'!C60))+3,LEN(TRIM('MSR RAW'!C60))-SEARCH(" - ",TRIM('MSR RAW'!C60))-9)))</f>
        <v>LIQUOR SALES - TAXABLE</v>
      </c>
      <c r="G60" t="str">
        <f>IF(E60="","",IFERROR(VLOOKUP(E60,'CATEGORY MAP'!$A$2:$B$20,2,FALSE()),"REVIEW"))</f>
        <v>ALCOHOL</v>
      </c>
      <c r="H60">
        <f>IF(E60="","",IFERROR(VALUE(SUBSTITUTE('MSR RAW'!P60,",","")),0))</f>
        <v>344.4</v>
      </c>
      <c r="I60">
        <f>IF(E60="","",IFERROR(VALUE(SUBSTITUTE('MSR RAW'!S60,",","")),0))</f>
        <v>320</v>
      </c>
    </row>
    <row r="61" spans="1:9" ht="68.650000000000006" customHeight="1" x14ac:dyDescent="0.2">
      <c r="A61">
        <v>61</v>
      </c>
      <c r="B6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1" t="str">
        <f>IF(LEFT(TRIM('MSR RAW'!A61),11)="Department:",TRIM('MSR RAW'!A61),C60)</f>
        <v>Department: 36127 - CONCESSIONS</v>
      </c>
      <c r="D61" t="str">
        <f>IF(LEFT(TRIM('MSR RAW'!B61),9)="Location:",TRIM(MID('MSR RAW'!B61,10,999)),D60)</f>
        <v>FB 105 - NW SPECIALTY - DAWG HOUSE</v>
      </c>
      <c r="E61" t="str">
        <f>IF(AND(ISNUMBER(SEARCH(" - ",TRIM('MSR RAW'!C61))),RIGHT(TRIM('MSR RAW'!C61),6)="Total:"),LEFT(TRIM('MSR RAW'!C61),SEARCH(" - ",TRIM('MSR RAW'!C61))-1),"")</f>
        <v>313082</v>
      </c>
      <c r="F61" t="str">
        <f>IF(E61="","",TRIM(MID(TRIM('MSR RAW'!C61),SEARCH(" - ",TRIM('MSR RAW'!C61))+3,LEN(TRIM('MSR RAW'!C61))-SEARCH(" - ",TRIM('MSR RAW'!C61))-9)))</f>
        <v>BEER PACKAGED SALES</v>
      </c>
      <c r="G61" t="str">
        <f>IF(E61="","",IFERROR(VLOOKUP(E61,'CATEGORY MAP'!$A$2:$B$20,2,FALSE()),"REVIEW"))</f>
        <v>ALCOHOL</v>
      </c>
      <c r="H61">
        <f>IF(E61="","",IFERROR(VALUE(SUBSTITUTE('MSR RAW'!P61,",","")),0))</f>
        <v>1470.16</v>
      </c>
      <c r="I61">
        <f>IF(E61="","",IFERROR(VALUE(SUBSTITUTE('MSR RAW'!S61,",","")),0))</f>
        <v>1366</v>
      </c>
    </row>
    <row r="62" spans="1:9" ht="68.650000000000006" customHeight="1" x14ac:dyDescent="0.2">
      <c r="A62">
        <v>62</v>
      </c>
      <c r="B6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2" t="str">
        <f>IF(LEFT(TRIM('MSR RAW'!A62),11)="Department:",TRIM('MSR RAW'!A62),C61)</f>
        <v>Department: 36127 - CONCESSIONS</v>
      </c>
      <c r="D62" t="str">
        <f>IF(LEFT(TRIM('MSR RAW'!B62),9)="Location:",TRIM(MID('MSR RAW'!B62,10,999)),D61)</f>
        <v>FB 105 - NW SPECIALTY - DAWG HOUSE</v>
      </c>
      <c r="E62" t="str">
        <f>IF(AND(ISNUMBER(SEARCH(" - ",TRIM('MSR RAW'!C62))),RIGHT(TRIM('MSR RAW'!C62),6)="Total:"),LEFT(TRIM('MSR RAW'!C62),SEARCH(" - ",TRIM('MSR RAW'!C62))-1),"")</f>
        <v>FF-313076</v>
      </c>
      <c r="F62" t="str">
        <f>IF(E62="","",TRIM(MID(TRIM('MSR RAW'!C62),SEARCH(" - ",TRIM('MSR RAW'!C62))+3,LEN(TRIM('MSR RAW'!C62))-SEARCH(" - ",TRIM('MSR RAW'!C62))-9)))</f>
        <v>FOOD SALES DISC. FAN FRIENDLY (CC36636)</v>
      </c>
      <c r="G62" t="str">
        <f>IF(E62="","",IFERROR(VLOOKUP(E62,'CATEGORY MAP'!$A$2:$B$20,2,FALSE()),"REVIEW"))</f>
        <v>FOOD/NON-ALC</v>
      </c>
      <c r="H62">
        <f>IF(E62="","",IFERROR(VALUE(SUBSTITUTE('MSR RAW'!P62,",","")),0))</f>
        <v>284.13</v>
      </c>
      <c r="I62">
        <f>IF(E62="","",IFERROR(VALUE(SUBSTITUTE('MSR RAW'!S62,",","")),0))</f>
        <v>264</v>
      </c>
    </row>
    <row r="63" spans="1:9" ht="68.650000000000006" customHeight="1" x14ac:dyDescent="0.2">
      <c r="A63">
        <v>63</v>
      </c>
      <c r="B6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3" t="str">
        <f>IF(LEFT(TRIM('MSR RAW'!A63),11)="Department:",TRIM('MSR RAW'!A63),C62)</f>
        <v>Department: 36127 - CONCESSIONS</v>
      </c>
      <c r="D63" t="str">
        <f>IF(LEFT(TRIM('MSR RAW'!B63),9)="Location:",TRIM(MID('MSR RAW'!B63,10,999)),D62)</f>
        <v>FB 105 - NW SPECIALTY - DAWG HOUSE</v>
      </c>
      <c r="E63" t="str">
        <f>IF(AND(ISNUMBER(SEARCH(" - ",TRIM('MSR RAW'!C63))),RIGHT(TRIM('MSR RAW'!C63),6)="Total:"),LEFT(TRIM('MSR RAW'!C63),SEARCH(" - ",TRIM('MSR RAW'!C63))-1),"")</f>
        <v/>
      </c>
      <c r="F63" t="str">
        <f>IF(E63="","",TRIM(MID(TRIM('MSR RAW'!C63),SEARCH(" - ",TRIM('MSR RAW'!C63))+3,LEN(TRIM('MSR RAW'!C63))-SEARCH(" - ",TRIM('MSR RAW'!C63))-9)))</f>
        <v/>
      </c>
      <c r="G63" t="str">
        <f>IF(E63="","",IFERROR(VLOOKUP(E63,'CATEGORY MAP'!$A$2:$B$20,2,FALSE()),"REVIEW"))</f>
        <v/>
      </c>
      <c r="H63" t="str">
        <f>IF(E63="","",IFERROR(VALUE(SUBSTITUTE('MSR RAW'!P63,",","")),0))</f>
        <v/>
      </c>
      <c r="I63" t="str">
        <f>IF(E63="","",IFERROR(VALUE(SUBSTITUTE('MSR RAW'!S63,",","")),0))</f>
        <v/>
      </c>
    </row>
    <row r="64" spans="1:9" ht="68.650000000000006" customHeight="1" x14ac:dyDescent="0.2">
      <c r="A64">
        <v>64</v>
      </c>
      <c r="B6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4" t="str">
        <f>IF(LEFT(TRIM('MSR RAW'!A64),11)="Department:",TRIM('MSR RAW'!A64),C63)</f>
        <v>Department: 36127 - CONCESSIONS</v>
      </c>
      <c r="D64" t="str">
        <f>IF(LEFT(TRIM('MSR RAW'!B64),9)="Location:",TRIM(MID('MSR RAW'!B64,10,999)),D63)</f>
        <v>FB 106 - RED RALLY NORTH EAST</v>
      </c>
      <c r="E64" t="str">
        <f>IF(AND(ISNUMBER(SEARCH(" - ",TRIM('MSR RAW'!C64))),RIGHT(TRIM('MSR RAW'!C64),6)="Total:"),LEFT(TRIM('MSR RAW'!C64),SEARCH(" - ",TRIM('MSR RAW'!C64))-1),"")</f>
        <v/>
      </c>
      <c r="F64" t="str">
        <f>IF(E64="","",TRIM(MID(TRIM('MSR RAW'!C64),SEARCH(" - ",TRIM('MSR RAW'!C64))+3,LEN(TRIM('MSR RAW'!C64))-SEARCH(" - ",TRIM('MSR RAW'!C64))-9)))</f>
        <v/>
      </c>
      <c r="G64" t="str">
        <f>IF(E64="","",IFERROR(VLOOKUP(E64,'CATEGORY MAP'!$A$2:$B$20,2,FALSE()),"REVIEW"))</f>
        <v/>
      </c>
      <c r="H64" t="str">
        <f>IF(E64="","",IFERROR(VALUE(SUBSTITUTE('MSR RAW'!P64,",","")),0))</f>
        <v/>
      </c>
      <c r="I64" t="str">
        <f>IF(E64="","",IFERROR(VALUE(SUBSTITUTE('MSR RAW'!S64,",","")),0))</f>
        <v/>
      </c>
    </row>
    <row r="65" spans="1:9" ht="68.650000000000006" customHeight="1" x14ac:dyDescent="0.2">
      <c r="A65">
        <v>65</v>
      </c>
      <c r="B6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5" t="str">
        <f>IF(LEFT(TRIM('MSR RAW'!A65),11)="Department:",TRIM('MSR RAW'!A65),C64)</f>
        <v>Department: 36127 - CONCESSIONS</v>
      </c>
      <c r="D65" t="str">
        <f>IF(LEFT(TRIM('MSR RAW'!B65),9)="Location:",TRIM(MID('MSR RAW'!B65,10,999)),D64)</f>
        <v>FB 106 - RED RALLY NORTH EAST</v>
      </c>
      <c r="E65" t="str">
        <f>IF(AND(ISNUMBER(SEARCH(" - ",TRIM('MSR RAW'!C65))),RIGHT(TRIM('MSR RAW'!C65),6)="Total:"),LEFT(TRIM('MSR RAW'!C65),SEARCH(" - ",TRIM('MSR RAW'!C65))-1),"")</f>
        <v/>
      </c>
      <c r="F65" t="str">
        <f>IF(E65="","",TRIM(MID(TRIM('MSR RAW'!C65),SEARCH(" - ",TRIM('MSR RAW'!C65))+3,LEN(TRIM('MSR RAW'!C65))-SEARCH(" - ",TRIM('MSR RAW'!C65))-9)))</f>
        <v/>
      </c>
      <c r="G65" t="str">
        <f>IF(E65="","",IFERROR(VLOOKUP(E65,'CATEGORY MAP'!$A$2:$B$20,2,FALSE()),"REVIEW"))</f>
        <v/>
      </c>
      <c r="H65" t="str">
        <f>IF(E65="","",IFERROR(VALUE(SUBSTITUTE('MSR RAW'!P65,",","")),0))</f>
        <v/>
      </c>
      <c r="I65" t="str">
        <f>IF(E65="","",IFERROR(VALUE(SUBSTITUTE('MSR RAW'!S65,",","")),0))</f>
        <v/>
      </c>
    </row>
    <row r="66" spans="1:9" ht="68.650000000000006" customHeight="1" x14ac:dyDescent="0.2">
      <c r="A66">
        <v>66</v>
      </c>
      <c r="B6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6" t="str">
        <f>IF(LEFT(TRIM('MSR RAW'!A66),11)="Department:",TRIM('MSR RAW'!A66),C65)</f>
        <v>Department: 36127 - CONCESSIONS</v>
      </c>
      <c r="D66" t="str">
        <f>IF(LEFT(TRIM('MSR RAW'!B66),9)="Location:",TRIM(MID('MSR RAW'!B66,10,999)),D65)</f>
        <v>FB 106 - RED RALLY NORTH EAST</v>
      </c>
      <c r="E66" t="str">
        <f>IF(AND(ISNUMBER(SEARCH(" - ",TRIM('MSR RAW'!C66))),RIGHT(TRIM('MSR RAW'!C66),6)="Total:"),LEFT(TRIM('MSR RAW'!C66),SEARCH(" - ",TRIM('MSR RAW'!C66))-1),"")</f>
        <v>312115</v>
      </c>
      <c r="F66" t="str">
        <f>IF(E66="","",TRIM(MID(TRIM('MSR RAW'!C66),SEARCH(" - ",TRIM('MSR RAW'!C66))+3,LEN(TRIM('MSR RAW'!C66))-SEARCH(" - ",TRIM('MSR RAW'!C66))-9)))</f>
        <v>N/A BEVERAGE SALES - TAXABLE</v>
      </c>
      <c r="G66" t="str">
        <f>IF(E66="","",IFERROR(VLOOKUP(E66,'CATEGORY MAP'!$A$2:$B$20,2,FALSE()),"REVIEW"))</f>
        <v>FOOD/NON-ALC</v>
      </c>
      <c r="H66">
        <f>IF(E66="","",IFERROR(VALUE(SUBSTITUTE('MSR RAW'!P66,",","")),0))</f>
        <v>9576.4699999999993</v>
      </c>
      <c r="I66">
        <f>IF(E66="","",IFERROR(VALUE(SUBSTITUTE('MSR RAW'!S66,",","")),0))</f>
        <v>8898</v>
      </c>
    </row>
    <row r="67" spans="1:9" ht="68.650000000000006" customHeight="1" x14ac:dyDescent="0.2">
      <c r="A67">
        <v>67</v>
      </c>
      <c r="B6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7" t="str">
        <f>IF(LEFT(TRIM('MSR RAW'!A67),11)="Department:",TRIM('MSR RAW'!A67),C66)</f>
        <v>Department: 36127 - CONCESSIONS</v>
      </c>
      <c r="D67" t="str">
        <f>IF(LEFT(TRIM('MSR RAW'!B67),9)="Location:",TRIM(MID('MSR RAW'!B67,10,999)),D66)</f>
        <v>FB 106 - RED RALLY NORTH EAST</v>
      </c>
      <c r="E67" t="str">
        <f>IF(AND(ISNUMBER(SEARCH(" - ",TRIM('MSR RAW'!C67))),RIGHT(TRIM('MSR RAW'!C67),6)="Total:"),LEFT(TRIM('MSR RAW'!C67),SEARCH(" - ",TRIM('MSR RAW'!C67))-1),"")</f>
        <v>313000</v>
      </c>
      <c r="F67" t="str">
        <f>IF(E67="","",TRIM(MID(TRIM('MSR RAW'!C67),SEARCH(" - ",TRIM('MSR RAW'!C67))+3,LEN(TRIM('MSR RAW'!C67))-SEARCH(" - ",TRIM('MSR RAW'!C67))-9)))</f>
        <v>FOOD SALES - TAXABLE</v>
      </c>
      <c r="G67" t="str">
        <f>IF(E67="","",IFERROR(VLOOKUP(E67,'CATEGORY MAP'!$A$2:$B$20,2,FALSE()),"REVIEW"))</f>
        <v>FOOD/NON-ALC</v>
      </c>
      <c r="H67">
        <f>IF(E67="","",IFERROR(VALUE(SUBSTITUTE('MSR RAW'!P67,",","")),0))</f>
        <v>11315.69</v>
      </c>
      <c r="I67">
        <f>IF(E67="","",IFERROR(VALUE(SUBSTITUTE('MSR RAW'!S67,",","")),0))</f>
        <v>10514</v>
      </c>
    </row>
    <row r="68" spans="1:9" ht="68.650000000000006" customHeight="1" x14ac:dyDescent="0.2">
      <c r="A68">
        <v>68</v>
      </c>
      <c r="B6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8" t="str">
        <f>IF(LEFT(TRIM('MSR RAW'!A68),11)="Department:",TRIM('MSR RAW'!A68),C67)</f>
        <v>Department: 36127 - CONCESSIONS</v>
      </c>
      <c r="D68" t="str">
        <f>IF(LEFT(TRIM('MSR RAW'!B68),9)="Location:",TRIM(MID('MSR RAW'!B68,10,999)),D67)</f>
        <v>FB 106 - RED RALLY NORTH EAST</v>
      </c>
      <c r="E68" t="str">
        <f>IF(AND(ISNUMBER(SEARCH(" - ",TRIM('MSR RAW'!C68))),RIGHT(TRIM('MSR RAW'!C68),6)="Total:"),LEFT(TRIM('MSR RAW'!C68),SEARCH(" - ",TRIM('MSR RAW'!C68))-1),"")</f>
        <v>313004</v>
      </c>
      <c r="F68" t="str">
        <f>IF(E68="","",TRIM(MID(TRIM('MSR RAW'!C68),SEARCH(" - ",TRIM('MSR RAW'!C68))+3,LEN(TRIM('MSR RAW'!C68))-SEARCH(" - ",TRIM('MSR RAW'!C68))-9)))</f>
        <v>LIQUOR SALES - TAXABLE</v>
      </c>
      <c r="G68" t="str">
        <f>IF(E68="","",IFERROR(VLOOKUP(E68,'CATEGORY MAP'!$A$2:$B$20,2,FALSE()),"REVIEW"))</f>
        <v>ALCOHOL</v>
      </c>
      <c r="H68">
        <f>IF(E68="","",IFERROR(VALUE(SUBSTITUTE('MSR RAW'!P68,",","")),0))</f>
        <v>2014.74</v>
      </c>
      <c r="I68">
        <f>IF(E68="","",IFERROR(VALUE(SUBSTITUTE('MSR RAW'!S68,",","")),0))</f>
        <v>1872</v>
      </c>
    </row>
    <row r="69" spans="1:9" ht="68.650000000000006" customHeight="1" x14ac:dyDescent="0.2">
      <c r="A69">
        <v>69</v>
      </c>
      <c r="B6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9" t="str">
        <f>IF(LEFT(TRIM('MSR RAW'!A69),11)="Department:",TRIM('MSR RAW'!A69),C68)</f>
        <v>Department: 36127 - CONCESSIONS</v>
      </c>
      <c r="D69" t="str">
        <f>IF(LEFT(TRIM('MSR RAW'!B69),9)="Location:",TRIM(MID('MSR RAW'!B69,10,999)),D68)</f>
        <v>FB 106 - RED RALLY NORTH EAST</v>
      </c>
      <c r="E69" t="str">
        <f>IF(AND(ISNUMBER(SEARCH(" - ",TRIM('MSR RAW'!C69))),RIGHT(TRIM('MSR RAW'!C69),6)="Total:"),LEFT(TRIM('MSR RAW'!C69),SEARCH(" - ",TRIM('MSR RAW'!C69))-1),"")</f>
        <v>313082</v>
      </c>
      <c r="F69" t="str">
        <f>IF(E69="","",TRIM(MID(TRIM('MSR RAW'!C69),SEARCH(" - ",TRIM('MSR RAW'!C69))+3,LEN(TRIM('MSR RAW'!C69))-SEARCH(" - ",TRIM('MSR RAW'!C69))-9)))</f>
        <v>BEER PACKAGED SALES</v>
      </c>
      <c r="G69" t="str">
        <f>IF(E69="","",IFERROR(VLOOKUP(E69,'CATEGORY MAP'!$A$2:$B$20,2,FALSE()),"REVIEW"))</f>
        <v>ALCOHOL</v>
      </c>
      <c r="H69">
        <f>IF(E69="","",IFERROR(VALUE(SUBSTITUTE('MSR RAW'!P69,",","")),0))</f>
        <v>5627.71</v>
      </c>
      <c r="I69">
        <f>IF(E69="","",IFERROR(VALUE(SUBSTITUTE('MSR RAW'!S69,",","")),0))</f>
        <v>5229</v>
      </c>
    </row>
    <row r="70" spans="1:9" ht="68.650000000000006" customHeight="1" x14ac:dyDescent="0.2">
      <c r="A70">
        <v>70</v>
      </c>
      <c r="B7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0" t="str">
        <f>IF(LEFT(TRIM('MSR RAW'!A70),11)="Department:",TRIM('MSR RAW'!A70),C69)</f>
        <v>Department: 36127 - CONCESSIONS</v>
      </c>
      <c r="D70" t="str">
        <f>IF(LEFT(TRIM('MSR RAW'!B70),9)="Location:",TRIM(MID('MSR RAW'!B70,10,999)),D69)</f>
        <v>FB 106 - RED RALLY NORTH EAST</v>
      </c>
      <c r="E70" t="str">
        <f>IF(AND(ISNUMBER(SEARCH(" - ",TRIM('MSR RAW'!C70))),RIGHT(TRIM('MSR RAW'!C70),6)="Total:"),LEFT(TRIM('MSR RAW'!C70),SEARCH(" - ",TRIM('MSR RAW'!C70))-1),"")</f>
        <v>FF-313076</v>
      </c>
      <c r="F70" t="str">
        <f>IF(E70="","",TRIM(MID(TRIM('MSR RAW'!C70),SEARCH(" - ",TRIM('MSR RAW'!C70))+3,LEN(TRIM('MSR RAW'!C70))-SEARCH(" - ",TRIM('MSR RAW'!C70))-9)))</f>
        <v>FOOD SALES DISC. FAN FRIENDLY (CC36636)</v>
      </c>
      <c r="G70" t="str">
        <f>IF(E70="","",IFERROR(VLOOKUP(E70,'CATEGORY MAP'!$A$2:$B$20,2,FALSE()),"REVIEW"))</f>
        <v>FOOD/NON-ALC</v>
      </c>
      <c r="H70">
        <f>IF(E70="","",IFERROR(VALUE(SUBSTITUTE('MSR RAW'!P70,",","")),0))</f>
        <v>3099.6</v>
      </c>
      <c r="I70">
        <f>IF(E70="","",IFERROR(VALUE(SUBSTITUTE('MSR RAW'!S70,",","")),0))</f>
        <v>2880</v>
      </c>
    </row>
    <row r="71" spans="1:9" ht="68.650000000000006" customHeight="1" x14ac:dyDescent="0.2">
      <c r="A71">
        <v>71</v>
      </c>
      <c r="B7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1" t="str">
        <f>IF(LEFT(TRIM('MSR RAW'!A71),11)="Department:",TRIM('MSR RAW'!A71),C70)</f>
        <v>Department: 36127 - CONCESSIONS</v>
      </c>
      <c r="D71" t="str">
        <f>IF(LEFT(TRIM('MSR RAW'!B71),9)="Location:",TRIM(MID('MSR RAW'!B71,10,999)),D70)</f>
        <v>FB 106 - RED RALLY NORTH EAST</v>
      </c>
      <c r="E71" t="str">
        <f>IF(AND(ISNUMBER(SEARCH(" - ",TRIM('MSR RAW'!C71))),RIGHT(TRIM('MSR RAW'!C71),6)="Total:"),LEFT(TRIM('MSR RAW'!C71),SEARCH(" - ",TRIM('MSR RAW'!C71))-1),"")</f>
        <v/>
      </c>
      <c r="F71" t="str">
        <f>IF(E71="","",TRIM(MID(TRIM('MSR RAW'!C71),SEARCH(" - ",TRIM('MSR RAW'!C71))+3,LEN(TRIM('MSR RAW'!C71))-SEARCH(" - ",TRIM('MSR RAW'!C71))-9)))</f>
        <v/>
      </c>
      <c r="G71" t="str">
        <f>IF(E71="","",IFERROR(VLOOKUP(E71,'CATEGORY MAP'!$A$2:$B$20,2,FALSE()),"REVIEW"))</f>
        <v/>
      </c>
      <c r="H71" t="str">
        <f>IF(E71="","",IFERROR(VALUE(SUBSTITUTE('MSR RAW'!P71,",","")),0))</f>
        <v/>
      </c>
      <c r="I71" t="str">
        <f>IF(E71="","",IFERROR(VALUE(SUBSTITUTE('MSR RAW'!S71,",","")),0))</f>
        <v/>
      </c>
    </row>
    <row r="72" spans="1:9" ht="68.650000000000006" customHeight="1" x14ac:dyDescent="0.2">
      <c r="A72">
        <v>72</v>
      </c>
      <c r="B7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2" t="str">
        <f>IF(LEFT(TRIM('MSR RAW'!A72),11)="Department:",TRIM('MSR RAW'!A72),C71)</f>
        <v>Department: 36127 - CONCESSIONS</v>
      </c>
      <c r="D72" t="str">
        <f>IF(LEFT(TRIM('MSR RAW'!B72),9)="Location:",TRIM(MID('MSR RAW'!B72,10,999)),D71)</f>
        <v>FB 107 - NE SPECIALTY - DAWG HOUSE</v>
      </c>
      <c r="E72" t="str">
        <f>IF(AND(ISNUMBER(SEARCH(" - ",TRIM('MSR RAW'!C72))),RIGHT(TRIM('MSR RAW'!C72),6)="Total:"),LEFT(TRIM('MSR RAW'!C72),SEARCH(" - ",TRIM('MSR RAW'!C72))-1),"")</f>
        <v/>
      </c>
      <c r="F72" t="str">
        <f>IF(E72="","",TRIM(MID(TRIM('MSR RAW'!C72),SEARCH(" - ",TRIM('MSR RAW'!C72))+3,LEN(TRIM('MSR RAW'!C72))-SEARCH(" - ",TRIM('MSR RAW'!C72))-9)))</f>
        <v/>
      </c>
      <c r="G72" t="str">
        <f>IF(E72="","",IFERROR(VLOOKUP(E72,'CATEGORY MAP'!$A$2:$B$20,2,FALSE()),"REVIEW"))</f>
        <v/>
      </c>
      <c r="H72" t="str">
        <f>IF(E72="","",IFERROR(VALUE(SUBSTITUTE('MSR RAW'!P72,",","")),0))</f>
        <v/>
      </c>
      <c r="I72" t="str">
        <f>IF(E72="","",IFERROR(VALUE(SUBSTITUTE('MSR RAW'!S72,",","")),0))</f>
        <v/>
      </c>
    </row>
    <row r="73" spans="1:9" ht="68.650000000000006" customHeight="1" x14ac:dyDescent="0.2">
      <c r="A73">
        <v>73</v>
      </c>
      <c r="B7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3" t="str">
        <f>IF(LEFT(TRIM('MSR RAW'!A73),11)="Department:",TRIM('MSR RAW'!A73),C72)</f>
        <v>Department: 36127 - CONCESSIONS</v>
      </c>
      <c r="D73" t="str">
        <f>IF(LEFT(TRIM('MSR RAW'!B73),9)="Location:",TRIM(MID('MSR RAW'!B73,10,999)),D72)</f>
        <v>FB 107 - NE SPECIALTY - DAWG HOUSE</v>
      </c>
      <c r="E73" t="str">
        <f>IF(AND(ISNUMBER(SEARCH(" - ",TRIM('MSR RAW'!C73))),RIGHT(TRIM('MSR RAW'!C73),6)="Total:"),LEFT(TRIM('MSR RAW'!C73),SEARCH(" - ",TRIM('MSR RAW'!C73))-1),"")</f>
        <v/>
      </c>
      <c r="F73" t="str">
        <f>IF(E73="","",TRIM(MID(TRIM('MSR RAW'!C73),SEARCH(" - ",TRIM('MSR RAW'!C73))+3,LEN(TRIM('MSR RAW'!C73))-SEARCH(" - ",TRIM('MSR RAW'!C73))-9)))</f>
        <v/>
      </c>
      <c r="G73" t="str">
        <f>IF(E73="","",IFERROR(VLOOKUP(E73,'CATEGORY MAP'!$A$2:$B$20,2,FALSE()),"REVIEW"))</f>
        <v/>
      </c>
      <c r="H73" t="str">
        <f>IF(E73="","",IFERROR(VALUE(SUBSTITUTE('MSR RAW'!P73,",","")),0))</f>
        <v/>
      </c>
      <c r="I73" t="str">
        <f>IF(E73="","",IFERROR(VALUE(SUBSTITUTE('MSR RAW'!S73,",","")),0))</f>
        <v/>
      </c>
    </row>
    <row r="74" spans="1:9" ht="68.650000000000006" customHeight="1" x14ac:dyDescent="0.2">
      <c r="A74">
        <v>74</v>
      </c>
      <c r="B7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4" t="str">
        <f>IF(LEFT(TRIM('MSR RAW'!A74),11)="Department:",TRIM('MSR RAW'!A74),C73)</f>
        <v>Department: 36127 - CONCESSIONS</v>
      </c>
      <c r="D74" t="str">
        <f>IF(LEFT(TRIM('MSR RAW'!B74),9)="Location:",TRIM(MID('MSR RAW'!B74,10,999)),D73)</f>
        <v>FB 107 - NE SPECIALTY - DAWG HOUSE</v>
      </c>
      <c r="E74" t="str">
        <f>IF(AND(ISNUMBER(SEARCH(" - ",TRIM('MSR RAW'!C74))),RIGHT(TRIM('MSR RAW'!C74),6)="Total:"),LEFT(TRIM('MSR RAW'!C74),SEARCH(" - ",TRIM('MSR RAW'!C74))-1),"")</f>
        <v>312115</v>
      </c>
      <c r="F74" t="str">
        <f>IF(E74="","",TRIM(MID(TRIM('MSR RAW'!C74),SEARCH(" - ",TRIM('MSR RAW'!C74))+3,LEN(TRIM('MSR RAW'!C74))-SEARCH(" - ",TRIM('MSR RAW'!C74))-9)))</f>
        <v>N/A BEVERAGE SALES - TAXABLE</v>
      </c>
      <c r="G74" t="str">
        <f>IF(E74="","",IFERROR(VLOOKUP(E74,'CATEGORY MAP'!$A$2:$B$20,2,FALSE()),"REVIEW"))</f>
        <v>FOOD/NON-ALC</v>
      </c>
      <c r="H74">
        <f>IF(E74="","",IFERROR(VALUE(SUBSTITUTE('MSR RAW'!P74,",","")),0))</f>
        <v>2638.97</v>
      </c>
      <c r="I74">
        <f>IF(E74="","",IFERROR(VALUE(SUBSTITUTE('MSR RAW'!S74,",","")),0))</f>
        <v>2452</v>
      </c>
    </row>
    <row r="75" spans="1:9" ht="68.650000000000006" customHeight="1" x14ac:dyDescent="0.2">
      <c r="A75">
        <v>75</v>
      </c>
      <c r="B7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5" t="str">
        <f>IF(LEFT(TRIM('MSR RAW'!A75),11)="Department:",TRIM('MSR RAW'!A75),C74)</f>
        <v>Department: 36127 - CONCESSIONS</v>
      </c>
      <c r="D75" t="str">
        <f>IF(LEFT(TRIM('MSR RAW'!B75),9)="Location:",TRIM(MID('MSR RAW'!B75,10,999)),D74)</f>
        <v>FB 107 - NE SPECIALTY - DAWG HOUSE</v>
      </c>
      <c r="E75" t="str">
        <f>IF(AND(ISNUMBER(SEARCH(" - ",TRIM('MSR RAW'!C75))),RIGHT(TRIM('MSR RAW'!C75),6)="Total:"),LEFT(TRIM('MSR RAW'!C75),SEARCH(" - ",TRIM('MSR RAW'!C75))-1),"")</f>
        <v>313000</v>
      </c>
      <c r="F75" t="str">
        <f>IF(E75="","",TRIM(MID(TRIM('MSR RAW'!C75),SEARCH(" - ",TRIM('MSR RAW'!C75))+3,LEN(TRIM('MSR RAW'!C75))-SEARCH(" - ",TRIM('MSR RAW'!C75))-9)))</f>
        <v>FOOD SALES - TAXABLE</v>
      </c>
      <c r="G75" t="str">
        <f>IF(E75="","",IFERROR(VLOOKUP(E75,'CATEGORY MAP'!$A$2:$B$20,2,FALSE()),"REVIEW"))</f>
        <v>FOOD/NON-ALC</v>
      </c>
      <c r="H75">
        <f>IF(E75="","",IFERROR(VALUE(SUBSTITUTE('MSR RAW'!P75,",","")),0))</f>
        <v>2747.67</v>
      </c>
      <c r="I75">
        <f>IF(E75="","",IFERROR(VALUE(SUBSTITUTE('MSR RAW'!S75,",","")),0))</f>
        <v>2553</v>
      </c>
    </row>
    <row r="76" spans="1:9" ht="68.650000000000006" customHeight="1" x14ac:dyDescent="0.2">
      <c r="A76">
        <v>76</v>
      </c>
      <c r="B7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6" t="str">
        <f>IF(LEFT(TRIM('MSR RAW'!A76),11)="Department:",TRIM('MSR RAW'!A76),C75)</f>
        <v>Department: 36127 - CONCESSIONS</v>
      </c>
      <c r="D76" t="str">
        <f>IF(LEFT(TRIM('MSR RAW'!B76),9)="Location:",TRIM(MID('MSR RAW'!B76,10,999)),D75)</f>
        <v>FB 107 - NE SPECIALTY - DAWG HOUSE</v>
      </c>
      <c r="E76" t="str">
        <f>IF(AND(ISNUMBER(SEARCH(" - ",TRIM('MSR RAW'!C76))),RIGHT(TRIM('MSR RAW'!C76),6)="Total:"),LEFT(TRIM('MSR RAW'!C76),SEARCH(" - ",TRIM('MSR RAW'!C76))-1),"")</f>
        <v>313004</v>
      </c>
      <c r="F76" t="str">
        <f>IF(E76="","",TRIM(MID(TRIM('MSR RAW'!C76),SEARCH(" - ",TRIM('MSR RAW'!C76))+3,LEN(TRIM('MSR RAW'!C76))-SEARCH(" - ",TRIM('MSR RAW'!C76))-9)))</f>
        <v>LIQUOR SALES - TAXABLE</v>
      </c>
      <c r="G76" t="str">
        <f>IF(E76="","",IFERROR(VLOOKUP(E76,'CATEGORY MAP'!$A$2:$B$20,2,FALSE()),"REVIEW"))</f>
        <v>ALCOHOL</v>
      </c>
      <c r="H76">
        <f>IF(E76="","",IFERROR(VALUE(SUBSTITUTE('MSR RAW'!P76,",","")),0))</f>
        <v>1082.71</v>
      </c>
      <c r="I76">
        <f>IF(E76="","",IFERROR(VALUE(SUBSTITUTE('MSR RAW'!S76,",","")),0))</f>
        <v>1006</v>
      </c>
    </row>
    <row r="77" spans="1:9" ht="68.650000000000006" customHeight="1" x14ac:dyDescent="0.2">
      <c r="A77">
        <v>77</v>
      </c>
      <c r="B7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7" t="str">
        <f>IF(LEFT(TRIM('MSR RAW'!A77),11)="Department:",TRIM('MSR RAW'!A77),C76)</f>
        <v>Department: 36127 - CONCESSIONS</v>
      </c>
      <c r="D77" t="str">
        <f>IF(LEFT(TRIM('MSR RAW'!B77),9)="Location:",TRIM(MID('MSR RAW'!B77,10,999)),D76)</f>
        <v>FB 107 - NE SPECIALTY - DAWG HOUSE</v>
      </c>
      <c r="E77" t="str">
        <f>IF(AND(ISNUMBER(SEARCH(" - ",TRIM('MSR RAW'!C77))),RIGHT(TRIM('MSR RAW'!C77),6)="Total:"),LEFT(TRIM('MSR RAW'!C77),SEARCH(" - ",TRIM('MSR RAW'!C77))-1),"")</f>
        <v>313082</v>
      </c>
      <c r="F77" t="str">
        <f>IF(E77="","",TRIM(MID(TRIM('MSR RAW'!C77),SEARCH(" - ",TRIM('MSR RAW'!C77))+3,LEN(TRIM('MSR RAW'!C77))-SEARCH(" - ",TRIM('MSR RAW'!C77))-9)))</f>
        <v>BEER PACKAGED SALES</v>
      </c>
      <c r="G77" t="str">
        <f>IF(E77="","",IFERROR(VLOOKUP(E77,'CATEGORY MAP'!$A$2:$B$20,2,FALSE()),"REVIEW"))</f>
        <v>ALCOHOL</v>
      </c>
      <c r="H77">
        <f>IF(E77="","",IFERROR(VALUE(SUBSTITUTE('MSR RAW'!P77,",","")),0))</f>
        <v>789.97</v>
      </c>
      <c r="I77">
        <f>IF(E77="","",IFERROR(VALUE(SUBSTITUTE('MSR RAW'!S77,",","")),0))</f>
        <v>734</v>
      </c>
    </row>
    <row r="78" spans="1:9" ht="68.650000000000006" customHeight="1" x14ac:dyDescent="0.2">
      <c r="A78">
        <v>78</v>
      </c>
      <c r="B7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8" t="str">
        <f>IF(LEFT(TRIM('MSR RAW'!A78),11)="Department:",TRIM('MSR RAW'!A78),C77)</f>
        <v>Department: 36127 - CONCESSIONS</v>
      </c>
      <c r="D78" t="str">
        <f>IF(LEFT(TRIM('MSR RAW'!B78),9)="Location:",TRIM(MID('MSR RAW'!B78,10,999)),D77)</f>
        <v>FB 107 - NE SPECIALTY - DAWG HOUSE</v>
      </c>
      <c r="E78" t="str">
        <f>IF(AND(ISNUMBER(SEARCH(" - ",TRIM('MSR RAW'!C78))),RIGHT(TRIM('MSR RAW'!C78),6)="Total:"),LEFT(TRIM('MSR RAW'!C78),SEARCH(" - ",TRIM('MSR RAW'!C78))-1),"")</f>
        <v/>
      </c>
      <c r="F78" t="str">
        <f>IF(E78="","",TRIM(MID(TRIM('MSR RAW'!C78),SEARCH(" - ",TRIM('MSR RAW'!C78))+3,LEN(TRIM('MSR RAW'!C78))-SEARCH(" - ",TRIM('MSR RAW'!C78))-9)))</f>
        <v/>
      </c>
      <c r="G78" t="str">
        <f>IF(E78="","",IFERROR(VLOOKUP(E78,'CATEGORY MAP'!$A$2:$B$20,2,FALSE()),"REVIEW"))</f>
        <v/>
      </c>
      <c r="H78" t="str">
        <f>IF(E78="","",IFERROR(VALUE(SUBSTITUTE('MSR RAW'!P78,",","")),0))</f>
        <v/>
      </c>
      <c r="I78" t="str">
        <f>IF(E78="","",IFERROR(VALUE(SUBSTITUTE('MSR RAW'!S78,",","")),0))</f>
        <v/>
      </c>
    </row>
    <row r="79" spans="1:9" ht="68.650000000000006" customHeight="1" x14ac:dyDescent="0.2">
      <c r="A79">
        <v>79</v>
      </c>
      <c r="B7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9" t="str">
        <f>IF(LEFT(TRIM('MSR RAW'!A79),11)="Department:",TRIM('MSR RAW'!A79),C78)</f>
        <v>Department: 36127 - CONCESSIONS</v>
      </c>
      <c r="D79" t="str">
        <f>IF(LEFT(TRIM('MSR RAW'!B79),9)="Location:",TRIM(MID('MSR RAW'!B79,10,999)),D78)</f>
        <v>FB 108 - GRAB N GO - NW</v>
      </c>
      <c r="E79" t="str">
        <f>IF(AND(ISNUMBER(SEARCH(" - ",TRIM('MSR RAW'!C79))),RIGHT(TRIM('MSR RAW'!C79),6)="Total:"),LEFT(TRIM('MSR RAW'!C79),SEARCH(" - ",TRIM('MSR RAW'!C79))-1),"")</f>
        <v/>
      </c>
      <c r="F79" t="str">
        <f>IF(E79="","",TRIM(MID(TRIM('MSR RAW'!C79),SEARCH(" - ",TRIM('MSR RAW'!C79))+3,LEN(TRIM('MSR RAW'!C79))-SEARCH(" - ",TRIM('MSR RAW'!C79))-9)))</f>
        <v/>
      </c>
      <c r="G79" t="str">
        <f>IF(E79="","",IFERROR(VLOOKUP(E79,'CATEGORY MAP'!$A$2:$B$20,2,FALSE()),"REVIEW"))</f>
        <v/>
      </c>
      <c r="H79" t="str">
        <f>IF(E79="","",IFERROR(VALUE(SUBSTITUTE('MSR RAW'!P79,",","")),0))</f>
        <v/>
      </c>
      <c r="I79" t="str">
        <f>IF(E79="","",IFERROR(VALUE(SUBSTITUTE('MSR RAW'!S79,",","")),0))</f>
        <v/>
      </c>
    </row>
    <row r="80" spans="1:9" ht="68.650000000000006" customHeight="1" x14ac:dyDescent="0.2">
      <c r="A80">
        <v>80</v>
      </c>
      <c r="B8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0" t="str">
        <f>IF(LEFT(TRIM('MSR RAW'!A80),11)="Department:",TRIM('MSR RAW'!A80),C79)</f>
        <v>Department: 36127 - CONCESSIONS</v>
      </c>
      <c r="D80" t="str">
        <f>IF(LEFT(TRIM('MSR RAW'!B80),9)="Location:",TRIM(MID('MSR RAW'!B80,10,999)),D79)</f>
        <v>FB 108 - GRAB N GO - NW</v>
      </c>
      <c r="E80" t="str">
        <f>IF(AND(ISNUMBER(SEARCH(" - ",TRIM('MSR RAW'!C80))),RIGHT(TRIM('MSR RAW'!C80),6)="Total:"),LEFT(TRIM('MSR RAW'!C80),SEARCH(" - ",TRIM('MSR RAW'!C80))-1),"")</f>
        <v/>
      </c>
      <c r="F80" t="str">
        <f>IF(E80="","",TRIM(MID(TRIM('MSR RAW'!C80),SEARCH(" - ",TRIM('MSR RAW'!C80))+3,LEN(TRIM('MSR RAW'!C80))-SEARCH(" - ",TRIM('MSR RAW'!C80))-9)))</f>
        <v/>
      </c>
      <c r="G80" t="str">
        <f>IF(E80="","",IFERROR(VLOOKUP(E80,'CATEGORY MAP'!$A$2:$B$20,2,FALSE()),"REVIEW"))</f>
        <v/>
      </c>
      <c r="H80" t="str">
        <f>IF(E80="","",IFERROR(VALUE(SUBSTITUTE('MSR RAW'!P80,",","")),0))</f>
        <v/>
      </c>
      <c r="I80" t="str">
        <f>IF(E80="","",IFERROR(VALUE(SUBSTITUTE('MSR RAW'!S80,",","")),0))</f>
        <v/>
      </c>
    </row>
    <row r="81" spans="1:9" ht="68.650000000000006" customHeight="1" x14ac:dyDescent="0.2">
      <c r="A81">
        <v>81</v>
      </c>
      <c r="B8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1" t="str">
        <f>IF(LEFT(TRIM('MSR RAW'!A81),11)="Department:",TRIM('MSR RAW'!A81),C80)</f>
        <v>Department: 36127 - CONCESSIONS</v>
      </c>
      <c r="D81" t="str">
        <f>IF(LEFT(TRIM('MSR RAW'!B81),9)="Location:",TRIM(MID('MSR RAW'!B81,10,999)),D80)</f>
        <v>FB 108 - GRAB N GO - NW</v>
      </c>
      <c r="E81" t="str">
        <f>IF(AND(ISNUMBER(SEARCH(" - ",TRIM('MSR RAW'!C81))),RIGHT(TRIM('MSR RAW'!C81),6)="Total:"),LEFT(TRIM('MSR RAW'!C81),SEARCH(" - ",TRIM('MSR RAW'!C81))-1),"")</f>
        <v>312115</v>
      </c>
      <c r="F81" t="str">
        <f>IF(E81="","",TRIM(MID(TRIM('MSR RAW'!C81),SEARCH(" - ",TRIM('MSR RAW'!C81))+3,LEN(TRIM('MSR RAW'!C81))-SEARCH(" - ",TRIM('MSR RAW'!C81))-9)))</f>
        <v>N/A BEVERAGE SALES - TAXABLE</v>
      </c>
      <c r="G81" t="str">
        <f>IF(E81="","",IFERROR(VLOOKUP(E81,'CATEGORY MAP'!$A$2:$B$20,2,FALSE()),"REVIEW"))</f>
        <v>FOOD/NON-ALC</v>
      </c>
      <c r="H81">
        <f>IF(E81="","",IFERROR(VALUE(SUBSTITUTE('MSR RAW'!P81,",","")),0))</f>
        <v>3285.79</v>
      </c>
      <c r="I81">
        <f>IF(E81="","",IFERROR(VALUE(SUBSTITUTE('MSR RAW'!S81,",","")),0))</f>
        <v>3053</v>
      </c>
    </row>
    <row r="82" spans="1:9" ht="68.650000000000006" customHeight="1" x14ac:dyDescent="0.2">
      <c r="A82">
        <v>82</v>
      </c>
      <c r="B8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2" t="str">
        <f>IF(LEFT(TRIM('MSR RAW'!A82),11)="Department:",TRIM('MSR RAW'!A82),C81)</f>
        <v>Department: 36127 - CONCESSIONS</v>
      </c>
      <c r="D82" t="str">
        <f>IF(LEFT(TRIM('MSR RAW'!B82),9)="Location:",TRIM(MID('MSR RAW'!B82,10,999)),D81)</f>
        <v>FB 108 - GRAB N GO - NW</v>
      </c>
      <c r="E82" t="str">
        <f>IF(AND(ISNUMBER(SEARCH(" - ",TRIM('MSR RAW'!C82))),RIGHT(TRIM('MSR RAW'!C82),6)="Total:"),LEFT(TRIM('MSR RAW'!C82),SEARCH(" - ",TRIM('MSR RAW'!C82))-1),"")</f>
        <v>313000</v>
      </c>
      <c r="F82" t="str">
        <f>IF(E82="","",TRIM(MID(TRIM('MSR RAW'!C82),SEARCH(" - ",TRIM('MSR RAW'!C82))+3,LEN(TRIM('MSR RAW'!C82))-SEARCH(" - ",TRIM('MSR RAW'!C82))-9)))</f>
        <v>FOOD SALES - TAXABLE</v>
      </c>
      <c r="G82" t="str">
        <f>IF(E82="","",IFERROR(VLOOKUP(E82,'CATEGORY MAP'!$A$2:$B$20,2,FALSE()),"REVIEW"))</f>
        <v>FOOD/NON-ALC</v>
      </c>
      <c r="H82">
        <f>IF(E82="","",IFERROR(VALUE(SUBSTITUTE('MSR RAW'!P82,",","")),0))</f>
        <v>1313.03</v>
      </c>
      <c r="I82">
        <f>IF(E82="","",IFERROR(VALUE(SUBSTITUTE('MSR RAW'!S82,",","")),0))</f>
        <v>1220</v>
      </c>
    </row>
    <row r="83" spans="1:9" ht="68.650000000000006" customHeight="1" x14ac:dyDescent="0.2">
      <c r="A83">
        <v>83</v>
      </c>
      <c r="B8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3" t="str">
        <f>IF(LEFT(TRIM('MSR RAW'!A83),11)="Department:",TRIM('MSR RAW'!A83),C82)</f>
        <v>Department: 36127 - CONCESSIONS</v>
      </c>
      <c r="D83" t="str">
        <f>IF(LEFT(TRIM('MSR RAW'!B83),9)="Location:",TRIM(MID('MSR RAW'!B83,10,999)),D82)</f>
        <v>FB 108 - GRAB N GO - NW</v>
      </c>
      <c r="E83" t="str">
        <f>IF(AND(ISNUMBER(SEARCH(" - ",TRIM('MSR RAW'!C83))),RIGHT(TRIM('MSR RAW'!C83),6)="Total:"),LEFT(TRIM('MSR RAW'!C83),SEARCH(" - ",TRIM('MSR RAW'!C83))-1),"")</f>
        <v>313004</v>
      </c>
      <c r="F83" t="str">
        <f>IF(E83="","",TRIM(MID(TRIM('MSR RAW'!C83),SEARCH(" - ",TRIM('MSR RAW'!C83))+3,LEN(TRIM('MSR RAW'!C83))-SEARCH(" - ",TRIM('MSR RAW'!C83))-9)))</f>
        <v>LIQUOR SALES - TAXABLE</v>
      </c>
      <c r="G83" t="str">
        <f>IF(E83="","",IFERROR(VLOOKUP(E83,'CATEGORY MAP'!$A$2:$B$20,2,FALSE()),"REVIEW"))</f>
        <v>ALCOHOL</v>
      </c>
      <c r="H83">
        <f>IF(E83="","",IFERROR(VALUE(SUBSTITUTE('MSR RAW'!P83,",","")),0))</f>
        <v>6412.3</v>
      </c>
      <c r="I83">
        <f>IF(E83="","",IFERROR(VALUE(SUBSTITUTE('MSR RAW'!S83,",","")),0))</f>
        <v>5958</v>
      </c>
    </row>
    <row r="84" spans="1:9" ht="68.650000000000006" customHeight="1" x14ac:dyDescent="0.2">
      <c r="A84">
        <v>84</v>
      </c>
      <c r="B8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4" t="str">
        <f>IF(LEFT(TRIM('MSR RAW'!A84),11)="Department:",TRIM('MSR RAW'!A84),C83)</f>
        <v>Department: 36127 - CONCESSIONS</v>
      </c>
      <c r="D84" t="str">
        <f>IF(LEFT(TRIM('MSR RAW'!B84),9)="Location:",TRIM(MID('MSR RAW'!B84,10,999)),D83)</f>
        <v>FB 108 - GRAB N GO - NW</v>
      </c>
      <c r="E84" t="str">
        <f>IF(AND(ISNUMBER(SEARCH(" - ",TRIM('MSR RAW'!C84))),RIGHT(TRIM('MSR RAW'!C84),6)="Total:"),LEFT(TRIM('MSR RAW'!C84),SEARCH(" - ",TRIM('MSR RAW'!C84))-1),"")</f>
        <v>313082</v>
      </c>
      <c r="F84" t="str">
        <f>IF(E84="","",TRIM(MID(TRIM('MSR RAW'!C84),SEARCH(" - ",TRIM('MSR RAW'!C84))+3,LEN(TRIM('MSR RAW'!C84))-SEARCH(" - ",TRIM('MSR RAW'!C84))-9)))</f>
        <v>BEER PACKAGED SALES</v>
      </c>
      <c r="G84" t="str">
        <f>IF(E84="","",IFERROR(VLOOKUP(E84,'CATEGORY MAP'!$A$2:$B$20,2,FALSE()),"REVIEW"))</f>
        <v>ALCOHOL</v>
      </c>
      <c r="H84">
        <f>IF(E84="","",IFERROR(VALUE(SUBSTITUTE('MSR RAW'!P84,",","")),0))</f>
        <v>9709.93</v>
      </c>
      <c r="I84">
        <f>IF(E84="","",IFERROR(VALUE(SUBSTITUTE('MSR RAW'!S84,",","")),0))</f>
        <v>9022</v>
      </c>
    </row>
    <row r="85" spans="1:9" ht="68.650000000000006" customHeight="1" x14ac:dyDescent="0.2">
      <c r="A85">
        <v>85</v>
      </c>
      <c r="B8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5" t="str">
        <f>IF(LEFT(TRIM('MSR RAW'!A85),11)="Department:",TRIM('MSR RAW'!A85),C84)</f>
        <v>Department: 36127 - CONCESSIONS</v>
      </c>
      <c r="D85" t="str">
        <f>IF(LEFT(TRIM('MSR RAW'!B85),9)="Location:",TRIM(MID('MSR RAW'!B85,10,999)),D84)</f>
        <v>FB 108 - GRAB N GO - NW</v>
      </c>
      <c r="E85" t="str">
        <f>IF(AND(ISNUMBER(SEARCH(" - ",TRIM('MSR RAW'!C85))),RIGHT(TRIM('MSR RAW'!C85),6)="Total:"),LEFT(TRIM('MSR RAW'!C85),SEARCH(" - ",TRIM('MSR RAW'!C85))-1),"")</f>
        <v>FF-312114</v>
      </c>
      <c r="F85" t="str">
        <f>IF(E85="","",TRIM(MID(TRIM('MSR RAW'!C85),SEARCH(" - ",TRIM('MSR RAW'!C85))+3,LEN(TRIM('MSR RAW'!C85))-SEARCH(" - ",TRIM('MSR RAW'!C85))-9)))</f>
        <v>N/A BEV SALE DISC. FAN FRIENDLY (CC36636)</v>
      </c>
      <c r="G85" t="str">
        <f>IF(E85="","",IFERROR(VLOOKUP(E85,'CATEGORY MAP'!$A$2:$B$20,2,FALSE()),"REVIEW"))</f>
        <v>FOOD/NON-ALC</v>
      </c>
      <c r="H85">
        <f>IF(E85="","",IFERROR(VALUE(SUBSTITUTE('MSR RAW'!P85,",","")),0))</f>
        <v>2621.75</v>
      </c>
      <c r="I85">
        <f>IF(E85="","",IFERROR(VALUE(SUBSTITUTE('MSR RAW'!S85,",","")),0))</f>
        <v>2436</v>
      </c>
    </row>
    <row r="86" spans="1:9" ht="68.650000000000006" customHeight="1" x14ac:dyDescent="0.2">
      <c r="A86">
        <v>86</v>
      </c>
      <c r="B8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6" t="str">
        <f>IF(LEFT(TRIM('MSR RAW'!A86),11)="Department:",TRIM('MSR RAW'!A86),C85)</f>
        <v>Department: 36127 - CONCESSIONS</v>
      </c>
      <c r="D86" t="str">
        <f>IF(LEFT(TRIM('MSR RAW'!B86),9)="Location:",TRIM(MID('MSR RAW'!B86,10,999)),D85)</f>
        <v>FB 108 - GRAB N GO - NW</v>
      </c>
      <c r="E86" t="str">
        <f>IF(AND(ISNUMBER(SEARCH(" - ",TRIM('MSR RAW'!C86))),RIGHT(TRIM('MSR RAW'!C86),6)="Total:"),LEFT(TRIM('MSR RAW'!C86),SEARCH(" - ",TRIM('MSR RAW'!C86))-1),"")</f>
        <v/>
      </c>
      <c r="F86" t="str">
        <f>IF(E86="","",TRIM(MID(TRIM('MSR RAW'!C86),SEARCH(" - ",TRIM('MSR RAW'!C86))+3,LEN(TRIM('MSR RAW'!C86))-SEARCH(" - ",TRIM('MSR RAW'!C86))-9)))</f>
        <v/>
      </c>
      <c r="G86" t="str">
        <f>IF(E86="","",IFERROR(VLOOKUP(E86,'CATEGORY MAP'!$A$2:$B$20,2,FALSE()),"REVIEW"))</f>
        <v/>
      </c>
      <c r="H86" t="str">
        <f>IF(E86="","",IFERROR(VALUE(SUBSTITUTE('MSR RAW'!P86,",","")),0))</f>
        <v/>
      </c>
      <c r="I86" t="str">
        <f>IF(E86="","",IFERROR(VALUE(SUBSTITUTE('MSR RAW'!S86,",","")),0))</f>
        <v/>
      </c>
    </row>
    <row r="87" spans="1:9" ht="68.650000000000006" customHeight="1" x14ac:dyDescent="0.2">
      <c r="A87">
        <v>87</v>
      </c>
      <c r="B8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7" t="str">
        <f>IF(LEFT(TRIM('MSR RAW'!A87),11)="Department:",TRIM('MSR RAW'!A87),C86)</f>
        <v>Department: 36127 - CONCESSIONS</v>
      </c>
      <c r="D87" t="str">
        <f>IF(LEFT(TRIM('MSR RAW'!B87),9)="Location:",TRIM(MID('MSR RAW'!B87,10,999)),D86)</f>
        <v>FB 109 - MBP - NORTH EAST</v>
      </c>
      <c r="E87" t="str">
        <f>IF(AND(ISNUMBER(SEARCH(" - ",TRIM('MSR RAW'!C87))),RIGHT(TRIM('MSR RAW'!C87),6)="Total:"),LEFT(TRIM('MSR RAW'!C87),SEARCH(" - ",TRIM('MSR RAW'!C87))-1),"")</f>
        <v/>
      </c>
      <c r="F87" t="str">
        <f>IF(E87="","",TRIM(MID(TRIM('MSR RAW'!C87),SEARCH(" - ",TRIM('MSR RAW'!C87))+3,LEN(TRIM('MSR RAW'!C87))-SEARCH(" - ",TRIM('MSR RAW'!C87))-9)))</f>
        <v/>
      </c>
      <c r="G87" t="str">
        <f>IF(E87="","",IFERROR(VLOOKUP(E87,'CATEGORY MAP'!$A$2:$B$20,2,FALSE()),"REVIEW"))</f>
        <v/>
      </c>
      <c r="H87" t="str">
        <f>IF(E87="","",IFERROR(VALUE(SUBSTITUTE('MSR RAW'!P87,",","")),0))</f>
        <v/>
      </c>
      <c r="I87" t="str">
        <f>IF(E87="","",IFERROR(VALUE(SUBSTITUTE('MSR RAW'!S87,",","")),0))</f>
        <v/>
      </c>
    </row>
    <row r="88" spans="1:9" ht="68.650000000000006" customHeight="1" x14ac:dyDescent="0.2">
      <c r="A88">
        <v>88</v>
      </c>
      <c r="B8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8" t="str">
        <f>IF(LEFT(TRIM('MSR RAW'!A88),11)="Department:",TRIM('MSR RAW'!A88),C87)</f>
        <v>Department: 36127 - CONCESSIONS</v>
      </c>
      <c r="D88" t="str">
        <f>IF(LEFT(TRIM('MSR RAW'!B88),9)="Location:",TRIM(MID('MSR RAW'!B88,10,999)),D87)</f>
        <v>FB 109 - MBP - NORTH EAST</v>
      </c>
      <c r="E88" t="str">
        <f>IF(AND(ISNUMBER(SEARCH(" - ",TRIM('MSR RAW'!C88))),RIGHT(TRIM('MSR RAW'!C88),6)="Total:"),LEFT(TRIM('MSR RAW'!C88),SEARCH(" - ",TRIM('MSR RAW'!C88))-1),"")</f>
        <v/>
      </c>
      <c r="F88" t="str">
        <f>IF(E88="","",TRIM(MID(TRIM('MSR RAW'!C88),SEARCH(" - ",TRIM('MSR RAW'!C88))+3,LEN(TRIM('MSR RAW'!C88))-SEARCH(" - ",TRIM('MSR RAW'!C88))-9)))</f>
        <v/>
      </c>
      <c r="G88" t="str">
        <f>IF(E88="","",IFERROR(VLOOKUP(E88,'CATEGORY MAP'!$A$2:$B$20,2,FALSE()),"REVIEW"))</f>
        <v/>
      </c>
      <c r="H88" t="str">
        <f>IF(E88="","",IFERROR(VALUE(SUBSTITUTE('MSR RAW'!P88,",","")),0))</f>
        <v/>
      </c>
      <c r="I88" t="str">
        <f>IF(E88="","",IFERROR(VALUE(SUBSTITUTE('MSR RAW'!S88,",","")),0))</f>
        <v/>
      </c>
    </row>
    <row r="89" spans="1:9" ht="68.650000000000006" customHeight="1" x14ac:dyDescent="0.2">
      <c r="A89">
        <v>89</v>
      </c>
      <c r="B8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9" t="str">
        <f>IF(LEFT(TRIM('MSR RAW'!A89),11)="Department:",TRIM('MSR RAW'!A89),C88)</f>
        <v>Department: 36127 - CONCESSIONS</v>
      </c>
      <c r="D89" t="str">
        <f>IF(LEFT(TRIM('MSR RAW'!B89),9)="Location:",TRIM(MID('MSR RAW'!B89,10,999)),D88)</f>
        <v>FB 109 - MBP - NORTH EAST</v>
      </c>
      <c r="E89" t="str">
        <f>IF(AND(ISNUMBER(SEARCH(" - ",TRIM('MSR RAW'!C89))),RIGHT(TRIM('MSR RAW'!C89),6)="Total:"),LEFT(TRIM('MSR RAW'!C89),SEARCH(" - ",TRIM('MSR RAW'!C89))-1),"")</f>
        <v>312115</v>
      </c>
      <c r="F89" t="str">
        <f>IF(E89="","",TRIM(MID(TRIM('MSR RAW'!C89),SEARCH(" - ",TRIM('MSR RAW'!C89))+3,LEN(TRIM('MSR RAW'!C89))-SEARCH(" - ",TRIM('MSR RAW'!C89))-9)))</f>
        <v>N/A BEVERAGE SALES - TAXABLE</v>
      </c>
      <c r="G89" t="str">
        <f>IF(E89="","",IFERROR(VLOOKUP(E89,'CATEGORY MAP'!$A$2:$B$20,2,FALSE()),"REVIEW"))</f>
        <v>FOOD/NON-ALC</v>
      </c>
      <c r="H89">
        <f>IF(E89="","",IFERROR(VALUE(SUBSTITUTE('MSR RAW'!P89,",","")),0))</f>
        <v>499.38</v>
      </c>
      <c r="I89">
        <f>IF(E89="","",IFERROR(VALUE(SUBSTITUTE('MSR RAW'!S89,",","")),0))</f>
        <v>464</v>
      </c>
    </row>
    <row r="90" spans="1:9" ht="68.650000000000006" customHeight="1" x14ac:dyDescent="0.2">
      <c r="A90">
        <v>90</v>
      </c>
      <c r="B9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0" t="str">
        <f>IF(LEFT(TRIM('MSR RAW'!A90),11)="Department:",TRIM('MSR RAW'!A90),C89)</f>
        <v>Department: 36127 - CONCESSIONS</v>
      </c>
      <c r="D90" t="str">
        <f>IF(LEFT(TRIM('MSR RAW'!B90),9)="Location:",TRIM(MID('MSR RAW'!B90,10,999)),D89)</f>
        <v>FB 109 - MBP - NORTH EAST</v>
      </c>
      <c r="E90" t="str">
        <f>IF(AND(ISNUMBER(SEARCH(" - ",TRIM('MSR RAW'!C90))),RIGHT(TRIM('MSR RAW'!C90),6)="Total:"),LEFT(TRIM('MSR RAW'!C90),SEARCH(" - ",TRIM('MSR RAW'!C90))-1),"")</f>
        <v>313004</v>
      </c>
      <c r="F90" t="str">
        <f>IF(E90="","",TRIM(MID(TRIM('MSR RAW'!C90),SEARCH(" - ",TRIM('MSR RAW'!C90))+3,LEN(TRIM('MSR RAW'!C90))-SEARCH(" - ",TRIM('MSR RAW'!C90))-9)))</f>
        <v>LIQUOR SALES - TAXABLE</v>
      </c>
      <c r="G90" t="str">
        <f>IF(E90="","",IFERROR(VLOOKUP(E90,'CATEGORY MAP'!$A$2:$B$20,2,FALSE()),"REVIEW"))</f>
        <v>ALCOHOL</v>
      </c>
      <c r="H90">
        <f>IF(E90="","",IFERROR(VALUE(SUBSTITUTE('MSR RAW'!P90,",","")),0))</f>
        <v>2858.52</v>
      </c>
      <c r="I90">
        <f>IF(E90="","",IFERROR(VALUE(SUBSTITUTE('MSR RAW'!S90,",","")),0))</f>
        <v>2656</v>
      </c>
    </row>
    <row r="91" spans="1:9" ht="68.650000000000006" customHeight="1" x14ac:dyDescent="0.2">
      <c r="A91">
        <v>91</v>
      </c>
      <c r="B9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1" t="str">
        <f>IF(LEFT(TRIM('MSR RAW'!A91),11)="Department:",TRIM('MSR RAW'!A91),C90)</f>
        <v>Department: 36127 - CONCESSIONS</v>
      </c>
      <c r="D91" t="str">
        <f>IF(LEFT(TRIM('MSR RAW'!B91),9)="Location:",TRIM(MID('MSR RAW'!B91,10,999)),D90)</f>
        <v>FB 109 - MBP - NORTH EAST</v>
      </c>
      <c r="E91" t="str">
        <f>IF(AND(ISNUMBER(SEARCH(" - ",TRIM('MSR RAW'!C91))),RIGHT(TRIM('MSR RAW'!C91),6)="Total:"),LEFT(TRIM('MSR RAW'!C91),SEARCH(" - ",TRIM('MSR RAW'!C91))-1),"")</f>
        <v>313082</v>
      </c>
      <c r="F91" t="str">
        <f>IF(E91="","",TRIM(MID(TRIM('MSR RAW'!C91),SEARCH(" - ",TRIM('MSR RAW'!C91))+3,LEN(TRIM('MSR RAW'!C91))-SEARCH(" - ",TRIM('MSR RAW'!C91))-9)))</f>
        <v>BEER PACKAGED SALES</v>
      </c>
      <c r="G91" t="str">
        <f>IF(E91="","",IFERROR(VLOOKUP(E91,'CATEGORY MAP'!$A$2:$B$20,2,FALSE()),"REVIEW"))</f>
        <v>ALCOHOL</v>
      </c>
      <c r="H91">
        <f>IF(E91="","",IFERROR(VALUE(SUBSTITUTE('MSR RAW'!P91,",","")),0))</f>
        <v>6816.43</v>
      </c>
      <c r="I91">
        <f>IF(E91="","",IFERROR(VALUE(SUBSTITUTE('MSR RAW'!S91,",","")),0))</f>
        <v>6333.5</v>
      </c>
    </row>
    <row r="92" spans="1:9" ht="68.650000000000006" customHeight="1" x14ac:dyDescent="0.2">
      <c r="A92">
        <v>92</v>
      </c>
      <c r="B9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2" t="str">
        <f>IF(LEFT(TRIM('MSR RAW'!A92),11)="Department:",TRIM('MSR RAW'!A92),C91)</f>
        <v>Department: 36127 - CONCESSIONS</v>
      </c>
      <c r="D92" t="str">
        <f>IF(LEFT(TRIM('MSR RAW'!B92),9)="Location:",TRIM(MID('MSR RAW'!B92,10,999)),D91)</f>
        <v>FB 109 - MBP - NORTH EAST</v>
      </c>
      <c r="E92" t="str">
        <f>IF(AND(ISNUMBER(SEARCH(" - ",TRIM('MSR RAW'!C92))),RIGHT(TRIM('MSR RAW'!C92),6)="Total:"),LEFT(TRIM('MSR RAW'!C92),SEARCH(" - ",TRIM('MSR RAW'!C92))-1),"")</f>
        <v/>
      </c>
      <c r="F92" t="str">
        <f>IF(E92="","",TRIM(MID(TRIM('MSR RAW'!C92),SEARCH(" - ",TRIM('MSR RAW'!C92))+3,LEN(TRIM('MSR RAW'!C92))-SEARCH(" - ",TRIM('MSR RAW'!C92))-9)))</f>
        <v/>
      </c>
      <c r="G92" t="str">
        <f>IF(E92="","",IFERROR(VLOOKUP(E92,'CATEGORY MAP'!$A$2:$B$20,2,FALSE()),"REVIEW"))</f>
        <v/>
      </c>
      <c r="H92" t="str">
        <f>IF(E92="","",IFERROR(VALUE(SUBSTITUTE('MSR RAW'!P92,",","")),0))</f>
        <v/>
      </c>
      <c r="I92" t="str">
        <f>IF(E92="","",IFERROR(VALUE(SUBSTITUTE('MSR RAW'!S92,",","")),0))</f>
        <v/>
      </c>
    </row>
    <row r="93" spans="1:9" ht="68.650000000000006" customHeight="1" x14ac:dyDescent="0.2">
      <c r="A93">
        <v>93</v>
      </c>
      <c r="B9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3" t="str">
        <f>IF(LEFT(TRIM('MSR RAW'!A93),11)="Department:",TRIM('MSR RAW'!A93),C92)</f>
        <v>Department: 36127 - CONCESSIONS</v>
      </c>
      <c r="D93" t="str">
        <f>IF(LEFT(TRIM('MSR RAW'!B93),9)="Location:",TRIM(MID('MSR RAW'!B93,10,999)),D92)</f>
        <v>FB 110 - MBP - SHIVERS (NW)</v>
      </c>
      <c r="E93" t="str">
        <f>IF(AND(ISNUMBER(SEARCH(" - ",TRIM('MSR RAW'!C93))),RIGHT(TRIM('MSR RAW'!C93),6)="Total:"),LEFT(TRIM('MSR RAW'!C93),SEARCH(" - ",TRIM('MSR RAW'!C93))-1),"")</f>
        <v/>
      </c>
      <c r="F93" t="str">
        <f>IF(E93="","",TRIM(MID(TRIM('MSR RAW'!C93),SEARCH(" - ",TRIM('MSR RAW'!C93))+3,LEN(TRIM('MSR RAW'!C93))-SEARCH(" - ",TRIM('MSR RAW'!C93))-9)))</f>
        <v/>
      </c>
      <c r="G93" t="str">
        <f>IF(E93="","",IFERROR(VLOOKUP(E93,'CATEGORY MAP'!$A$2:$B$20,2,FALSE()),"REVIEW"))</f>
        <v/>
      </c>
      <c r="H93" t="str">
        <f>IF(E93="","",IFERROR(VALUE(SUBSTITUTE('MSR RAW'!P93,",","")),0))</f>
        <v/>
      </c>
      <c r="I93" t="str">
        <f>IF(E93="","",IFERROR(VALUE(SUBSTITUTE('MSR RAW'!S93,",","")),0))</f>
        <v/>
      </c>
    </row>
    <row r="94" spans="1:9" ht="68.650000000000006" customHeight="1" x14ac:dyDescent="0.2">
      <c r="A94">
        <v>94</v>
      </c>
      <c r="B9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4" t="str">
        <f>IF(LEFT(TRIM('MSR RAW'!A94),11)="Department:",TRIM('MSR RAW'!A94),C93)</f>
        <v>Department: 36127 - CONCESSIONS</v>
      </c>
      <c r="D94" t="str">
        <f>IF(LEFT(TRIM('MSR RAW'!B94),9)="Location:",TRIM(MID('MSR RAW'!B94,10,999)),D93)</f>
        <v>FB 110 - MBP - SHIVERS (NW)</v>
      </c>
      <c r="E94" t="str">
        <f>IF(AND(ISNUMBER(SEARCH(" - ",TRIM('MSR RAW'!C94))),RIGHT(TRIM('MSR RAW'!C94),6)="Total:"),LEFT(TRIM('MSR RAW'!C94),SEARCH(" - ",TRIM('MSR RAW'!C94))-1),"")</f>
        <v/>
      </c>
      <c r="F94" t="str">
        <f>IF(E94="","",TRIM(MID(TRIM('MSR RAW'!C94),SEARCH(" - ",TRIM('MSR RAW'!C94))+3,LEN(TRIM('MSR RAW'!C94))-SEARCH(" - ",TRIM('MSR RAW'!C94))-9)))</f>
        <v/>
      </c>
      <c r="G94" t="str">
        <f>IF(E94="","",IFERROR(VLOOKUP(E94,'CATEGORY MAP'!$A$2:$B$20,2,FALSE()),"REVIEW"))</f>
        <v/>
      </c>
      <c r="H94" t="str">
        <f>IF(E94="","",IFERROR(VALUE(SUBSTITUTE('MSR RAW'!P94,",","")),0))</f>
        <v/>
      </c>
      <c r="I94" t="str">
        <f>IF(E94="","",IFERROR(VALUE(SUBSTITUTE('MSR RAW'!S94,",","")),0))</f>
        <v/>
      </c>
    </row>
    <row r="95" spans="1:9" ht="68.650000000000006" customHeight="1" x14ac:dyDescent="0.2">
      <c r="A95">
        <v>95</v>
      </c>
      <c r="B9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5" t="str">
        <f>IF(LEFT(TRIM('MSR RAW'!A95),11)="Department:",TRIM('MSR RAW'!A95),C94)</f>
        <v>Department: 36127 - CONCESSIONS</v>
      </c>
      <c r="D95" t="str">
        <f>IF(LEFT(TRIM('MSR RAW'!B95),9)="Location:",TRIM(MID('MSR RAW'!B95,10,999)),D94)</f>
        <v>FB 110 - MBP - SHIVERS (NW)</v>
      </c>
      <c r="E95" t="str">
        <f>IF(AND(ISNUMBER(SEARCH(" - ",TRIM('MSR RAW'!C95))),RIGHT(TRIM('MSR RAW'!C95),6)="Total:"),LEFT(TRIM('MSR RAW'!C95),SEARCH(" - ",TRIM('MSR RAW'!C95))-1),"")</f>
        <v>312115</v>
      </c>
      <c r="F95" t="str">
        <f>IF(E95="","",TRIM(MID(TRIM('MSR RAW'!C95),SEARCH(" - ",TRIM('MSR RAW'!C95))+3,LEN(TRIM('MSR RAW'!C95))-SEARCH(" - ",TRIM('MSR RAW'!C95))-9)))</f>
        <v>N/A BEVERAGE SALES - TAXABLE</v>
      </c>
      <c r="G95" t="str">
        <f>IF(E95="","",IFERROR(VLOOKUP(E95,'CATEGORY MAP'!$A$2:$B$20,2,FALSE()),"REVIEW"))</f>
        <v>FOOD/NON-ALC</v>
      </c>
      <c r="H95">
        <f>IF(E95="","",IFERROR(VALUE(SUBSTITUTE('MSR RAW'!P95,",","")),0))</f>
        <v>611.30999999999995</v>
      </c>
      <c r="I95">
        <f>IF(E95="","",IFERROR(VALUE(SUBSTITUTE('MSR RAW'!S95,",","")),0))</f>
        <v>568</v>
      </c>
    </row>
    <row r="96" spans="1:9" ht="68.650000000000006" customHeight="1" x14ac:dyDescent="0.2">
      <c r="A96">
        <v>96</v>
      </c>
      <c r="B9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6" t="str">
        <f>IF(LEFT(TRIM('MSR RAW'!A96),11)="Department:",TRIM('MSR RAW'!A96),C95)</f>
        <v>Department: 36127 - CONCESSIONS</v>
      </c>
      <c r="D96" t="str">
        <f>IF(LEFT(TRIM('MSR RAW'!B96),9)="Location:",TRIM(MID('MSR RAW'!B96,10,999)),D95)</f>
        <v>FB 110 - MBP - SHIVERS (NW)</v>
      </c>
      <c r="E96" t="str">
        <f>IF(AND(ISNUMBER(SEARCH(" - ",TRIM('MSR RAW'!C96))),RIGHT(TRIM('MSR RAW'!C96),6)="Total:"),LEFT(TRIM('MSR RAW'!C96),SEARCH(" - ",TRIM('MSR RAW'!C96))-1),"")</f>
        <v>313004</v>
      </c>
      <c r="F96" t="str">
        <f>IF(E96="","",TRIM(MID(TRIM('MSR RAW'!C96),SEARCH(" - ",TRIM('MSR RAW'!C96))+3,LEN(TRIM('MSR RAW'!C96))-SEARCH(" - ",TRIM('MSR RAW'!C96))-9)))</f>
        <v>LIQUOR SALES - TAXABLE</v>
      </c>
      <c r="G96" t="str">
        <f>IF(E96="","",IFERROR(VLOOKUP(E96,'CATEGORY MAP'!$A$2:$B$20,2,FALSE()),"REVIEW"))</f>
        <v>ALCOHOL</v>
      </c>
      <c r="H96">
        <f>IF(E96="","",IFERROR(VALUE(SUBSTITUTE('MSR RAW'!P96,",","")),0))</f>
        <v>4150.0200000000004</v>
      </c>
      <c r="I96">
        <f>IF(E96="","",IFERROR(VALUE(SUBSTITUTE('MSR RAW'!S96,",","")),0))</f>
        <v>3856</v>
      </c>
    </row>
    <row r="97" spans="1:9" ht="68.650000000000006" customHeight="1" x14ac:dyDescent="0.2">
      <c r="A97">
        <v>97</v>
      </c>
      <c r="B9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7" t="str">
        <f>IF(LEFT(TRIM('MSR RAW'!A97),11)="Department:",TRIM('MSR RAW'!A97),C96)</f>
        <v>Department: 36127 - CONCESSIONS</v>
      </c>
      <c r="D97" t="str">
        <f>IF(LEFT(TRIM('MSR RAW'!B97),9)="Location:",TRIM(MID('MSR RAW'!B97,10,999)),D96)</f>
        <v>FB 110 - MBP - SHIVERS (NW)</v>
      </c>
      <c r="E97" t="str">
        <f>IF(AND(ISNUMBER(SEARCH(" - ",TRIM('MSR RAW'!C97))),RIGHT(TRIM('MSR RAW'!C97),6)="Total:"),LEFT(TRIM('MSR RAW'!C97),SEARCH(" - ",TRIM('MSR RAW'!C97))-1),"")</f>
        <v>313082</v>
      </c>
      <c r="F97" t="str">
        <f>IF(E97="","",TRIM(MID(TRIM('MSR RAW'!C97),SEARCH(" - ",TRIM('MSR RAW'!C97))+3,LEN(TRIM('MSR RAW'!C97))-SEARCH(" - ",TRIM('MSR RAW'!C97))-9)))</f>
        <v>BEER PACKAGED SALES</v>
      </c>
      <c r="G97" t="str">
        <f>IF(E97="","",IFERROR(VLOOKUP(E97,'CATEGORY MAP'!$A$2:$B$20,2,FALSE()),"REVIEW"))</f>
        <v>ALCOHOL</v>
      </c>
      <c r="H97">
        <f>IF(E97="","",IFERROR(VALUE(SUBSTITUTE('MSR RAW'!P97,",","")),0))</f>
        <v>9202.48</v>
      </c>
      <c r="I97">
        <f>IF(E97="","",IFERROR(VALUE(SUBSTITUTE('MSR RAW'!S97,",","")),0))</f>
        <v>8550.5</v>
      </c>
    </row>
    <row r="98" spans="1:9" ht="68.650000000000006" customHeight="1" x14ac:dyDescent="0.2">
      <c r="A98">
        <v>98</v>
      </c>
      <c r="B9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8" t="str">
        <f>IF(LEFT(TRIM('MSR RAW'!A98),11)="Department:",TRIM('MSR RAW'!A98),C97)</f>
        <v>Department: 36127 - CONCESSIONS</v>
      </c>
      <c r="D98" t="str">
        <f>IF(LEFT(TRIM('MSR RAW'!B98),9)="Location:",TRIM(MID('MSR RAW'!B98,10,999)),D97)</f>
        <v>FB 110 - MBP - SHIVERS (NW)</v>
      </c>
      <c r="E98" t="str">
        <f>IF(AND(ISNUMBER(SEARCH(" - ",TRIM('MSR RAW'!C98))),RIGHT(TRIM('MSR RAW'!C98),6)="Total:"),LEFT(TRIM('MSR RAW'!C98),SEARCH(" - ",TRIM('MSR RAW'!C98))-1),"")</f>
        <v/>
      </c>
      <c r="F98" t="str">
        <f>IF(E98="","",TRIM(MID(TRIM('MSR RAW'!C98),SEARCH(" - ",TRIM('MSR RAW'!C98))+3,LEN(TRIM('MSR RAW'!C98))-SEARCH(" - ",TRIM('MSR RAW'!C98))-9)))</f>
        <v/>
      </c>
      <c r="G98" t="str">
        <f>IF(E98="","",IFERROR(VLOOKUP(E98,'CATEGORY MAP'!$A$2:$B$20,2,FALSE()),"REVIEW"))</f>
        <v/>
      </c>
      <c r="H98" t="str">
        <f>IF(E98="","",IFERROR(VALUE(SUBSTITUTE('MSR RAW'!P98,",","")),0))</f>
        <v/>
      </c>
      <c r="I98" t="str">
        <f>IF(E98="","",IFERROR(VALUE(SUBSTITUTE('MSR RAW'!S98,",","")),0))</f>
        <v/>
      </c>
    </row>
    <row r="99" spans="1:9" ht="68.650000000000006" customHeight="1" x14ac:dyDescent="0.2">
      <c r="A99">
        <v>99</v>
      </c>
      <c r="B9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9" t="str">
        <f>IF(LEFT(TRIM('MSR RAW'!A99),11)="Department:",TRIM('MSR RAW'!A99),C98)</f>
        <v>Department: 36127 - CONCESSIONS</v>
      </c>
      <c r="D99" t="str">
        <f>IF(LEFT(TRIM('MSR RAW'!B99),9)="Location:",TRIM(MID('MSR RAW'!B99,10,999)),D98)</f>
        <v>FB 111 - MBP - NE PEPSI TRAILER</v>
      </c>
      <c r="E99" t="str">
        <f>IF(AND(ISNUMBER(SEARCH(" - ",TRIM('MSR RAW'!C99))),RIGHT(TRIM('MSR RAW'!C99),6)="Total:"),LEFT(TRIM('MSR RAW'!C99),SEARCH(" - ",TRIM('MSR RAW'!C99))-1),"")</f>
        <v/>
      </c>
      <c r="F99" t="str">
        <f>IF(E99="","",TRIM(MID(TRIM('MSR RAW'!C99),SEARCH(" - ",TRIM('MSR RAW'!C99))+3,LEN(TRIM('MSR RAW'!C99))-SEARCH(" - ",TRIM('MSR RAW'!C99))-9)))</f>
        <v/>
      </c>
      <c r="G99" t="str">
        <f>IF(E99="","",IFERROR(VLOOKUP(E99,'CATEGORY MAP'!$A$2:$B$20,2,FALSE()),"REVIEW"))</f>
        <v/>
      </c>
      <c r="H99" t="str">
        <f>IF(E99="","",IFERROR(VALUE(SUBSTITUTE('MSR RAW'!P99,",","")),0))</f>
        <v/>
      </c>
      <c r="I99" t="str">
        <f>IF(E99="","",IFERROR(VALUE(SUBSTITUTE('MSR RAW'!S99,",","")),0))</f>
        <v/>
      </c>
    </row>
    <row r="100" spans="1:9" ht="68.650000000000006" customHeight="1" x14ac:dyDescent="0.2">
      <c r="A100">
        <v>100</v>
      </c>
      <c r="B10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00" t="str">
        <f>IF(LEFT(TRIM('MSR RAW'!A100),11)="Department:",TRIM('MSR RAW'!A100),C99)</f>
        <v>Department: 36127 - CONCESSIONS</v>
      </c>
      <c r="D100" t="str">
        <f>IF(LEFT(TRIM('MSR RAW'!B100),9)="Location:",TRIM(MID('MSR RAW'!B100,10,999)),D99)</f>
        <v>FB 111 - MBP - NE PEPSI TRAILER</v>
      </c>
      <c r="E100" t="str">
        <f>IF(AND(ISNUMBER(SEARCH(" - ",TRIM('MSR RAW'!C100))),RIGHT(TRIM('MSR RAW'!C100),6)="Total:"),LEFT(TRIM('MSR RAW'!C100),SEARCH(" - ",TRIM('MSR RAW'!C100))-1),"")</f>
        <v/>
      </c>
      <c r="F100" t="str">
        <f>IF(E100="","",TRIM(MID(TRIM('MSR RAW'!C100),SEARCH(" - ",TRIM('MSR RAW'!C100))+3,LEN(TRIM('MSR RAW'!C100))-SEARCH(" - ",TRIM('MSR RAW'!C100))-9)))</f>
        <v/>
      </c>
      <c r="G100" t="str">
        <f>IF(E100="","",IFERROR(VLOOKUP(E100,'CATEGORY MAP'!$A$2:$B$20,2,FALSE()),"REVIEW"))</f>
        <v/>
      </c>
      <c r="H100" t="str">
        <f>IF(E100="","",IFERROR(VALUE(SUBSTITUTE('MSR RAW'!P100,",","")),0))</f>
        <v/>
      </c>
      <c r="I100" t="str">
        <f>IF(E100="","",IFERROR(VALUE(SUBSTITUTE('MSR RAW'!S100,",","")),0))</f>
        <v/>
      </c>
    </row>
    <row r="101" spans="1:9" ht="68.650000000000006" customHeight="1" x14ac:dyDescent="0.2">
      <c r="A101">
        <v>101</v>
      </c>
      <c r="B10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01" t="str">
        <f>IF(LEFT(TRIM('MSR RAW'!A101),11)="Department:",TRIM('MSR RAW'!A101),C100)</f>
        <v>Department: 36127 - CONCESSIONS</v>
      </c>
      <c r="D101" t="str">
        <f>IF(LEFT(TRIM('MSR RAW'!B101),9)="Location:",TRIM(MID('MSR RAW'!B101,10,999)),D100)</f>
        <v>FB 111 - MBP - NE PEPSI TRAILER</v>
      </c>
      <c r="E101" t="str">
        <f>IF(AND(ISNUMBER(SEARCH(" - ",TRIM('MSR RAW'!C101))),RIGHT(TRIM('MSR RAW'!C101),6)="Total:"),LEFT(TRIM('MSR RAW'!C101),SEARCH(" - ",TRIM('MSR RAW'!C101))-1),"")</f>
        <v>312115</v>
      </c>
      <c r="F101" t="str">
        <f>IF(E101="","",TRIM(MID(TRIM('MSR RAW'!C101),SEARCH(" - ",TRIM('MSR RAW'!C101))+3,LEN(TRIM('MSR RAW'!C101))-SEARCH(" - ",TRIM('MSR RAW'!C101))-9)))</f>
        <v>N/A BEVERAGE SALES - TAXABLE</v>
      </c>
      <c r="G101" t="str">
        <f>IF(E101="","",IFERROR(VLOOKUP(E101,'CATEGORY MAP'!$A$2:$B$20,2,FALSE()),"REVIEW"))</f>
        <v>FOOD/NON-ALC</v>
      </c>
      <c r="H101">
        <f>IF(E101="","",IFERROR(VALUE(SUBSTITUTE('MSR RAW'!P101,",","")),0))</f>
        <v>1463.7</v>
      </c>
      <c r="I101">
        <f>IF(E101="","",IFERROR(VALUE(SUBSTITUTE('MSR RAW'!S101,",","")),0))</f>
        <v>1360</v>
      </c>
    </row>
    <row r="102" spans="1:9" ht="68.650000000000006" customHeight="1" x14ac:dyDescent="0.2">
      <c r="A102">
        <v>102</v>
      </c>
      <c r="B10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02" t="str">
        <f>IF(LEFT(TRIM('MSR RAW'!A102),11)="Department:",TRIM('MSR RAW'!A102),C101)</f>
        <v>Department: 36127 - CONCESSIONS</v>
      </c>
      <c r="D102" t="str">
        <f>IF(LEFT(TRIM('MSR RAW'!B102),9)="Location:",TRIM(MID('MSR RAW'!B102,10,999)),D101)</f>
        <v>FB 111 - MBP - NE PEPSI TRAILER</v>
      </c>
      <c r="E102" t="str">
        <f>IF(AND(ISNUMBER(SEARCH(" - ",TRIM('MSR RAW'!C102))),RIGHT(TRIM('MSR RAW'!C102),6)="Total:"),LEFT(TRIM('MSR RAW'!C102),SEARCH(" - ",TRIM('MSR RAW'!C102))-1),"")</f>
        <v>313004</v>
      </c>
      <c r="F102" t="str">
        <f>IF(E102="","",TRIM(MID(TRIM('MSR RAW'!C102),SEARCH(" - ",TRIM('MSR RAW'!C102))+3,LEN(TRIM('MSR RAW'!C102))-SEARCH(" - ",TRIM('MSR RAW'!C102))-9)))</f>
        <v>LIQUOR SALES - TAXABLE</v>
      </c>
      <c r="G102" t="str">
        <f>IF(E102="","",IFERROR(VLOOKUP(E102,'CATEGORY MAP'!$A$2:$B$20,2,FALSE()),"REVIEW"))</f>
        <v>ALCOHOL</v>
      </c>
      <c r="H102">
        <f>IF(E102="","",IFERROR(VALUE(SUBSTITUTE('MSR RAW'!P102,",","")),0))</f>
        <v>4769.9399999999996</v>
      </c>
      <c r="I102">
        <f>IF(E102="","",IFERROR(VALUE(SUBSTITUTE('MSR RAW'!S102,",","")),0))</f>
        <v>4432</v>
      </c>
    </row>
    <row r="103" spans="1:9" ht="68.650000000000006" customHeight="1" x14ac:dyDescent="0.2">
      <c r="A103">
        <v>103</v>
      </c>
      <c r="B10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03" t="str">
        <f>IF(LEFT(TRIM('MSR RAW'!A103),11)="Department:",TRIM('MSR RAW'!A103),C102)</f>
        <v>Department: 36127 - CONCESSIONS</v>
      </c>
      <c r="D103" t="str">
        <f>IF(LEFT(TRIM('MSR RAW'!B103),9)="Location:",TRIM(MID('MSR RAW'!B103,10,999)),D102)</f>
        <v>FB 111 - MBP - NE PEPSI TRAILER</v>
      </c>
      <c r="E103" t="str">
        <f>IF(AND(ISNUMBER(SEARCH(" - ",TRIM('MSR RAW'!C103))),RIGHT(TRIM('MSR RAW'!C103),6)="Total:"),LEFT(TRIM('MSR RAW'!C103),SEARCH(" - ",TRIM('MSR RAW'!C103))-1),"")</f>
        <v>313082</v>
      </c>
      <c r="F103" t="str">
        <f>IF(E103="","",TRIM(MID(TRIM('MSR RAW'!C103),SEARCH(" - ",TRIM('MSR RAW'!C103))+3,LEN(TRIM('MSR RAW'!C103))-SEARCH(" - ",TRIM('MSR RAW'!C103))-9)))</f>
        <v>BEER PACKAGED SALES</v>
      </c>
      <c r="G103" t="str">
        <f>IF(E103="","",IFERROR(VLOOKUP(E103,'CATEGORY MAP'!$A$2:$B$20,2,FALSE()),"REVIEW"))</f>
        <v>ALCOHOL</v>
      </c>
      <c r="H103">
        <f>IF(E103="","",IFERROR(VALUE(SUBSTITUTE('MSR RAW'!P103,",","")),0))</f>
        <v>8338.25</v>
      </c>
      <c r="I103">
        <f>IF(E103="","",IFERROR(VALUE(SUBSTITUTE('MSR RAW'!S103,",","")),0))</f>
        <v>7747.5</v>
      </c>
    </row>
    <row r="104" spans="1:9" ht="68.650000000000006" customHeight="1" x14ac:dyDescent="0.2">
      <c r="A104">
        <v>104</v>
      </c>
      <c r="B10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04" t="str">
        <f>IF(LEFT(TRIM('MSR RAW'!A104),11)="Department:",TRIM('MSR RAW'!A104),C103)</f>
        <v>Department: 36127 - CONCESSIONS</v>
      </c>
      <c r="D104" t="str">
        <f>IF(LEFT(TRIM('MSR RAW'!B104),9)="Location:",TRIM(MID('MSR RAW'!B104,10,999)),D103)</f>
        <v>FB 111 - MBP - NE PEPSI TRAILER</v>
      </c>
      <c r="E104" t="str">
        <f>IF(AND(ISNUMBER(SEARCH(" - ",TRIM('MSR RAW'!C104))),RIGHT(TRIM('MSR RAW'!C104),6)="Total:"),LEFT(TRIM('MSR RAW'!C104),SEARCH(" - ",TRIM('MSR RAW'!C104))-1),"")</f>
        <v/>
      </c>
      <c r="F104" t="str">
        <f>IF(E104="","",TRIM(MID(TRIM('MSR RAW'!C104),SEARCH(" - ",TRIM('MSR RAW'!C104))+3,LEN(TRIM('MSR RAW'!C104))-SEARCH(" - ",TRIM('MSR RAW'!C104))-9)))</f>
        <v/>
      </c>
      <c r="G104" t="str">
        <f>IF(E104="","",IFERROR(VLOOKUP(E104,'CATEGORY MAP'!$A$2:$B$20,2,FALSE()),"REVIEW"))</f>
        <v/>
      </c>
      <c r="H104" t="str">
        <f>IF(E104="","",IFERROR(VALUE(SUBSTITUTE('MSR RAW'!P104,",","")),0))</f>
        <v/>
      </c>
      <c r="I104" t="str">
        <f>IF(E104="","",IFERROR(VALUE(SUBSTITUTE('MSR RAW'!S104,",","")),0))</f>
        <v/>
      </c>
    </row>
    <row r="105" spans="1:9" ht="68.650000000000006" customHeight="1" x14ac:dyDescent="0.2">
      <c r="A105">
        <v>105</v>
      </c>
      <c r="B10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05" t="str">
        <f>IF(LEFT(TRIM('MSR RAW'!A105),11)="Department:",TRIM('MSR RAW'!A105),C104)</f>
        <v>Department: 36127 - CONCESSIONS</v>
      </c>
      <c r="D105" t="str">
        <f>IF(LEFT(TRIM('MSR RAW'!B105),9)="Location:",TRIM(MID('MSR RAW'!B105,10,999)),D104)</f>
        <v>FB 112 - MBP - STUDENT ZONE (SE)</v>
      </c>
      <c r="E105" t="str">
        <f>IF(AND(ISNUMBER(SEARCH(" - ",TRIM('MSR RAW'!C105))),RIGHT(TRIM('MSR RAW'!C105),6)="Total:"),LEFT(TRIM('MSR RAW'!C105),SEARCH(" - ",TRIM('MSR RAW'!C105))-1),"")</f>
        <v/>
      </c>
      <c r="F105" t="str">
        <f>IF(E105="","",TRIM(MID(TRIM('MSR RAW'!C105),SEARCH(" - ",TRIM('MSR RAW'!C105))+3,LEN(TRIM('MSR RAW'!C105))-SEARCH(" - ",TRIM('MSR RAW'!C105))-9)))</f>
        <v/>
      </c>
      <c r="G105" t="str">
        <f>IF(E105="","",IFERROR(VLOOKUP(E105,'CATEGORY MAP'!$A$2:$B$20,2,FALSE()),"REVIEW"))</f>
        <v/>
      </c>
      <c r="H105" t="str">
        <f>IF(E105="","",IFERROR(VALUE(SUBSTITUTE('MSR RAW'!P105,",","")),0))</f>
        <v/>
      </c>
      <c r="I105" t="str">
        <f>IF(E105="","",IFERROR(VALUE(SUBSTITUTE('MSR RAW'!S105,",","")),0))</f>
        <v/>
      </c>
    </row>
    <row r="106" spans="1:9" ht="68.650000000000006" customHeight="1" x14ac:dyDescent="0.2">
      <c r="A106">
        <v>106</v>
      </c>
      <c r="B10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06" t="str">
        <f>IF(LEFT(TRIM('MSR RAW'!A106),11)="Department:",TRIM('MSR RAW'!A106),C105)</f>
        <v>Department: 36127 - CONCESSIONS</v>
      </c>
      <c r="D106" t="str">
        <f>IF(LEFT(TRIM('MSR RAW'!B106),9)="Location:",TRIM(MID('MSR RAW'!B106,10,999)),D105)</f>
        <v>FB 112 - MBP - STUDENT ZONE (SE)</v>
      </c>
      <c r="E106" t="str">
        <f>IF(AND(ISNUMBER(SEARCH(" - ",TRIM('MSR RAW'!C106))),RIGHT(TRIM('MSR RAW'!C106),6)="Total:"),LEFT(TRIM('MSR RAW'!C106),SEARCH(" - ",TRIM('MSR RAW'!C106))-1),"")</f>
        <v/>
      </c>
      <c r="F106" t="str">
        <f>IF(E106="","",TRIM(MID(TRIM('MSR RAW'!C106),SEARCH(" - ",TRIM('MSR RAW'!C106))+3,LEN(TRIM('MSR RAW'!C106))-SEARCH(" - ",TRIM('MSR RAW'!C106))-9)))</f>
        <v/>
      </c>
      <c r="G106" t="str">
        <f>IF(E106="","",IFERROR(VLOOKUP(E106,'CATEGORY MAP'!$A$2:$B$20,2,FALSE()),"REVIEW"))</f>
        <v/>
      </c>
      <c r="H106" t="str">
        <f>IF(E106="","",IFERROR(VALUE(SUBSTITUTE('MSR RAW'!P106,",","")),0))</f>
        <v/>
      </c>
      <c r="I106" t="str">
        <f>IF(E106="","",IFERROR(VALUE(SUBSTITUTE('MSR RAW'!S106,",","")),0))</f>
        <v/>
      </c>
    </row>
    <row r="107" spans="1:9" ht="68.650000000000006" customHeight="1" x14ac:dyDescent="0.2">
      <c r="A107">
        <v>107</v>
      </c>
      <c r="B10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07" t="str">
        <f>IF(LEFT(TRIM('MSR RAW'!A107),11)="Department:",TRIM('MSR RAW'!A107),C106)</f>
        <v>Department: 36127 - CONCESSIONS</v>
      </c>
      <c r="D107" t="str">
        <f>IF(LEFT(TRIM('MSR RAW'!B107),9)="Location:",TRIM(MID('MSR RAW'!B107,10,999)),D106)</f>
        <v>FB 112 - MBP - STUDENT ZONE (SE)</v>
      </c>
      <c r="E107" t="str">
        <f>IF(AND(ISNUMBER(SEARCH(" - ",TRIM('MSR RAW'!C107))),RIGHT(TRIM('MSR RAW'!C107),6)="Total:"),LEFT(TRIM('MSR RAW'!C107),SEARCH(" - ",TRIM('MSR RAW'!C107))-1),"")</f>
        <v>312115</v>
      </c>
      <c r="F107" t="str">
        <f>IF(E107="","",TRIM(MID(TRIM('MSR RAW'!C107),SEARCH(" - ",TRIM('MSR RAW'!C107))+3,LEN(TRIM('MSR RAW'!C107))-SEARCH(" - ",TRIM('MSR RAW'!C107))-9)))</f>
        <v>N/A BEVERAGE SALES - TAXABLE</v>
      </c>
      <c r="G107" t="str">
        <f>IF(E107="","",IFERROR(VLOOKUP(E107,'CATEGORY MAP'!$A$2:$B$20,2,FALSE()),"REVIEW"))</f>
        <v>FOOD/NON-ALC</v>
      </c>
      <c r="H107">
        <f>IF(E107="","",IFERROR(VALUE(SUBSTITUTE('MSR RAW'!P107,",","")),0))</f>
        <v>1305.49</v>
      </c>
      <c r="I107">
        <f>IF(E107="","",IFERROR(VALUE(SUBSTITUTE('MSR RAW'!S107,",","")),0))</f>
        <v>1213</v>
      </c>
    </row>
    <row r="108" spans="1:9" ht="68.650000000000006" customHeight="1" x14ac:dyDescent="0.2">
      <c r="A108">
        <v>108</v>
      </c>
      <c r="B10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08" t="str">
        <f>IF(LEFT(TRIM('MSR RAW'!A108),11)="Department:",TRIM('MSR RAW'!A108),C107)</f>
        <v>Department: 36127 - CONCESSIONS</v>
      </c>
      <c r="D108" t="str">
        <f>IF(LEFT(TRIM('MSR RAW'!B108),9)="Location:",TRIM(MID('MSR RAW'!B108,10,999)),D107)</f>
        <v>FB 112 - MBP - STUDENT ZONE (SE)</v>
      </c>
      <c r="E108" t="str">
        <f>IF(AND(ISNUMBER(SEARCH(" - ",TRIM('MSR RAW'!C108))),RIGHT(TRIM('MSR RAW'!C108),6)="Total:"),LEFT(TRIM('MSR RAW'!C108),SEARCH(" - ",TRIM('MSR RAW'!C108))-1),"")</f>
        <v>313000</v>
      </c>
      <c r="F108" t="str">
        <f>IF(E108="","",TRIM(MID(TRIM('MSR RAW'!C108),SEARCH(" - ",TRIM('MSR RAW'!C108))+3,LEN(TRIM('MSR RAW'!C108))-SEARCH(" - ",TRIM('MSR RAW'!C108))-9)))</f>
        <v>FOOD SALES - TAXABLE</v>
      </c>
      <c r="G108" t="str">
        <f>IF(E108="","",IFERROR(VLOOKUP(E108,'CATEGORY MAP'!$A$2:$B$20,2,FALSE()),"REVIEW"))</f>
        <v>FOOD/NON-ALC</v>
      </c>
      <c r="H108">
        <f>IF(E108="","",IFERROR(VALUE(SUBSTITUTE('MSR RAW'!P108,",","")),0))</f>
        <v>130.22999999999999</v>
      </c>
      <c r="I108">
        <f>IF(E108="","",IFERROR(VALUE(SUBSTITUTE('MSR RAW'!S108,",","")),0))</f>
        <v>121</v>
      </c>
    </row>
    <row r="109" spans="1:9" ht="68.650000000000006" customHeight="1" x14ac:dyDescent="0.2">
      <c r="A109">
        <v>109</v>
      </c>
      <c r="B10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09" t="str">
        <f>IF(LEFT(TRIM('MSR RAW'!A109),11)="Department:",TRIM('MSR RAW'!A109),C108)</f>
        <v>Department: 36127 - CONCESSIONS</v>
      </c>
      <c r="D109" t="str">
        <f>IF(LEFT(TRIM('MSR RAW'!B109),9)="Location:",TRIM(MID('MSR RAW'!B109,10,999)),D108)</f>
        <v>FB 112 - MBP - STUDENT ZONE (SE)</v>
      </c>
      <c r="E109" t="str">
        <f>IF(AND(ISNUMBER(SEARCH(" - ",TRIM('MSR RAW'!C109))),RIGHT(TRIM('MSR RAW'!C109),6)="Total:"),LEFT(TRIM('MSR RAW'!C109),SEARCH(" - ",TRIM('MSR RAW'!C109))-1),"")</f>
        <v>313004</v>
      </c>
      <c r="F109" t="str">
        <f>IF(E109="","",TRIM(MID(TRIM('MSR RAW'!C109),SEARCH(" - ",TRIM('MSR RAW'!C109))+3,LEN(TRIM('MSR RAW'!C109))-SEARCH(" - ",TRIM('MSR RAW'!C109))-9)))</f>
        <v>LIQUOR SALES - TAXABLE</v>
      </c>
      <c r="G109" t="str">
        <f>IF(E109="","",IFERROR(VLOOKUP(E109,'CATEGORY MAP'!$A$2:$B$20,2,FALSE()),"REVIEW"))</f>
        <v>ALCOHOL</v>
      </c>
      <c r="H109">
        <f>IF(E109="","",IFERROR(VALUE(SUBSTITUTE('MSR RAW'!P109,",","")),0))</f>
        <v>206.64</v>
      </c>
      <c r="I109">
        <f>IF(E109="","",IFERROR(VALUE(SUBSTITUTE('MSR RAW'!S109,",","")),0))</f>
        <v>192</v>
      </c>
    </row>
    <row r="110" spans="1:9" ht="68.650000000000006" customHeight="1" x14ac:dyDescent="0.2">
      <c r="A110">
        <v>110</v>
      </c>
      <c r="B11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10" t="str">
        <f>IF(LEFT(TRIM('MSR RAW'!A110),11)="Department:",TRIM('MSR RAW'!A110),C109)</f>
        <v>Department: 36127 - CONCESSIONS</v>
      </c>
      <c r="D110" t="str">
        <f>IF(LEFT(TRIM('MSR RAW'!B110),9)="Location:",TRIM(MID('MSR RAW'!B110,10,999)),D109)</f>
        <v>FB 112 - MBP - STUDENT ZONE (SE)</v>
      </c>
      <c r="E110" t="str">
        <f>IF(AND(ISNUMBER(SEARCH(" - ",TRIM('MSR RAW'!C110))),RIGHT(TRIM('MSR RAW'!C110),6)="Total:"),LEFT(TRIM('MSR RAW'!C110),SEARCH(" - ",TRIM('MSR RAW'!C110))-1),"")</f>
        <v>313082</v>
      </c>
      <c r="F110" t="str">
        <f>IF(E110="","",TRIM(MID(TRIM('MSR RAW'!C110),SEARCH(" - ",TRIM('MSR RAW'!C110))+3,LEN(TRIM('MSR RAW'!C110))-SEARCH(" - ",TRIM('MSR RAW'!C110))-9)))</f>
        <v>BEER PACKAGED SALES</v>
      </c>
      <c r="G110" t="str">
        <f>IF(E110="","",IFERROR(VLOOKUP(E110,'CATEGORY MAP'!$A$2:$B$20,2,FALSE()),"REVIEW"))</f>
        <v>ALCOHOL</v>
      </c>
      <c r="H110">
        <f>IF(E110="","",IFERROR(VALUE(SUBSTITUTE('MSR RAW'!P110,",","")),0))</f>
        <v>823.33</v>
      </c>
      <c r="I110">
        <f>IF(E110="","",IFERROR(VALUE(SUBSTITUTE('MSR RAW'!S110,",","")),0))</f>
        <v>765</v>
      </c>
    </row>
    <row r="111" spans="1:9" ht="68.650000000000006" customHeight="1" x14ac:dyDescent="0.2">
      <c r="A111">
        <v>111</v>
      </c>
      <c r="B11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11" t="str">
        <f>IF(LEFT(TRIM('MSR RAW'!A111),11)="Department:",TRIM('MSR RAW'!A111),C110)</f>
        <v>Department: 36127 - CONCESSIONS</v>
      </c>
      <c r="D111" t="str">
        <f>IF(LEFT(TRIM('MSR RAW'!B111),9)="Location:",TRIM(MID('MSR RAW'!B111,10,999)),D110)</f>
        <v>FB 112 - MBP - STUDENT ZONE (SE)</v>
      </c>
      <c r="E111" t="str">
        <f>IF(AND(ISNUMBER(SEARCH(" - ",TRIM('MSR RAW'!C111))),RIGHT(TRIM('MSR RAW'!C111),6)="Total:"),LEFT(TRIM('MSR RAW'!C111),SEARCH(" - ",TRIM('MSR RAW'!C111))-1),"")</f>
        <v/>
      </c>
      <c r="F111" t="str">
        <f>IF(E111="","",TRIM(MID(TRIM('MSR RAW'!C111),SEARCH(" - ",TRIM('MSR RAW'!C111))+3,LEN(TRIM('MSR RAW'!C111))-SEARCH(" - ",TRIM('MSR RAW'!C111))-9)))</f>
        <v/>
      </c>
      <c r="G111" t="str">
        <f>IF(E111="","",IFERROR(VLOOKUP(E111,'CATEGORY MAP'!$A$2:$B$20,2,FALSE()),"REVIEW"))</f>
        <v/>
      </c>
      <c r="H111" t="str">
        <f>IF(E111="","",IFERROR(VALUE(SUBSTITUTE('MSR RAW'!P111,",","")),0))</f>
        <v/>
      </c>
      <c r="I111" t="str">
        <f>IF(E111="","",IFERROR(VALUE(SUBSTITUTE('MSR RAW'!S111,",","")),0))</f>
        <v/>
      </c>
    </row>
    <row r="112" spans="1:9" ht="68.650000000000006" customHeight="1" x14ac:dyDescent="0.2">
      <c r="A112">
        <v>112</v>
      </c>
      <c r="B11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12" t="str">
        <f>IF(LEFT(TRIM('MSR RAW'!A112),11)="Department:",TRIM('MSR RAW'!A112),C111)</f>
        <v>Department: 36127 - CONCESSIONS</v>
      </c>
      <c r="D112" t="str">
        <f>IF(LEFT(TRIM('MSR RAW'!B112),9)="Location:",TRIM(MID('MSR RAW'!B112,10,999)),D111)</f>
        <v>FB 113 - MBP - MINI MELTS (NW)</v>
      </c>
      <c r="E112" t="str">
        <f>IF(AND(ISNUMBER(SEARCH(" - ",TRIM('MSR RAW'!C112))),RIGHT(TRIM('MSR RAW'!C112),6)="Total:"),LEFT(TRIM('MSR RAW'!C112),SEARCH(" - ",TRIM('MSR RAW'!C112))-1),"")</f>
        <v/>
      </c>
      <c r="F112" t="str">
        <f>IF(E112="","",TRIM(MID(TRIM('MSR RAW'!C112),SEARCH(" - ",TRIM('MSR RAW'!C112))+3,LEN(TRIM('MSR RAW'!C112))-SEARCH(" - ",TRIM('MSR RAW'!C112))-9)))</f>
        <v/>
      </c>
      <c r="G112" t="str">
        <f>IF(E112="","",IFERROR(VLOOKUP(E112,'CATEGORY MAP'!$A$2:$B$20,2,FALSE()),"REVIEW"))</f>
        <v/>
      </c>
      <c r="H112" t="str">
        <f>IF(E112="","",IFERROR(VALUE(SUBSTITUTE('MSR RAW'!P112,",","")),0))</f>
        <v/>
      </c>
      <c r="I112" t="str">
        <f>IF(E112="","",IFERROR(VALUE(SUBSTITUTE('MSR RAW'!S112,",","")),0))</f>
        <v/>
      </c>
    </row>
    <row r="113" spans="1:9" ht="68.650000000000006" customHeight="1" x14ac:dyDescent="0.2">
      <c r="A113">
        <v>113</v>
      </c>
      <c r="B11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13" t="str">
        <f>IF(LEFT(TRIM('MSR RAW'!A113),11)="Department:",TRIM('MSR RAW'!A113),C112)</f>
        <v>Department: 36127 - CONCESSIONS</v>
      </c>
      <c r="D113" t="str">
        <f>IF(LEFT(TRIM('MSR RAW'!B113),9)="Location:",TRIM(MID('MSR RAW'!B113,10,999)),D112)</f>
        <v>FB 113 - MBP - MINI MELTS (NW)</v>
      </c>
      <c r="E113" t="str">
        <f>IF(AND(ISNUMBER(SEARCH(" - ",TRIM('MSR RAW'!C113))),RIGHT(TRIM('MSR RAW'!C113),6)="Total:"),LEFT(TRIM('MSR RAW'!C113),SEARCH(" - ",TRIM('MSR RAW'!C113))-1),"")</f>
        <v/>
      </c>
      <c r="F113" t="str">
        <f>IF(E113="","",TRIM(MID(TRIM('MSR RAW'!C113),SEARCH(" - ",TRIM('MSR RAW'!C113))+3,LEN(TRIM('MSR RAW'!C113))-SEARCH(" - ",TRIM('MSR RAW'!C113))-9)))</f>
        <v/>
      </c>
      <c r="G113" t="str">
        <f>IF(E113="","",IFERROR(VLOOKUP(E113,'CATEGORY MAP'!$A$2:$B$20,2,FALSE()),"REVIEW"))</f>
        <v/>
      </c>
      <c r="H113" t="str">
        <f>IF(E113="","",IFERROR(VALUE(SUBSTITUTE('MSR RAW'!P113,",","")),0))</f>
        <v/>
      </c>
      <c r="I113" t="str">
        <f>IF(E113="","",IFERROR(VALUE(SUBSTITUTE('MSR RAW'!S113,",","")),0))</f>
        <v/>
      </c>
    </row>
    <row r="114" spans="1:9" ht="68.650000000000006" customHeight="1" x14ac:dyDescent="0.2">
      <c r="A114">
        <v>114</v>
      </c>
      <c r="B11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14" t="str">
        <f>IF(LEFT(TRIM('MSR RAW'!A114),11)="Department:",TRIM('MSR RAW'!A114),C113)</f>
        <v>Department: 36127 - CONCESSIONS</v>
      </c>
      <c r="D114" t="str">
        <f>IF(LEFT(TRIM('MSR RAW'!B114),9)="Location:",TRIM(MID('MSR RAW'!B114,10,999)),D113)</f>
        <v>FB 113 - MBP - MINI MELTS (NW)</v>
      </c>
      <c r="E114" t="str">
        <f>IF(AND(ISNUMBER(SEARCH(" - ",TRIM('MSR RAW'!C114))),RIGHT(TRIM('MSR RAW'!C114),6)="Total:"),LEFT(TRIM('MSR RAW'!C114),SEARCH(" - ",TRIM('MSR RAW'!C114))-1),"")</f>
        <v>313000</v>
      </c>
      <c r="F114" t="str">
        <f>IF(E114="","",TRIM(MID(TRIM('MSR RAW'!C114),SEARCH(" - ",TRIM('MSR RAW'!C114))+3,LEN(TRIM('MSR RAW'!C114))-SEARCH(" - ",TRIM('MSR RAW'!C114))-9)))</f>
        <v>FOOD SALES - TAXABLE</v>
      </c>
      <c r="G114" t="str">
        <f>IF(E114="","",IFERROR(VLOOKUP(E114,'CATEGORY MAP'!$A$2:$B$20,2,FALSE()),"REVIEW"))</f>
        <v>FOOD/NON-ALC</v>
      </c>
      <c r="H114">
        <f>IF(E114="","",IFERROR(VALUE(SUBSTITUTE('MSR RAW'!P114,",","")),0))</f>
        <v>2077.16</v>
      </c>
      <c r="I114">
        <f>IF(E114="","",IFERROR(VALUE(SUBSTITUTE('MSR RAW'!S114,",","")),0))</f>
        <v>1930</v>
      </c>
    </row>
    <row r="115" spans="1:9" ht="68.650000000000006" customHeight="1" x14ac:dyDescent="0.2">
      <c r="A115">
        <v>115</v>
      </c>
      <c r="B11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15" t="str">
        <f>IF(LEFT(TRIM('MSR RAW'!A115),11)="Department:",TRIM('MSR RAW'!A115),C114)</f>
        <v>Department: 36127 - CONCESSIONS</v>
      </c>
      <c r="D115" t="str">
        <f>IF(LEFT(TRIM('MSR RAW'!B115),9)="Location:",TRIM(MID('MSR RAW'!B115,10,999)),D114)</f>
        <v>FB 113 - MBP - MINI MELTS (NW)</v>
      </c>
      <c r="E115" t="str">
        <f>IF(AND(ISNUMBER(SEARCH(" - ",TRIM('MSR RAW'!C115))),RIGHT(TRIM('MSR RAW'!C115),6)="Total:"),LEFT(TRIM('MSR RAW'!C115),SEARCH(" - ",TRIM('MSR RAW'!C115))-1),"")</f>
        <v/>
      </c>
      <c r="F115" t="str">
        <f>IF(E115="","",TRIM(MID(TRIM('MSR RAW'!C115),SEARCH(" - ",TRIM('MSR RAW'!C115))+3,LEN(TRIM('MSR RAW'!C115))-SEARCH(" - ",TRIM('MSR RAW'!C115))-9)))</f>
        <v/>
      </c>
      <c r="G115" t="str">
        <f>IF(E115="","",IFERROR(VLOOKUP(E115,'CATEGORY MAP'!$A$2:$B$20,2,FALSE()),"REVIEW"))</f>
        <v/>
      </c>
      <c r="H115" t="str">
        <f>IF(E115="","",IFERROR(VALUE(SUBSTITUTE('MSR RAW'!P115,",","")),0))</f>
        <v/>
      </c>
      <c r="I115" t="str">
        <f>IF(E115="","",IFERROR(VALUE(SUBSTITUTE('MSR RAW'!S115,",","")),0))</f>
        <v/>
      </c>
    </row>
    <row r="116" spans="1:9" ht="68.650000000000006" customHeight="1" x14ac:dyDescent="0.2">
      <c r="A116">
        <v>116</v>
      </c>
      <c r="B11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16" t="str">
        <f>IF(LEFT(TRIM('MSR RAW'!A116),11)="Department:",TRIM('MSR RAW'!A116),C115)</f>
        <v>Department: 36127 - CONCESSIONS</v>
      </c>
      <c r="D116" t="str">
        <f>IF(LEFT(TRIM('MSR RAW'!B116),9)="Location:",TRIM(MID('MSR RAW'!B116,10,999)),D115)</f>
        <v>FB 113B - MBP - MINI MELTS (NE)</v>
      </c>
      <c r="E116" t="str">
        <f>IF(AND(ISNUMBER(SEARCH(" - ",TRIM('MSR RAW'!C116))),RIGHT(TRIM('MSR RAW'!C116),6)="Total:"),LEFT(TRIM('MSR RAW'!C116),SEARCH(" - ",TRIM('MSR RAW'!C116))-1),"")</f>
        <v/>
      </c>
      <c r="F116" t="str">
        <f>IF(E116="","",TRIM(MID(TRIM('MSR RAW'!C116),SEARCH(" - ",TRIM('MSR RAW'!C116))+3,LEN(TRIM('MSR RAW'!C116))-SEARCH(" - ",TRIM('MSR RAW'!C116))-9)))</f>
        <v/>
      </c>
      <c r="G116" t="str">
        <f>IF(E116="","",IFERROR(VLOOKUP(E116,'CATEGORY MAP'!$A$2:$B$20,2,FALSE()),"REVIEW"))</f>
        <v/>
      </c>
      <c r="H116" t="str">
        <f>IF(E116="","",IFERROR(VALUE(SUBSTITUTE('MSR RAW'!P116,",","")),0))</f>
        <v/>
      </c>
      <c r="I116" t="str">
        <f>IF(E116="","",IFERROR(VALUE(SUBSTITUTE('MSR RAW'!S116,",","")),0))</f>
        <v/>
      </c>
    </row>
    <row r="117" spans="1:9" ht="68.650000000000006" customHeight="1" x14ac:dyDescent="0.2">
      <c r="A117">
        <v>117</v>
      </c>
      <c r="B11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17" t="str">
        <f>IF(LEFT(TRIM('MSR RAW'!A117),11)="Department:",TRIM('MSR RAW'!A117),C116)</f>
        <v>Department: 36127 - CONCESSIONS</v>
      </c>
      <c r="D117" t="str">
        <f>IF(LEFT(TRIM('MSR RAW'!B117),9)="Location:",TRIM(MID('MSR RAW'!B117,10,999)),D116)</f>
        <v>FB 113B - MBP - MINI MELTS (NE)</v>
      </c>
      <c r="E117" t="str">
        <f>IF(AND(ISNUMBER(SEARCH(" - ",TRIM('MSR RAW'!C117))),RIGHT(TRIM('MSR RAW'!C117),6)="Total:"),LEFT(TRIM('MSR RAW'!C117),SEARCH(" - ",TRIM('MSR RAW'!C117))-1),"")</f>
        <v/>
      </c>
      <c r="F117" t="str">
        <f>IF(E117="","",TRIM(MID(TRIM('MSR RAW'!C117),SEARCH(" - ",TRIM('MSR RAW'!C117))+3,LEN(TRIM('MSR RAW'!C117))-SEARCH(" - ",TRIM('MSR RAW'!C117))-9)))</f>
        <v/>
      </c>
      <c r="G117" t="str">
        <f>IF(E117="","",IFERROR(VLOOKUP(E117,'CATEGORY MAP'!$A$2:$B$20,2,FALSE()),"REVIEW"))</f>
        <v/>
      </c>
      <c r="H117" t="str">
        <f>IF(E117="","",IFERROR(VALUE(SUBSTITUTE('MSR RAW'!P117,",","")),0))</f>
        <v/>
      </c>
      <c r="I117" t="str">
        <f>IF(E117="","",IFERROR(VALUE(SUBSTITUTE('MSR RAW'!S117,",","")),0))</f>
        <v/>
      </c>
    </row>
    <row r="118" spans="1:9" ht="68.650000000000006" customHeight="1" x14ac:dyDescent="0.2">
      <c r="A118">
        <v>118</v>
      </c>
      <c r="B11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18" t="str">
        <f>IF(LEFT(TRIM('MSR RAW'!A118),11)="Department:",TRIM('MSR RAW'!A118),C117)</f>
        <v>Department: 36127 - CONCESSIONS</v>
      </c>
      <c r="D118" t="str">
        <f>IF(LEFT(TRIM('MSR RAW'!B118),9)="Location:",TRIM(MID('MSR RAW'!B118,10,999)),D117)</f>
        <v>FB 113B - MBP - MINI MELTS (NE)</v>
      </c>
      <c r="E118" t="str">
        <f>IF(AND(ISNUMBER(SEARCH(" - ",TRIM('MSR RAW'!C118))),RIGHT(TRIM('MSR RAW'!C118),6)="Total:"),LEFT(TRIM('MSR RAW'!C118),SEARCH(" - ",TRIM('MSR RAW'!C118))-1),"")</f>
        <v>313000</v>
      </c>
      <c r="F118" t="str">
        <f>IF(E118="","",TRIM(MID(TRIM('MSR RAW'!C118),SEARCH(" - ",TRIM('MSR RAW'!C118))+3,LEN(TRIM('MSR RAW'!C118))-SEARCH(" - ",TRIM('MSR RAW'!C118))-9)))</f>
        <v>FOOD SALES - TAXABLE</v>
      </c>
      <c r="G118" t="str">
        <f>IF(E118="","",IFERROR(VLOOKUP(E118,'CATEGORY MAP'!$A$2:$B$20,2,FALSE()),"REVIEW"))</f>
        <v>FOOD/NON-ALC</v>
      </c>
      <c r="H118">
        <f>IF(E118="","",IFERROR(VALUE(SUBSTITUTE('MSR RAW'!P118,",","")),0))</f>
        <v>2507.66</v>
      </c>
      <c r="I118">
        <f>IF(E118="","",IFERROR(VALUE(SUBSTITUTE('MSR RAW'!S118,",","")),0))</f>
        <v>2330</v>
      </c>
    </row>
    <row r="119" spans="1:9" ht="68.650000000000006" customHeight="1" x14ac:dyDescent="0.2">
      <c r="A119">
        <v>119</v>
      </c>
      <c r="B11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19" t="str">
        <f>IF(LEFT(TRIM('MSR RAW'!A119),11)="Department:",TRIM('MSR RAW'!A119),C118)</f>
        <v>Department: 36127 - CONCESSIONS</v>
      </c>
      <c r="D119" t="str">
        <f>IF(LEFT(TRIM('MSR RAW'!B119),9)="Location:",TRIM(MID('MSR RAW'!B119,10,999)),D118)</f>
        <v>FB 113B - MBP - MINI MELTS (NE)</v>
      </c>
      <c r="E119" t="str">
        <f>IF(AND(ISNUMBER(SEARCH(" - ",TRIM('MSR RAW'!C119))),RIGHT(TRIM('MSR RAW'!C119),6)="Total:"),LEFT(TRIM('MSR RAW'!C119),SEARCH(" - ",TRIM('MSR RAW'!C119))-1),"")</f>
        <v/>
      </c>
      <c r="F119" t="str">
        <f>IF(E119="","",TRIM(MID(TRIM('MSR RAW'!C119),SEARCH(" - ",TRIM('MSR RAW'!C119))+3,LEN(TRIM('MSR RAW'!C119))-SEARCH(" - ",TRIM('MSR RAW'!C119))-9)))</f>
        <v/>
      </c>
      <c r="G119" t="str">
        <f>IF(E119="","",IFERROR(VLOOKUP(E119,'CATEGORY MAP'!$A$2:$B$20,2,FALSE()),"REVIEW"))</f>
        <v/>
      </c>
      <c r="H119" t="str">
        <f>IF(E119="","",IFERROR(VALUE(SUBSTITUTE('MSR RAW'!P119,",","")),0))</f>
        <v/>
      </c>
      <c r="I119" t="str">
        <f>IF(E119="","",IFERROR(VALUE(SUBSTITUTE('MSR RAW'!S119,",","")),0))</f>
        <v/>
      </c>
    </row>
    <row r="120" spans="1:9" ht="68.650000000000006" customHeight="1" x14ac:dyDescent="0.2">
      <c r="A120">
        <v>120</v>
      </c>
      <c r="B12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20" t="str">
        <f>IF(LEFT(TRIM('MSR RAW'!A120),11)="Department:",TRIM('MSR RAW'!A120),C119)</f>
        <v>Department: 36127 - CONCESSIONS</v>
      </c>
      <c r="D120" t="str">
        <f>IF(LEFT(TRIM('MSR RAW'!B120),9)="Location:",TRIM(MID('MSR RAW'!B120,10,999)),D119)</f>
        <v>FB 117 - MBP ELOTICO CART (NW)</v>
      </c>
      <c r="E120" t="str">
        <f>IF(AND(ISNUMBER(SEARCH(" - ",TRIM('MSR RAW'!C120))),RIGHT(TRIM('MSR RAW'!C120),6)="Total:"),LEFT(TRIM('MSR RAW'!C120),SEARCH(" - ",TRIM('MSR RAW'!C120))-1),"")</f>
        <v/>
      </c>
      <c r="F120" t="str">
        <f>IF(E120="","",TRIM(MID(TRIM('MSR RAW'!C120),SEARCH(" - ",TRIM('MSR RAW'!C120))+3,LEN(TRIM('MSR RAW'!C120))-SEARCH(" - ",TRIM('MSR RAW'!C120))-9)))</f>
        <v/>
      </c>
      <c r="G120" t="str">
        <f>IF(E120="","",IFERROR(VLOOKUP(E120,'CATEGORY MAP'!$A$2:$B$20,2,FALSE()),"REVIEW"))</f>
        <v/>
      </c>
      <c r="H120" t="str">
        <f>IF(E120="","",IFERROR(VALUE(SUBSTITUTE('MSR RAW'!P120,",","")),0))</f>
        <v/>
      </c>
      <c r="I120" t="str">
        <f>IF(E120="","",IFERROR(VALUE(SUBSTITUTE('MSR RAW'!S120,",","")),0))</f>
        <v/>
      </c>
    </row>
    <row r="121" spans="1:9" ht="68.650000000000006" customHeight="1" x14ac:dyDescent="0.2">
      <c r="A121">
        <v>121</v>
      </c>
      <c r="B12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21" t="str">
        <f>IF(LEFT(TRIM('MSR RAW'!A121),11)="Department:",TRIM('MSR RAW'!A121),C120)</f>
        <v>Department: 36127 - CONCESSIONS</v>
      </c>
      <c r="D121" t="str">
        <f>IF(LEFT(TRIM('MSR RAW'!B121),9)="Location:",TRIM(MID('MSR RAW'!B121,10,999)),D120)</f>
        <v>FB 117 - MBP ELOTICO CART (NW)</v>
      </c>
      <c r="E121" t="str">
        <f>IF(AND(ISNUMBER(SEARCH(" - ",TRIM('MSR RAW'!C121))),RIGHT(TRIM('MSR RAW'!C121),6)="Total:"),LEFT(TRIM('MSR RAW'!C121),SEARCH(" - ",TRIM('MSR RAW'!C121))-1),"")</f>
        <v/>
      </c>
      <c r="F121" t="str">
        <f>IF(E121="","",TRIM(MID(TRIM('MSR RAW'!C121),SEARCH(" - ",TRIM('MSR RAW'!C121))+3,LEN(TRIM('MSR RAW'!C121))-SEARCH(" - ",TRIM('MSR RAW'!C121))-9)))</f>
        <v/>
      </c>
      <c r="G121" t="str">
        <f>IF(E121="","",IFERROR(VLOOKUP(E121,'CATEGORY MAP'!$A$2:$B$20,2,FALSE()),"REVIEW"))</f>
        <v/>
      </c>
      <c r="H121" t="str">
        <f>IF(E121="","",IFERROR(VALUE(SUBSTITUTE('MSR RAW'!P121,",","")),0))</f>
        <v/>
      </c>
      <c r="I121" t="str">
        <f>IF(E121="","",IFERROR(VALUE(SUBSTITUTE('MSR RAW'!S121,",","")),0))</f>
        <v/>
      </c>
    </row>
    <row r="122" spans="1:9" ht="68.650000000000006" customHeight="1" x14ac:dyDescent="0.2">
      <c r="A122">
        <v>122</v>
      </c>
      <c r="B12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22" t="str">
        <f>IF(LEFT(TRIM('MSR RAW'!A122),11)="Department:",TRIM('MSR RAW'!A122),C121)</f>
        <v>Department: 36127 - CONCESSIONS</v>
      </c>
      <c r="D122" t="str">
        <f>IF(LEFT(TRIM('MSR RAW'!B122),9)="Location:",TRIM(MID('MSR RAW'!B122,10,999)),D121)</f>
        <v>FB 117 - MBP ELOTICO CART (NW)</v>
      </c>
      <c r="E122" t="str">
        <f>IF(AND(ISNUMBER(SEARCH(" - ",TRIM('MSR RAW'!C122))),RIGHT(TRIM('MSR RAW'!C122),6)="Total:"),LEFT(TRIM('MSR RAW'!C122),SEARCH(" - ",TRIM('MSR RAW'!C122))-1),"")</f>
        <v>312115</v>
      </c>
      <c r="F122" t="str">
        <f>IF(E122="","",TRIM(MID(TRIM('MSR RAW'!C122),SEARCH(" - ",TRIM('MSR RAW'!C122))+3,LEN(TRIM('MSR RAW'!C122))-SEARCH(" - ",TRIM('MSR RAW'!C122))-9)))</f>
        <v>N/A BEVERAGE SALES - TAXABLE</v>
      </c>
      <c r="G122" t="str">
        <f>IF(E122="","",IFERROR(VLOOKUP(E122,'CATEGORY MAP'!$A$2:$B$20,2,FALSE()),"REVIEW"))</f>
        <v>FOOD/NON-ALC</v>
      </c>
      <c r="H122">
        <f>IF(E122="","",IFERROR(VALUE(SUBSTITUTE('MSR RAW'!P122,",","")),0))</f>
        <v>387.45</v>
      </c>
      <c r="I122">
        <f>IF(E122="","",IFERROR(VALUE(SUBSTITUTE('MSR RAW'!S122,",","")),0))</f>
        <v>360</v>
      </c>
    </row>
    <row r="123" spans="1:9" ht="68.650000000000006" customHeight="1" x14ac:dyDescent="0.2">
      <c r="A123">
        <v>123</v>
      </c>
      <c r="B12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23" t="str">
        <f>IF(LEFT(TRIM('MSR RAW'!A123),11)="Department:",TRIM('MSR RAW'!A123),C122)</f>
        <v>Department: 36127 - CONCESSIONS</v>
      </c>
      <c r="D123" t="str">
        <f>IF(LEFT(TRIM('MSR RAW'!B123),9)="Location:",TRIM(MID('MSR RAW'!B123,10,999)),D122)</f>
        <v>FB 117 - MBP ELOTICO CART (NW)</v>
      </c>
      <c r="E123" t="str">
        <f>IF(AND(ISNUMBER(SEARCH(" - ",TRIM('MSR RAW'!C123))),RIGHT(TRIM('MSR RAW'!C123),6)="Total:"),LEFT(TRIM('MSR RAW'!C123),SEARCH(" - ",TRIM('MSR RAW'!C123))-1),"")</f>
        <v>313000</v>
      </c>
      <c r="F123" t="str">
        <f>IF(E123="","",TRIM(MID(TRIM('MSR RAW'!C123),SEARCH(" - ",TRIM('MSR RAW'!C123))+3,LEN(TRIM('MSR RAW'!C123))-SEARCH(" - ",TRIM('MSR RAW'!C123))-9)))</f>
        <v>FOOD SALES - TAXABLE</v>
      </c>
      <c r="G123" t="str">
        <f>IF(E123="","",IFERROR(VLOOKUP(E123,'CATEGORY MAP'!$A$2:$B$20,2,FALSE()),"REVIEW"))</f>
        <v>FOOD/NON-ALC</v>
      </c>
      <c r="H123">
        <f>IF(E123="","",IFERROR(VALUE(SUBSTITUTE('MSR RAW'!P123,",","")),0))</f>
        <v>1018.13</v>
      </c>
      <c r="I123">
        <f>IF(E123="","",IFERROR(VALUE(SUBSTITUTE('MSR RAW'!S123,",","")),0))</f>
        <v>946</v>
      </c>
    </row>
    <row r="124" spans="1:9" ht="68.650000000000006" customHeight="1" x14ac:dyDescent="0.2">
      <c r="A124">
        <v>124</v>
      </c>
      <c r="B12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24" t="str">
        <f>IF(LEFT(TRIM('MSR RAW'!A124),11)="Department:",TRIM('MSR RAW'!A124),C123)</f>
        <v>Department: 36127 - CONCESSIONS</v>
      </c>
      <c r="D124" t="str">
        <f>IF(LEFT(TRIM('MSR RAW'!B124),9)="Location:",TRIM(MID('MSR RAW'!B124,10,999)),D123)</f>
        <v>FB 117 - MBP ELOTICO CART (NW)</v>
      </c>
      <c r="E124" t="str">
        <f>IF(AND(ISNUMBER(SEARCH(" - ",TRIM('MSR RAW'!C124))),RIGHT(TRIM('MSR RAW'!C124),6)="Total:"),LEFT(TRIM('MSR RAW'!C124),SEARCH(" - ",TRIM('MSR RAW'!C124))-1),"")</f>
        <v>313004</v>
      </c>
      <c r="F124" t="str">
        <f>IF(E124="","",TRIM(MID(TRIM('MSR RAW'!C124),SEARCH(" - ",TRIM('MSR RAW'!C124))+3,LEN(TRIM('MSR RAW'!C124))-SEARCH(" - ",TRIM('MSR RAW'!C124))-9)))</f>
        <v>LIQUOR SALES - TAXABLE</v>
      </c>
      <c r="G124" t="str">
        <f>IF(E124="","",IFERROR(VLOOKUP(E124,'CATEGORY MAP'!$A$2:$B$20,2,FALSE()),"REVIEW"))</f>
        <v>ALCOHOL</v>
      </c>
      <c r="H124">
        <f>IF(E124="","",IFERROR(VALUE(SUBSTITUTE('MSR RAW'!P124,",","")),0))</f>
        <v>826.56</v>
      </c>
      <c r="I124">
        <f>IF(E124="","",IFERROR(VALUE(SUBSTITUTE('MSR RAW'!S124,",","")),0))</f>
        <v>768</v>
      </c>
    </row>
    <row r="125" spans="1:9" ht="68.650000000000006" customHeight="1" x14ac:dyDescent="0.2">
      <c r="A125">
        <v>125</v>
      </c>
      <c r="B12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25" t="str">
        <f>IF(LEFT(TRIM('MSR RAW'!A125),11)="Department:",TRIM('MSR RAW'!A125),C124)</f>
        <v>Department: 36127 - CONCESSIONS</v>
      </c>
      <c r="D125" t="str">
        <f>IF(LEFT(TRIM('MSR RAW'!B125),9)="Location:",TRIM(MID('MSR RAW'!B125,10,999)),D124)</f>
        <v>FB 117 - MBP ELOTICO CART (NW)</v>
      </c>
      <c r="E125" t="str">
        <f>IF(AND(ISNUMBER(SEARCH(" - ",TRIM('MSR RAW'!C125))),RIGHT(TRIM('MSR RAW'!C125),6)="Total:"),LEFT(TRIM('MSR RAW'!C125),SEARCH(" - ",TRIM('MSR RAW'!C125))-1),"")</f>
        <v>313082</v>
      </c>
      <c r="F125" t="str">
        <f>IF(E125="","",TRIM(MID(TRIM('MSR RAW'!C125),SEARCH(" - ",TRIM('MSR RAW'!C125))+3,LEN(TRIM('MSR RAW'!C125))-SEARCH(" - ",TRIM('MSR RAW'!C125))-9)))</f>
        <v>BEER PACKAGED SALES</v>
      </c>
      <c r="G125" t="str">
        <f>IF(E125="","",IFERROR(VLOOKUP(E125,'CATEGORY MAP'!$A$2:$B$20,2,FALSE()),"REVIEW"))</f>
        <v>ALCOHOL</v>
      </c>
      <c r="H125">
        <f>IF(E125="","",IFERROR(VALUE(SUBSTITUTE('MSR RAW'!P125,",","")),0))</f>
        <v>1267.82</v>
      </c>
      <c r="I125">
        <f>IF(E125="","",IFERROR(VALUE(SUBSTITUTE('MSR RAW'!S125,",","")),0))</f>
        <v>1178</v>
      </c>
    </row>
    <row r="126" spans="1:9" ht="68.650000000000006" customHeight="1" x14ac:dyDescent="0.2">
      <c r="A126">
        <v>126</v>
      </c>
      <c r="B12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26" t="str">
        <f>IF(LEFT(TRIM('MSR RAW'!A126),11)="Department:",TRIM('MSR RAW'!A126),C125)</f>
        <v>Department: 36127 - CONCESSIONS</v>
      </c>
      <c r="D126" t="str">
        <f>IF(LEFT(TRIM('MSR RAW'!B126),9)="Location:",TRIM(MID('MSR RAW'!B126,10,999)),D125)</f>
        <v>FB 117 - MBP ELOTICO CART (NW)</v>
      </c>
      <c r="E126" t="str">
        <f>IF(AND(ISNUMBER(SEARCH(" - ",TRIM('MSR RAW'!C126))),RIGHT(TRIM('MSR RAW'!C126),6)="Total:"),LEFT(TRIM('MSR RAW'!C126),SEARCH(" - ",TRIM('MSR RAW'!C126))-1),"")</f>
        <v/>
      </c>
      <c r="F126" t="str">
        <f>IF(E126="","",TRIM(MID(TRIM('MSR RAW'!C126),SEARCH(" - ",TRIM('MSR RAW'!C126))+3,LEN(TRIM('MSR RAW'!C126))-SEARCH(" - ",TRIM('MSR RAW'!C126))-9)))</f>
        <v/>
      </c>
      <c r="G126" t="str">
        <f>IF(E126="","",IFERROR(VLOOKUP(E126,'CATEGORY MAP'!$A$2:$B$20,2,FALSE()),"REVIEW"))</f>
        <v/>
      </c>
      <c r="H126" t="str">
        <f>IF(E126="","",IFERROR(VALUE(SUBSTITUTE('MSR RAW'!P126,",","")),0))</f>
        <v/>
      </c>
      <c r="I126" t="str">
        <f>IF(E126="","",IFERROR(VALUE(SUBSTITUTE('MSR RAW'!S126,",","")),0))</f>
        <v/>
      </c>
    </row>
    <row r="127" spans="1:9" ht="68.650000000000006" customHeight="1" x14ac:dyDescent="0.2">
      <c r="A127">
        <v>127</v>
      </c>
      <c r="B12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27" t="str">
        <f>IF(LEFT(TRIM('MSR RAW'!A127),11)="Department:",TRIM('MSR RAW'!A127),C126)</f>
        <v>Department: 36127 - CONCESSIONS</v>
      </c>
      <c r="D127" t="str">
        <f>IF(LEFT(TRIM('MSR RAW'!B127),9)="Location:",TRIM(MID('MSR RAW'!B127,10,999)),D126)</f>
        <v>FB 120 - MBP N. SCOREBOARD</v>
      </c>
      <c r="E127" t="str">
        <f>IF(AND(ISNUMBER(SEARCH(" - ",TRIM('MSR RAW'!C127))),RIGHT(TRIM('MSR RAW'!C127),6)="Total:"),LEFT(TRIM('MSR RAW'!C127),SEARCH(" - ",TRIM('MSR RAW'!C127))-1),"")</f>
        <v/>
      </c>
      <c r="F127" t="str">
        <f>IF(E127="","",TRIM(MID(TRIM('MSR RAW'!C127),SEARCH(" - ",TRIM('MSR RAW'!C127))+3,LEN(TRIM('MSR RAW'!C127))-SEARCH(" - ",TRIM('MSR RAW'!C127))-9)))</f>
        <v/>
      </c>
      <c r="G127" t="str">
        <f>IF(E127="","",IFERROR(VLOOKUP(E127,'CATEGORY MAP'!$A$2:$B$20,2,FALSE()),"REVIEW"))</f>
        <v/>
      </c>
      <c r="H127" t="str">
        <f>IF(E127="","",IFERROR(VALUE(SUBSTITUTE('MSR RAW'!P127,",","")),0))</f>
        <v/>
      </c>
      <c r="I127" t="str">
        <f>IF(E127="","",IFERROR(VALUE(SUBSTITUTE('MSR RAW'!S127,",","")),0))</f>
        <v/>
      </c>
    </row>
    <row r="128" spans="1:9" ht="68.650000000000006" customHeight="1" x14ac:dyDescent="0.2">
      <c r="A128">
        <v>128</v>
      </c>
      <c r="B12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28" t="str">
        <f>IF(LEFT(TRIM('MSR RAW'!A128),11)="Department:",TRIM('MSR RAW'!A128),C127)</f>
        <v>Department: 36127 - CONCESSIONS</v>
      </c>
      <c r="D128" t="str">
        <f>IF(LEFT(TRIM('MSR RAW'!B128),9)="Location:",TRIM(MID('MSR RAW'!B128,10,999)),D127)</f>
        <v>FB 120 - MBP N. SCOREBOARD</v>
      </c>
      <c r="E128" t="str">
        <f>IF(AND(ISNUMBER(SEARCH(" - ",TRIM('MSR RAW'!C128))),RIGHT(TRIM('MSR RAW'!C128),6)="Total:"),LEFT(TRIM('MSR RAW'!C128),SEARCH(" - ",TRIM('MSR RAW'!C128))-1),"")</f>
        <v/>
      </c>
      <c r="F128" t="str">
        <f>IF(E128="","",TRIM(MID(TRIM('MSR RAW'!C128),SEARCH(" - ",TRIM('MSR RAW'!C128))+3,LEN(TRIM('MSR RAW'!C128))-SEARCH(" - ",TRIM('MSR RAW'!C128))-9)))</f>
        <v/>
      </c>
      <c r="G128" t="str">
        <f>IF(E128="","",IFERROR(VLOOKUP(E128,'CATEGORY MAP'!$A$2:$B$20,2,FALSE()),"REVIEW"))</f>
        <v/>
      </c>
      <c r="H128" t="str">
        <f>IF(E128="","",IFERROR(VALUE(SUBSTITUTE('MSR RAW'!P128,",","")),0))</f>
        <v/>
      </c>
      <c r="I128" t="str">
        <f>IF(E128="","",IFERROR(VALUE(SUBSTITUTE('MSR RAW'!S128,",","")),0))</f>
        <v/>
      </c>
    </row>
    <row r="129" spans="1:9" ht="68.650000000000006" customHeight="1" x14ac:dyDescent="0.2">
      <c r="A129">
        <v>129</v>
      </c>
      <c r="B12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29" t="str">
        <f>IF(LEFT(TRIM('MSR RAW'!A129),11)="Department:",TRIM('MSR RAW'!A129),C128)</f>
        <v>Department: 36127 - CONCESSIONS</v>
      </c>
      <c r="D129" t="str">
        <f>IF(LEFT(TRIM('MSR RAW'!B129),9)="Location:",TRIM(MID('MSR RAW'!B129,10,999)),D128)</f>
        <v>FB 120 - MBP N. SCOREBOARD</v>
      </c>
      <c r="E129" t="str">
        <f>IF(AND(ISNUMBER(SEARCH(" - ",TRIM('MSR RAW'!C129))),RIGHT(TRIM('MSR RAW'!C129),6)="Total:"),LEFT(TRIM('MSR RAW'!C129),SEARCH(" - ",TRIM('MSR RAW'!C129))-1),"")</f>
        <v>312115</v>
      </c>
      <c r="F129" t="str">
        <f>IF(E129="","",TRIM(MID(TRIM('MSR RAW'!C129),SEARCH(" - ",TRIM('MSR RAW'!C129))+3,LEN(TRIM('MSR RAW'!C129))-SEARCH(" - ",TRIM('MSR RAW'!C129))-9)))</f>
        <v>N/A BEVERAGE SALES - TAXABLE</v>
      </c>
      <c r="G129" t="str">
        <f>IF(E129="","",IFERROR(VLOOKUP(E129,'CATEGORY MAP'!$A$2:$B$20,2,FALSE()),"REVIEW"))</f>
        <v>FOOD/NON-ALC</v>
      </c>
      <c r="H129">
        <f>IF(E129="","",IFERROR(VALUE(SUBSTITUTE('MSR RAW'!P129,",","")),0))</f>
        <v>1119.3</v>
      </c>
      <c r="I129">
        <f>IF(E129="","",IFERROR(VALUE(SUBSTITUTE('MSR RAW'!S129,",","")),0))</f>
        <v>1040</v>
      </c>
    </row>
    <row r="130" spans="1:9" ht="68.650000000000006" customHeight="1" x14ac:dyDescent="0.2">
      <c r="A130">
        <v>130</v>
      </c>
      <c r="B13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30" t="str">
        <f>IF(LEFT(TRIM('MSR RAW'!A130),11)="Department:",TRIM('MSR RAW'!A130),C129)</f>
        <v>Department: 36127 - CONCESSIONS</v>
      </c>
      <c r="D130" t="str">
        <f>IF(LEFT(TRIM('MSR RAW'!B130),9)="Location:",TRIM(MID('MSR RAW'!B130,10,999)),D129)</f>
        <v>FB 120 - MBP N. SCOREBOARD</v>
      </c>
      <c r="E130" t="str">
        <f>IF(AND(ISNUMBER(SEARCH(" - ",TRIM('MSR RAW'!C130))),RIGHT(TRIM('MSR RAW'!C130),6)="Total:"),LEFT(TRIM('MSR RAW'!C130),SEARCH(" - ",TRIM('MSR RAW'!C130))-1),"")</f>
        <v>313004</v>
      </c>
      <c r="F130" t="str">
        <f>IF(E130="","",TRIM(MID(TRIM('MSR RAW'!C130),SEARCH(" - ",TRIM('MSR RAW'!C130))+3,LEN(TRIM('MSR RAW'!C130))-SEARCH(" - ",TRIM('MSR RAW'!C130))-9)))</f>
        <v>LIQUOR SALES - TAXABLE</v>
      </c>
      <c r="G130" t="str">
        <f>IF(E130="","",IFERROR(VLOOKUP(E130,'CATEGORY MAP'!$A$2:$B$20,2,FALSE()),"REVIEW"))</f>
        <v>ALCOHOL</v>
      </c>
      <c r="H130">
        <f>IF(E130="","",IFERROR(VALUE(SUBSTITUTE('MSR RAW'!P130,",","")),0))</f>
        <v>3564.54</v>
      </c>
      <c r="I130">
        <f>IF(E130="","",IFERROR(VALUE(SUBSTITUTE('MSR RAW'!S130,",","")),0))</f>
        <v>3312</v>
      </c>
    </row>
    <row r="131" spans="1:9" ht="68.650000000000006" customHeight="1" x14ac:dyDescent="0.2">
      <c r="A131">
        <v>131</v>
      </c>
      <c r="B13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31" t="str">
        <f>IF(LEFT(TRIM('MSR RAW'!A131),11)="Department:",TRIM('MSR RAW'!A131),C130)</f>
        <v>Department: 36127 - CONCESSIONS</v>
      </c>
      <c r="D131" t="str">
        <f>IF(LEFT(TRIM('MSR RAW'!B131),9)="Location:",TRIM(MID('MSR RAW'!B131,10,999)),D130)</f>
        <v>FB 120 - MBP N. SCOREBOARD</v>
      </c>
      <c r="E131" t="str">
        <f>IF(AND(ISNUMBER(SEARCH(" - ",TRIM('MSR RAW'!C131))),RIGHT(TRIM('MSR RAW'!C131),6)="Total:"),LEFT(TRIM('MSR RAW'!C131),SEARCH(" - ",TRIM('MSR RAW'!C131))-1),"")</f>
        <v>313082</v>
      </c>
      <c r="F131" t="str">
        <f>IF(E131="","",TRIM(MID(TRIM('MSR RAW'!C131),SEARCH(" - ",TRIM('MSR RAW'!C131))+3,LEN(TRIM('MSR RAW'!C131))-SEARCH(" - ",TRIM('MSR RAW'!C131))-9)))</f>
        <v>BEER PACKAGED SALES</v>
      </c>
      <c r="G131" t="str">
        <f>IF(E131="","",IFERROR(VLOOKUP(E131,'CATEGORY MAP'!$A$2:$B$20,2,FALSE()),"REVIEW"))</f>
        <v>ALCOHOL</v>
      </c>
      <c r="H131">
        <f>IF(E131="","",IFERROR(VALUE(SUBSTITUTE('MSR RAW'!P131,",","")),0))</f>
        <v>6161.53</v>
      </c>
      <c r="I131">
        <f>IF(E131="","",IFERROR(VALUE(SUBSTITUTE('MSR RAW'!S131,",","")),0))</f>
        <v>5725</v>
      </c>
    </row>
    <row r="132" spans="1:9" ht="68.650000000000006" customHeight="1" x14ac:dyDescent="0.2">
      <c r="A132">
        <v>132</v>
      </c>
      <c r="B13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32" t="str">
        <f>IF(LEFT(TRIM('MSR RAW'!A132),11)="Department:",TRIM('MSR RAW'!A132),C131)</f>
        <v>Department: 36127 - CONCESSIONS</v>
      </c>
      <c r="D132" t="str">
        <f>IF(LEFT(TRIM('MSR RAW'!B132),9)="Location:",TRIM(MID('MSR RAW'!B132,10,999)),D131)</f>
        <v>FB 120 - MBP N. SCOREBOARD</v>
      </c>
      <c r="E132" t="str">
        <f>IF(AND(ISNUMBER(SEARCH(" - ",TRIM('MSR RAW'!C132))),RIGHT(TRIM('MSR RAW'!C132),6)="Total:"),LEFT(TRIM('MSR RAW'!C132),SEARCH(" - ",TRIM('MSR RAW'!C132))-1),"")</f>
        <v/>
      </c>
      <c r="F132" t="str">
        <f>IF(E132="","",TRIM(MID(TRIM('MSR RAW'!C132),SEARCH(" - ",TRIM('MSR RAW'!C132))+3,LEN(TRIM('MSR RAW'!C132))-SEARCH(" - ",TRIM('MSR RAW'!C132))-9)))</f>
        <v/>
      </c>
      <c r="G132" t="str">
        <f>IF(E132="","",IFERROR(VLOOKUP(E132,'CATEGORY MAP'!$A$2:$B$20,2,FALSE()),"REVIEW"))</f>
        <v/>
      </c>
      <c r="H132" t="str">
        <f>IF(E132="","",IFERROR(VALUE(SUBSTITUTE('MSR RAW'!P132,",","")),0))</f>
        <v/>
      </c>
      <c r="I132" t="str">
        <f>IF(E132="","",IFERROR(VALUE(SUBSTITUTE('MSR RAW'!S132,",","")),0))</f>
        <v/>
      </c>
    </row>
    <row r="133" spans="1:9" ht="68.650000000000006" customHeight="1" x14ac:dyDescent="0.2">
      <c r="A133">
        <v>133</v>
      </c>
      <c r="B13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33" t="str">
        <f>IF(LEFT(TRIM('MSR RAW'!A133),11)="Department:",TRIM('MSR RAW'!A133),C132)</f>
        <v>Department: 36127 - CONCESSIONS</v>
      </c>
      <c r="D133" t="str">
        <f>IF(LEFT(TRIM('MSR RAW'!B133),9)="Location:",TRIM(MID('MSR RAW'!B133,10,999)),D132)</f>
        <v>FB 120 - MBP N. SCOREBOARD</v>
      </c>
      <c r="E133" t="str">
        <f>IF(AND(ISNUMBER(SEARCH(" - ",TRIM('MSR RAW'!C133))),RIGHT(TRIM('MSR RAW'!C133),6)="Total:"),LEFT(TRIM('MSR RAW'!C133),SEARCH(" - ",TRIM('MSR RAW'!C133))-1),"")</f>
        <v/>
      </c>
      <c r="F133" t="str">
        <f>IF(E133="","",TRIM(MID(TRIM('MSR RAW'!C133),SEARCH(" - ",TRIM('MSR RAW'!C133))+3,LEN(TRIM('MSR RAW'!C133))-SEARCH(" - ",TRIM('MSR RAW'!C133))-9)))</f>
        <v/>
      </c>
      <c r="G133" t="str">
        <f>IF(E133="","",IFERROR(VLOOKUP(E133,'CATEGORY MAP'!$A$2:$B$20,2,FALSE()),"REVIEW"))</f>
        <v/>
      </c>
      <c r="H133" t="str">
        <f>IF(E133="","",IFERROR(VALUE(SUBSTITUTE('MSR RAW'!P133,",","")),0))</f>
        <v/>
      </c>
      <c r="I133" t="str">
        <f>IF(E133="","",IFERROR(VALUE(SUBSTITUTE('MSR RAW'!S133,",","")),0))</f>
        <v/>
      </c>
    </row>
    <row r="134" spans="1:9" ht="68.650000000000006" customHeight="1" x14ac:dyDescent="0.2">
      <c r="A134">
        <v>134</v>
      </c>
      <c r="B13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34" t="str">
        <f>IF(LEFT(TRIM('MSR RAW'!A134),11)="Department:",TRIM('MSR RAW'!A134),C133)</f>
        <v>Department: 36128 - GROUP SALES / PREMIUM</v>
      </c>
      <c r="D134" t="str">
        <f>IF(LEFT(TRIM('MSR RAW'!B134),9)="Location:",TRIM(MID('MSR RAW'!B134,10,999)),D133)</f>
        <v>FB 120 - MBP N. SCOREBOARD</v>
      </c>
      <c r="E134" t="str">
        <f>IF(AND(ISNUMBER(SEARCH(" - ",TRIM('MSR RAW'!C134))),RIGHT(TRIM('MSR RAW'!C134),6)="Total:"),LEFT(TRIM('MSR RAW'!C134),SEARCH(" - ",TRIM('MSR RAW'!C134))-1),"")</f>
        <v/>
      </c>
      <c r="F134" t="str">
        <f>IF(E134="","",TRIM(MID(TRIM('MSR RAW'!C134),SEARCH(" - ",TRIM('MSR RAW'!C134))+3,LEN(TRIM('MSR RAW'!C134))-SEARCH(" - ",TRIM('MSR RAW'!C134))-9)))</f>
        <v/>
      </c>
      <c r="G134" t="str">
        <f>IF(E134="","",IFERROR(VLOOKUP(E134,'CATEGORY MAP'!$A$2:$B$20,2,FALSE()),"REVIEW"))</f>
        <v/>
      </c>
      <c r="H134" t="str">
        <f>IF(E134="","",IFERROR(VALUE(SUBSTITUTE('MSR RAW'!P134,",","")),0))</f>
        <v/>
      </c>
      <c r="I134" t="str">
        <f>IF(E134="","",IFERROR(VALUE(SUBSTITUTE('MSR RAW'!S134,",","")),0))</f>
        <v/>
      </c>
    </row>
    <row r="135" spans="1:9" ht="68.650000000000006" customHeight="1" x14ac:dyDescent="0.2">
      <c r="A135">
        <v>135</v>
      </c>
      <c r="B13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35" t="str">
        <f>IF(LEFT(TRIM('MSR RAW'!A135),11)="Department:",TRIM('MSR RAW'!A135),C134)</f>
        <v>Department: 36128 - GROUP SALES / PREMIUM</v>
      </c>
      <c r="D135" t="str">
        <f>IF(LEFT(TRIM('MSR RAW'!B135),9)="Location:",TRIM(MID('MSR RAW'!B135,10,999)),D134)</f>
        <v>FB 401 - PREM. PRESS LEVEL</v>
      </c>
      <c r="E135" t="str">
        <f>IF(AND(ISNUMBER(SEARCH(" - ",TRIM('MSR RAW'!C135))),RIGHT(TRIM('MSR RAW'!C135),6)="Total:"),LEFT(TRIM('MSR RAW'!C135),SEARCH(" - ",TRIM('MSR RAW'!C135))-1),"")</f>
        <v/>
      </c>
      <c r="F135" t="str">
        <f>IF(E135="","",TRIM(MID(TRIM('MSR RAW'!C135),SEARCH(" - ",TRIM('MSR RAW'!C135))+3,LEN(TRIM('MSR RAW'!C135))-SEARCH(" - ",TRIM('MSR RAW'!C135))-9)))</f>
        <v/>
      </c>
      <c r="G135" t="str">
        <f>IF(E135="","",IFERROR(VLOOKUP(E135,'CATEGORY MAP'!$A$2:$B$20,2,FALSE()),"REVIEW"))</f>
        <v/>
      </c>
      <c r="H135" t="str">
        <f>IF(E135="","",IFERROR(VALUE(SUBSTITUTE('MSR RAW'!P135,",","")),0))</f>
        <v/>
      </c>
      <c r="I135" t="str">
        <f>IF(E135="","",IFERROR(VALUE(SUBSTITUTE('MSR RAW'!S135,",","")),0))</f>
        <v/>
      </c>
    </row>
    <row r="136" spans="1:9" ht="68.650000000000006" customHeight="1" x14ac:dyDescent="0.2">
      <c r="A136">
        <v>136</v>
      </c>
      <c r="B13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36" t="str">
        <f>IF(LEFT(TRIM('MSR RAW'!A136),11)="Department:",TRIM('MSR RAW'!A136),C135)</f>
        <v>Department: 36128 - GROUP SALES / PREMIUM</v>
      </c>
      <c r="D136" t="str">
        <f>IF(LEFT(TRIM('MSR RAW'!B136),9)="Location:",TRIM(MID('MSR RAW'!B136,10,999)),D135)</f>
        <v>FB 401 - PREM. PRESS LEVEL</v>
      </c>
      <c r="E136" t="str">
        <f>IF(AND(ISNUMBER(SEARCH(" - ",TRIM('MSR RAW'!C136))),RIGHT(TRIM('MSR RAW'!C136),6)="Total:"),LEFT(TRIM('MSR RAW'!C136),SEARCH(" - ",TRIM('MSR RAW'!C136))-1),"")</f>
        <v/>
      </c>
      <c r="F136" t="str">
        <f>IF(E136="","",TRIM(MID(TRIM('MSR RAW'!C136),SEARCH(" - ",TRIM('MSR RAW'!C136))+3,LEN(TRIM('MSR RAW'!C136))-SEARCH(" - ",TRIM('MSR RAW'!C136))-9)))</f>
        <v/>
      </c>
      <c r="G136" t="str">
        <f>IF(E136="","",IFERROR(VLOOKUP(E136,'CATEGORY MAP'!$A$2:$B$20,2,FALSE()),"REVIEW"))</f>
        <v/>
      </c>
      <c r="H136" t="str">
        <f>IF(E136="","",IFERROR(VALUE(SUBSTITUTE('MSR RAW'!P136,",","")),0))</f>
        <v/>
      </c>
      <c r="I136" t="str">
        <f>IF(E136="","",IFERROR(VALUE(SUBSTITUTE('MSR RAW'!S136,",","")),0))</f>
        <v/>
      </c>
    </row>
    <row r="137" spans="1:9" ht="68.650000000000006" customHeight="1" x14ac:dyDescent="0.2">
      <c r="A137">
        <v>137</v>
      </c>
      <c r="B13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37" t="str">
        <f>IF(LEFT(TRIM('MSR RAW'!A137),11)="Department:",TRIM('MSR RAW'!A137),C136)</f>
        <v>Department: 36128 - GROUP SALES / PREMIUM</v>
      </c>
      <c r="D137" t="str">
        <f>IF(LEFT(TRIM('MSR RAW'!B137),9)="Location:",TRIM(MID('MSR RAW'!B137,10,999)),D136)</f>
        <v>FB 401 - PREM. PRESS LEVEL</v>
      </c>
      <c r="E137" t="str">
        <f>IF(AND(ISNUMBER(SEARCH(" - ",TRIM('MSR RAW'!C137))),RIGHT(TRIM('MSR RAW'!C137),6)="Total:"),LEFT(TRIM('MSR RAW'!C137),SEARCH(" - ",TRIM('MSR RAW'!C137))-1),"")</f>
        <v>313004</v>
      </c>
      <c r="F137" t="str">
        <f>IF(E137="","",TRIM(MID(TRIM('MSR RAW'!C137),SEARCH(" - ",TRIM('MSR RAW'!C137))+3,LEN(TRIM('MSR RAW'!C137))-SEARCH(" - ",TRIM('MSR RAW'!C137))-9)))</f>
        <v>LIQUOR SALES - TAXABLE</v>
      </c>
      <c r="G137" t="str">
        <f>IF(E137="","",IFERROR(VLOOKUP(E137,'CATEGORY MAP'!$A$2:$B$20,2,FALSE()),"REVIEW"))</f>
        <v>ALCOHOL</v>
      </c>
      <c r="H137">
        <f>IF(E137="","",IFERROR(VALUE(SUBSTITUTE('MSR RAW'!P137,",","")),0))</f>
        <v>251.84</v>
      </c>
      <c r="I137">
        <f>IF(E137="","",IFERROR(VALUE(SUBSTITUTE('MSR RAW'!S137,",","")),0))</f>
        <v>234</v>
      </c>
    </row>
    <row r="138" spans="1:9" ht="68.650000000000006" customHeight="1" x14ac:dyDescent="0.2">
      <c r="A138">
        <v>138</v>
      </c>
      <c r="B13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38" t="str">
        <f>IF(LEFT(TRIM('MSR RAW'!A138),11)="Department:",TRIM('MSR RAW'!A138),C137)</f>
        <v>Department: 36128 - GROUP SALES / PREMIUM</v>
      </c>
      <c r="D138" t="str">
        <f>IF(LEFT(TRIM('MSR RAW'!B138),9)="Location:",TRIM(MID('MSR RAW'!B138,10,999)),D137)</f>
        <v>FB 401 - PREM. PRESS LEVEL</v>
      </c>
      <c r="E138" t="str">
        <f>IF(AND(ISNUMBER(SEARCH(" - ",TRIM('MSR RAW'!C138))),RIGHT(TRIM('MSR RAW'!C138),6)="Total:"),LEFT(TRIM('MSR RAW'!C138),SEARCH(" - ",TRIM('MSR RAW'!C138))-1),"")</f>
        <v>313082</v>
      </c>
      <c r="F138" t="str">
        <f>IF(E138="","",TRIM(MID(TRIM('MSR RAW'!C138),SEARCH(" - ",TRIM('MSR RAW'!C138))+3,LEN(TRIM('MSR RAW'!C138))-SEARCH(" - ",TRIM('MSR RAW'!C138))-9)))</f>
        <v>BEER PACKAGED SALES</v>
      </c>
      <c r="G138" t="str">
        <f>IF(E138="","",IFERROR(VLOOKUP(E138,'CATEGORY MAP'!$A$2:$B$20,2,FALSE()),"REVIEW"))</f>
        <v>ALCOHOL</v>
      </c>
      <c r="H138">
        <f>IF(E138="","",IFERROR(VALUE(SUBSTITUTE('MSR RAW'!P138,",","")),0))</f>
        <v>200.18</v>
      </c>
      <c r="I138">
        <f>IF(E138="","",IFERROR(VALUE(SUBSTITUTE('MSR RAW'!S138,",","")),0))</f>
        <v>186</v>
      </c>
    </row>
    <row r="139" spans="1:9" ht="68.650000000000006" customHeight="1" x14ac:dyDescent="0.2">
      <c r="A139">
        <v>139</v>
      </c>
      <c r="B13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39" t="str">
        <f>IF(LEFT(TRIM('MSR RAW'!A139),11)="Department:",TRIM('MSR RAW'!A139),C138)</f>
        <v>Department: 36128 - GROUP SALES / PREMIUM</v>
      </c>
      <c r="D139" t="str">
        <f>IF(LEFT(TRIM('MSR RAW'!B139),9)="Location:",TRIM(MID('MSR RAW'!B139,10,999)),D138)</f>
        <v>FB 401 - PREM. PRESS LEVEL</v>
      </c>
      <c r="E139" t="str">
        <f>IF(AND(ISNUMBER(SEARCH(" - ",TRIM('MSR RAW'!C139))),RIGHT(TRIM('MSR RAW'!C139),6)="Total:"),LEFT(TRIM('MSR RAW'!C139),SEARCH(" - ",TRIM('MSR RAW'!C139))-1),"")</f>
        <v>313096</v>
      </c>
      <c r="F139" t="str">
        <f>IF(E139="","",TRIM(MID(TRIM('MSR RAW'!C139),SEARCH(" - ",TRIM('MSR RAW'!C139))+3,LEN(TRIM('MSR RAW'!C139))-SEARCH(" - ",TRIM('MSR RAW'!C139))-9)))</f>
        <v>WINE SALES - TAXABLE</v>
      </c>
      <c r="G139" t="str">
        <f>IF(E139="","",IFERROR(VLOOKUP(E139,'CATEGORY MAP'!$A$2:$B$20,2,FALSE()),"REVIEW"))</f>
        <v>ALCOHOL</v>
      </c>
      <c r="H139">
        <f>IF(E139="","",IFERROR(VALUE(SUBSTITUTE('MSR RAW'!P139,",","")),0))</f>
        <v>51.66</v>
      </c>
      <c r="I139">
        <f>IF(E139="","",IFERROR(VALUE(SUBSTITUTE('MSR RAW'!S139,",","")),0))</f>
        <v>48</v>
      </c>
    </row>
    <row r="140" spans="1:9" ht="68.650000000000006" customHeight="1" x14ac:dyDescent="0.2">
      <c r="A140">
        <v>140</v>
      </c>
      <c r="B14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40" t="str">
        <f>IF(LEFT(TRIM('MSR RAW'!A140),11)="Department:",TRIM('MSR RAW'!A140),C139)</f>
        <v>Department: 36128 - GROUP SALES / PREMIUM</v>
      </c>
      <c r="D140" t="str">
        <f>IF(LEFT(TRIM('MSR RAW'!B140),9)="Location:",TRIM(MID('MSR RAW'!B140,10,999)),D139)</f>
        <v>FB 401 - PREM. PRESS LEVEL</v>
      </c>
      <c r="E140" t="str">
        <f>IF(AND(ISNUMBER(SEARCH(" - ",TRIM('MSR RAW'!C140))),RIGHT(TRIM('MSR RAW'!C140),6)="Total:"),LEFT(TRIM('MSR RAW'!C140),SEARCH(" - ",TRIM('MSR RAW'!C140))-1),"")</f>
        <v/>
      </c>
      <c r="F140" t="str">
        <f>IF(E140="","",TRIM(MID(TRIM('MSR RAW'!C140),SEARCH(" - ",TRIM('MSR RAW'!C140))+3,LEN(TRIM('MSR RAW'!C140))-SEARCH(" - ",TRIM('MSR RAW'!C140))-9)))</f>
        <v/>
      </c>
      <c r="G140" t="str">
        <f>IF(E140="","",IFERROR(VLOOKUP(E140,'CATEGORY MAP'!$A$2:$B$20,2,FALSE()),"REVIEW"))</f>
        <v/>
      </c>
      <c r="H140" t="str">
        <f>IF(E140="","",IFERROR(VALUE(SUBSTITUTE('MSR RAW'!P140,",","")),0))</f>
        <v/>
      </c>
      <c r="I140" t="str">
        <f>IF(E140="","",IFERROR(VALUE(SUBSTITUTE('MSR RAW'!S140,",","")),0))</f>
        <v/>
      </c>
    </row>
    <row r="141" spans="1:9" ht="68.650000000000006" customHeight="1" x14ac:dyDescent="0.2">
      <c r="A141">
        <v>141</v>
      </c>
      <c r="B14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41" t="str">
        <f>IF(LEFT(TRIM('MSR RAW'!A141),11)="Department:",TRIM('MSR RAW'!A141),C140)</f>
        <v>Department: 36128 - GROUP SALES / PREMIUM</v>
      </c>
      <c r="D141" t="str">
        <f>IF(LEFT(TRIM('MSR RAW'!B141),9)="Location:",TRIM(MID('MSR RAW'!B141,10,999)),D140)</f>
        <v>FB 402 - PREM. ZIA 1</v>
      </c>
      <c r="E141" t="str">
        <f>IF(AND(ISNUMBER(SEARCH(" - ",TRIM('MSR RAW'!C141))),RIGHT(TRIM('MSR RAW'!C141),6)="Total:"),LEFT(TRIM('MSR RAW'!C141),SEARCH(" - ",TRIM('MSR RAW'!C141))-1),"")</f>
        <v/>
      </c>
      <c r="F141" t="str">
        <f>IF(E141="","",TRIM(MID(TRIM('MSR RAW'!C141),SEARCH(" - ",TRIM('MSR RAW'!C141))+3,LEN(TRIM('MSR RAW'!C141))-SEARCH(" - ",TRIM('MSR RAW'!C141))-9)))</f>
        <v/>
      </c>
      <c r="G141" t="str">
        <f>IF(E141="","",IFERROR(VLOOKUP(E141,'CATEGORY MAP'!$A$2:$B$20,2,FALSE()),"REVIEW"))</f>
        <v/>
      </c>
      <c r="H141" t="str">
        <f>IF(E141="","",IFERROR(VALUE(SUBSTITUTE('MSR RAW'!P141,",","")),0))</f>
        <v/>
      </c>
      <c r="I141" t="str">
        <f>IF(E141="","",IFERROR(VALUE(SUBSTITUTE('MSR RAW'!S141,",","")),0))</f>
        <v/>
      </c>
    </row>
    <row r="142" spans="1:9" ht="68.650000000000006" customHeight="1" x14ac:dyDescent="0.2">
      <c r="A142">
        <v>142</v>
      </c>
      <c r="B14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42" t="str">
        <f>IF(LEFT(TRIM('MSR RAW'!A142),11)="Department:",TRIM('MSR RAW'!A142),C141)</f>
        <v>Department: 36128 - GROUP SALES / PREMIUM</v>
      </c>
      <c r="D142" t="str">
        <f>IF(LEFT(TRIM('MSR RAW'!B142),9)="Location:",TRIM(MID('MSR RAW'!B142,10,999)),D141)</f>
        <v>FB 402 - PREM. ZIA 1</v>
      </c>
      <c r="E142" t="str">
        <f>IF(AND(ISNUMBER(SEARCH(" - ",TRIM('MSR RAW'!C142))),RIGHT(TRIM('MSR RAW'!C142),6)="Total:"),LEFT(TRIM('MSR RAW'!C142),SEARCH(" - ",TRIM('MSR RAW'!C142))-1),"")</f>
        <v/>
      </c>
      <c r="F142" t="str">
        <f>IF(E142="","",TRIM(MID(TRIM('MSR RAW'!C142),SEARCH(" - ",TRIM('MSR RAW'!C142))+3,LEN(TRIM('MSR RAW'!C142))-SEARCH(" - ",TRIM('MSR RAW'!C142))-9)))</f>
        <v/>
      </c>
      <c r="G142" t="str">
        <f>IF(E142="","",IFERROR(VLOOKUP(E142,'CATEGORY MAP'!$A$2:$B$20,2,FALSE()),"REVIEW"))</f>
        <v/>
      </c>
      <c r="H142" t="str">
        <f>IF(E142="","",IFERROR(VALUE(SUBSTITUTE('MSR RAW'!P142,",","")),0))</f>
        <v/>
      </c>
      <c r="I142" t="str">
        <f>IF(E142="","",IFERROR(VALUE(SUBSTITUTE('MSR RAW'!S142,",","")),0))</f>
        <v/>
      </c>
    </row>
    <row r="143" spans="1:9" ht="68.650000000000006" customHeight="1" x14ac:dyDescent="0.2">
      <c r="A143">
        <v>143</v>
      </c>
      <c r="B14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43" t="str">
        <f>IF(LEFT(TRIM('MSR RAW'!A143),11)="Department:",TRIM('MSR RAW'!A143),C142)</f>
        <v>Department: 36128 - GROUP SALES / PREMIUM</v>
      </c>
      <c r="D143" t="str">
        <f>IF(LEFT(TRIM('MSR RAW'!B143),9)="Location:",TRIM(MID('MSR RAW'!B143,10,999)),D142)</f>
        <v>FB 402 - PREM. ZIA 1</v>
      </c>
      <c r="E143" t="str">
        <f>IF(AND(ISNUMBER(SEARCH(" - ",TRIM('MSR RAW'!C143))),RIGHT(TRIM('MSR RAW'!C143),6)="Total:"),LEFT(TRIM('MSR RAW'!C143),SEARCH(" - ",TRIM('MSR RAW'!C143))-1),"")</f>
        <v>312115</v>
      </c>
      <c r="F143" t="str">
        <f>IF(E143="","",TRIM(MID(TRIM('MSR RAW'!C143),SEARCH(" - ",TRIM('MSR RAW'!C143))+3,LEN(TRIM('MSR RAW'!C143))-SEARCH(" - ",TRIM('MSR RAW'!C143))-9)))</f>
        <v>N/A BEVERAGE SALES - TAXABLE</v>
      </c>
      <c r="G143" t="str">
        <f>IF(E143="","",IFERROR(VLOOKUP(E143,'CATEGORY MAP'!$A$2:$B$20,2,FALSE()),"REVIEW"))</f>
        <v>FOOD/NON-ALC</v>
      </c>
      <c r="H143">
        <f>IF(E143="","",IFERROR(VALUE(SUBSTITUTE('MSR RAW'!P143,",","")),0))</f>
        <v>102.24</v>
      </c>
      <c r="I143">
        <f>IF(E143="","",IFERROR(VALUE(SUBSTITUTE('MSR RAW'!S143,",","")),0))</f>
        <v>95</v>
      </c>
    </row>
    <row r="144" spans="1:9" ht="68.650000000000006" customHeight="1" x14ac:dyDescent="0.2">
      <c r="A144">
        <v>144</v>
      </c>
      <c r="B14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44" t="str">
        <f>IF(LEFT(TRIM('MSR RAW'!A144),11)="Department:",TRIM('MSR RAW'!A144),C143)</f>
        <v>Department: 36128 - GROUP SALES / PREMIUM</v>
      </c>
      <c r="D144" t="str">
        <f>IF(LEFT(TRIM('MSR RAW'!B144),9)="Location:",TRIM(MID('MSR RAW'!B144,10,999)),D143)</f>
        <v>FB 402 - PREM. ZIA 1</v>
      </c>
      <c r="E144" t="str">
        <f>IF(AND(ISNUMBER(SEARCH(" - ",TRIM('MSR RAW'!C144))),RIGHT(TRIM('MSR RAW'!C144),6)="Total:"),LEFT(TRIM('MSR RAW'!C144),SEARCH(" - ",TRIM('MSR RAW'!C144))-1),"")</f>
        <v>313004</v>
      </c>
      <c r="F144" t="str">
        <f>IF(E144="","",TRIM(MID(TRIM('MSR RAW'!C144),SEARCH(" - ",TRIM('MSR RAW'!C144))+3,LEN(TRIM('MSR RAW'!C144))-SEARCH(" - ",TRIM('MSR RAW'!C144))-9)))</f>
        <v>LIQUOR SALES - TAXABLE</v>
      </c>
      <c r="G144" t="str">
        <f>IF(E144="","",IFERROR(VLOOKUP(E144,'CATEGORY MAP'!$A$2:$B$20,2,FALSE()),"REVIEW"))</f>
        <v>ALCOHOL</v>
      </c>
      <c r="H144">
        <f>IF(E144="","",IFERROR(VALUE(SUBSTITUTE('MSR RAW'!P144,",","")),0))</f>
        <v>2139.58</v>
      </c>
      <c r="I144">
        <f>IF(E144="","",IFERROR(VALUE(SUBSTITUTE('MSR RAW'!S144,",","")),0))</f>
        <v>1988</v>
      </c>
    </row>
    <row r="145" spans="1:9" ht="68.650000000000006" customHeight="1" x14ac:dyDescent="0.2">
      <c r="A145">
        <v>145</v>
      </c>
      <c r="B14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45" t="str">
        <f>IF(LEFT(TRIM('MSR RAW'!A145),11)="Department:",TRIM('MSR RAW'!A145),C144)</f>
        <v>Department: 36128 - GROUP SALES / PREMIUM</v>
      </c>
      <c r="D145" t="str">
        <f>IF(LEFT(TRIM('MSR RAW'!B145),9)="Location:",TRIM(MID('MSR RAW'!B145,10,999)),D144)</f>
        <v>FB 402 - PREM. ZIA 1</v>
      </c>
      <c r="E145" t="str">
        <f>IF(AND(ISNUMBER(SEARCH(" - ",TRIM('MSR RAW'!C145))),RIGHT(TRIM('MSR RAW'!C145),6)="Total:"),LEFT(TRIM('MSR RAW'!C145),SEARCH(" - ",TRIM('MSR RAW'!C145))-1),"")</f>
        <v>313082</v>
      </c>
      <c r="F145" t="str">
        <f>IF(E145="","",TRIM(MID(TRIM('MSR RAW'!C145),SEARCH(" - ",TRIM('MSR RAW'!C145))+3,LEN(TRIM('MSR RAW'!C145))-SEARCH(" - ",TRIM('MSR RAW'!C145))-9)))</f>
        <v>BEER PACKAGED SALES</v>
      </c>
      <c r="G145" t="str">
        <f>IF(E145="","",IFERROR(VLOOKUP(E145,'CATEGORY MAP'!$A$2:$B$20,2,FALSE()),"REVIEW"))</f>
        <v>ALCOHOL</v>
      </c>
      <c r="H145">
        <f>IF(E145="","",IFERROR(VALUE(SUBSTITUTE('MSR RAW'!P145,",","")),0))</f>
        <v>1515.9</v>
      </c>
      <c r="I145">
        <f>IF(E145="","",IFERROR(VALUE(SUBSTITUTE('MSR RAW'!S145,",","")),0))</f>
        <v>1408.5</v>
      </c>
    </row>
    <row r="146" spans="1:9" ht="68.650000000000006" customHeight="1" x14ac:dyDescent="0.2">
      <c r="A146">
        <v>146</v>
      </c>
      <c r="B14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46" t="str">
        <f>IF(LEFT(TRIM('MSR RAW'!A146),11)="Department:",TRIM('MSR RAW'!A146),C145)</f>
        <v>Department: 36128 - GROUP SALES / PREMIUM</v>
      </c>
      <c r="D146" t="str">
        <f>IF(LEFT(TRIM('MSR RAW'!B146),9)="Location:",TRIM(MID('MSR RAW'!B146,10,999)),D145)</f>
        <v>FB 402 - PREM. ZIA 1</v>
      </c>
      <c r="E146" t="str">
        <f>IF(AND(ISNUMBER(SEARCH(" - ",TRIM('MSR RAW'!C146))),RIGHT(TRIM('MSR RAW'!C146),6)="Total:"),LEFT(TRIM('MSR RAW'!C146),SEARCH(" - ",TRIM('MSR RAW'!C146))-1),"")</f>
        <v>313096</v>
      </c>
      <c r="F146" t="str">
        <f>IF(E146="","",TRIM(MID(TRIM('MSR RAW'!C146),SEARCH(" - ",TRIM('MSR RAW'!C146))+3,LEN(TRIM('MSR RAW'!C146))-SEARCH(" - ",TRIM('MSR RAW'!C146))-9)))</f>
        <v>WINE SALES - TAXABLE</v>
      </c>
      <c r="G146" t="str">
        <f>IF(E146="","",IFERROR(VLOOKUP(E146,'CATEGORY MAP'!$A$2:$B$20,2,FALSE()),"REVIEW"))</f>
        <v>ALCOHOL</v>
      </c>
      <c r="H146">
        <f>IF(E146="","",IFERROR(VALUE(SUBSTITUTE('MSR RAW'!P146,",","")),0))</f>
        <v>96.86</v>
      </c>
      <c r="I146">
        <f>IF(E146="","",IFERROR(VALUE(SUBSTITUTE('MSR RAW'!S146,",","")),0))</f>
        <v>90</v>
      </c>
    </row>
    <row r="147" spans="1:9" ht="68.650000000000006" customHeight="1" x14ac:dyDescent="0.2">
      <c r="A147">
        <v>147</v>
      </c>
      <c r="B14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47" t="str">
        <f>IF(LEFT(TRIM('MSR RAW'!A147),11)="Department:",TRIM('MSR RAW'!A147),C146)</f>
        <v>Department: 36128 - GROUP SALES / PREMIUM</v>
      </c>
      <c r="D147" t="str">
        <f>IF(LEFT(TRIM('MSR RAW'!B147),9)="Location:",TRIM(MID('MSR RAW'!B147,10,999)),D146)</f>
        <v>FB 402 - PREM. ZIA 1</v>
      </c>
      <c r="E147" t="str">
        <f>IF(AND(ISNUMBER(SEARCH(" - ",TRIM('MSR RAW'!C147))),RIGHT(TRIM('MSR RAW'!C147),6)="Total:"),LEFT(TRIM('MSR RAW'!C147),SEARCH(" - ",TRIM('MSR RAW'!C147))-1),"")</f>
        <v/>
      </c>
      <c r="F147" t="str">
        <f>IF(E147="","",TRIM(MID(TRIM('MSR RAW'!C147),SEARCH(" - ",TRIM('MSR RAW'!C147))+3,LEN(TRIM('MSR RAW'!C147))-SEARCH(" - ",TRIM('MSR RAW'!C147))-9)))</f>
        <v/>
      </c>
      <c r="G147" t="str">
        <f>IF(E147="","",IFERROR(VLOOKUP(E147,'CATEGORY MAP'!$A$2:$B$20,2,FALSE()),"REVIEW"))</f>
        <v/>
      </c>
      <c r="H147" t="str">
        <f>IF(E147="","",IFERROR(VALUE(SUBSTITUTE('MSR RAW'!P147,",","")),0))</f>
        <v/>
      </c>
      <c r="I147" t="str">
        <f>IF(E147="","",IFERROR(VALUE(SUBSTITUTE('MSR RAW'!S147,",","")),0))</f>
        <v/>
      </c>
    </row>
    <row r="148" spans="1:9" ht="68.650000000000006" customHeight="1" x14ac:dyDescent="0.2">
      <c r="A148">
        <v>148</v>
      </c>
      <c r="B14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48" t="str">
        <f>IF(LEFT(TRIM('MSR RAW'!A148),11)="Department:",TRIM('MSR RAW'!A148),C147)</f>
        <v>Department: 36128 - GROUP SALES / PREMIUM</v>
      </c>
      <c r="D148" t="str">
        <f>IF(LEFT(TRIM('MSR RAW'!B148),9)="Location:",TRIM(MID('MSR RAW'!B148,10,999)),D147)</f>
        <v>FB 403 - PREM. ZIA 2</v>
      </c>
      <c r="E148" t="str">
        <f>IF(AND(ISNUMBER(SEARCH(" - ",TRIM('MSR RAW'!C148))),RIGHT(TRIM('MSR RAW'!C148),6)="Total:"),LEFT(TRIM('MSR RAW'!C148),SEARCH(" - ",TRIM('MSR RAW'!C148))-1),"")</f>
        <v/>
      </c>
      <c r="F148" t="str">
        <f>IF(E148="","",TRIM(MID(TRIM('MSR RAW'!C148),SEARCH(" - ",TRIM('MSR RAW'!C148))+3,LEN(TRIM('MSR RAW'!C148))-SEARCH(" - ",TRIM('MSR RAW'!C148))-9)))</f>
        <v/>
      </c>
      <c r="G148" t="str">
        <f>IF(E148="","",IFERROR(VLOOKUP(E148,'CATEGORY MAP'!$A$2:$B$20,2,FALSE()),"REVIEW"))</f>
        <v/>
      </c>
      <c r="H148" t="str">
        <f>IF(E148="","",IFERROR(VALUE(SUBSTITUTE('MSR RAW'!P148,",","")),0))</f>
        <v/>
      </c>
      <c r="I148" t="str">
        <f>IF(E148="","",IFERROR(VALUE(SUBSTITUTE('MSR RAW'!S148,",","")),0))</f>
        <v/>
      </c>
    </row>
    <row r="149" spans="1:9" ht="68.650000000000006" customHeight="1" x14ac:dyDescent="0.2">
      <c r="A149">
        <v>149</v>
      </c>
      <c r="B14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49" t="str">
        <f>IF(LEFT(TRIM('MSR RAW'!A149),11)="Department:",TRIM('MSR RAW'!A149),C148)</f>
        <v>Department: 36128 - GROUP SALES / PREMIUM</v>
      </c>
      <c r="D149" t="str">
        <f>IF(LEFT(TRIM('MSR RAW'!B149),9)="Location:",TRIM(MID('MSR RAW'!B149,10,999)),D148)</f>
        <v>FB 403 - PREM. ZIA 2</v>
      </c>
      <c r="E149" t="str">
        <f>IF(AND(ISNUMBER(SEARCH(" - ",TRIM('MSR RAW'!C149))),RIGHT(TRIM('MSR RAW'!C149),6)="Total:"),LEFT(TRIM('MSR RAW'!C149),SEARCH(" - ",TRIM('MSR RAW'!C149))-1),"")</f>
        <v/>
      </c>
      <c r="F149" t="str">
        <f>IF(E149="","",TRIM(MID(TRIM('MSR RAW'!C149),SEARCH(" - ",TRIM('MSR RAW'!C149))+3,LEN(TRIM('MSR RAW'!C149))-SEARCH(" - ",TRIM('MSR RAW'!C149))-9)))</f>
        <v/>
      </c>
      <c r="G149" t="str">
        <f>IF(E149="","",IFERROR(VLOOKUP(E149,'CATEGORY MAP'!$A$2:$B$20,2,FALSE()),"REVIEW"))</f>
        <v/>
      </c>
      <c r="H149" t="str">
        <f>IF(E149="","",IFERROR(VALUE(SUBSTITUTE('MSR RAW'!P149,",","")),0))</f>
        <v/>
      </c>
      <c r="I149" t="str">
        <f>IF(E149="","",IFERROR(VALUE(SUBSTITUTE('MSR RAW'!S149,",","")),0))</f>
        <v/>
      </c>
    </row>
    <row r="150" spans="1:9" ht="68.650000000000006" customHeight="1" x14ac:dyDescent="0.2">
      <c r="A150">
        <v>150</v>
      </c>
      <c r="B15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50" t="str">
        <f>IF(LEFT(TRIM('MSR RAW'!A150),11)="Department:",TRIM('MSR RAW'!A150),C149)</f>
        <v>Department: 36128 - GROUP SALES / PREMIUM</v>
      </c>
      <c r="D150" t="str">
        <f>IF(LEFT(TRIM('MSR RAW'!B150),9)="Location:",TRIM(MID('MSR RAW'!B150,10,999)),D149)</f>
        <v>FB 403 - PREM. ZIA 2</v>
      </c>
      <c r="E150" t="str">
        <f>IF(AND(ISNUMBER(SEARCH(" - ",TRIM('MSR RAW'!C150))),RIGHT(TRIM('MSR RAW'!C150),6)="Total:"),LEFT(TRIM('MSR RAW'!C150),SEARCH(" - ",TRIM('MSR RAW'!C150))-1),"")</f>
        <v>312115</v>
      </c>
      <c r="F150" t="str">
        <f>IF(E150="","",TRIM(MID(TRIM('MSR RAW'!C150),SEARCH(" - ",TRIM('MSR RAW'!C150))+3,LEN(TRIM('MSR RAW'!C150))-SEARCH(" - ",TRIM('MSR RAW'!C150))-9)))</f>
        <v>N/A BEVERAGE SALES - TAXABLE</v>
      </c>
      <c r="G150" t="str">
        <f>IF(E150="","",IFERROR(VLOOKUP(E150,'CATEGORY MAP'!$A$2:$B$20,2,FALSE()),"REVIEW"))</f>
        <v>FOOD/NON-ALC</v>
      </c>
      <c r="H150">
        <f>IF(E150="","",IFERROR(VALUE(SUBSTITUTE('MSR RAW'!P150,",","")),0))</f>
        <v>12.92</v>
      </c>
      <c r="I150">
        <f>IF(E150="","",IFERROR(VALUE(SUBSTITUTE('MSR RAW'!S150,",","")),0))</f>
        <v>12</v>
      </c>
    </row>
    <row r="151" spans="1:9" ht="68.650000000000006" customHeight="1" x14ac:dyDescent="0.2">
      <c r="A151">
        <v>151</v>
      </c>
      <c r="B15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51" t="str">
        <f>IF(LEFT(TRIM('MSR RAW'!A151),11)="Department:",TRIM('MSR RAW'!A151),C150)</f>
        <v>Department: 36128 - GROUP SALES / PREMIUM</v>
      </c>
      <c r="D151" t="str">
        <f>IF(LEFT(TRIM('MSR RAW'!B151),9)="Location:",TRIM(MID('MSR RAW'!B151,10,999)),D150)</f>
        <v>FB 403 - PREM. ZIA 2</v>
      </c>
      <c r="E151" t="str">
        <f>IF(AND(ISNUMBER(SEARCH(" - ",TRIM('MSR RAW'!C151))),RIGHT(TRIM('MSR RAW'!C151),6)="Total:"),LEFT(TRIM('MSR RAW'!C151),SEARCH(" - ",TRIM('MSR RAW'!C151))-1),"")</f>
        <v>313004</v>
      </c>
      <c r="F151" t="str">
        <f>IF(E151="","",TRIM(MID(TRIM('MSR RAW'!C151),SEARCH(" - ",TRIM('MSR RAW'!C151))+3,LEN(TRIM('MSR RAW'!C151))-SEARCH(" - ",TRIM('MSR RAW'!C151))-9)))</f>
        <v>LIQUOR SALES - TAXABLE</v>
      </c>
      <c r="G151" t="str">
        <f>IF(E151="","",IFERROR(VLOOKUP(E151,'CATEGORY MAP'!$A$2:$B$20,2,FALSE()),"REVIEW"))</f>
        <v>ALCOHOL</v>
      </c>
      <c r="H151">
        <f>IF(E151="","",IFERROR(VALUE(SUBSTITUTE('MSR RAW'!P151,",","")),0))</f>
        <v>1476.62</v>
      </c>
      <c r="I151">
        <f>IF(E151="","",IFERROR(VALUE(SUBSTITUTE('MSR RAW'!S151,",","")),0))</f>
        <v>1372</v>
      </c>
    </row>
    <row r="152" spans="1:9" ht="68.650000000000006" customHeight="1" x14ac:dyDescent="0.2">
      <c r="A152">
        <v>152</v>
      </c>
      <c r="B15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52" t="str">
        <f>IF(LEFT(TRIM('MSR RAW'!A152),11)="Department:",TRIM('MSR RAW'!A152),C151)</f>
        <v>Department: 36128 - GROUP SALES / PREMIUM</v>
      </c>
      <c r="D152" t="str">
        <f>IF(LEFT(TRIM('MSR RAW'!B152),9)="Location:",TRIM(MID('MSR RAW'!B152,10,999)),D151)</f>
        <v>FB 403 - PREM. ZIA 2</v>
      </c>
      <c r="E152" t="str">
        <f>IF(AND(ISNUMBER(SEARCH(" - ",TRIM('MSR RAW'!C152))),RIGHT(TRIM('MSR RAW'!C152),6)="Total:"),LEFT(TRIM('MSR RAW'!C152),SEARCH(" - ",TRIM('MSR RAW'!C152))-1),"")</f>
        <v>313082</v>
      </c>
      <c r="F152" t="str">
        <f>IF(E152="","",TRIM(MID(TRIM('MSR RAW'!C152),SEARCH(" - ",TRIM('MSR RAW'!C152))+3,LEN(TRIM('MSR RAW'!C152))-SEARCH(" - ",TRIM('MSR RAW'!C152))-9)))</f>
        <v>BEER PACKAGED SALES</v>
      </c>
      <c r="G152" t="str">
        <f>IF(E152="","",IFERROR(VLOOKUP(E152,'CATEGORY MAP'!$A$2:$B$20,2,FALSE()),"REVIEW"))</f>
        <v>ALCOHOL</v>
      </c>
      <c r="H152">
        <f>IF(E152="","",IFERROR(VALUE(SUBSTITUTE('MSR RAW'!P152,",","")),0))</f>
        <v>521.44000000000005</v>
      </c>
      <c r="I152">
        <f>IF(E152="","",IFERROR(VALUE(SUBSTITUTE('MSR RAW'!S152,",","")),0))</f>
        <v>484.5</v>
      </c>
    </row>
    <row r="153" spans="1:9" ht="68.650000000000006" customHeight="1" x14ac:dyDescent="0.2">
      <c r="A153">
        <v>153</v>
      </c>
      <c r="B15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53" t="str">
        <f>IF(LEFT(TRIM('MSR RAW'!A153),11)="Department:",TRIM('MSR RAW'!A153),C152)</f>
        <v>Department: 36128 - GROUP SALES / PREMIUM</v>
      </c>
      <c r="D153" t="str">
        <f>IF(LEFT(TRIM('MSR RAW'!B153),9)="Location:",TRIM(MID('MSR RAW'!B153,10,999)),D152)</f>
        <v>FB 403 - PREM. ZIA 2</v>
      </c>
      <c r="E153" t="str">
        <f>IF(AND(ISNUMBER(SEARCH(" - ",TRIM('MSR RAW'!C153))),RIGHT(TRIM('MSR RAW'!C153),6)="Total:"),LEFT(TRIM('MSR RAW'!C153),SEARCH(" - ",TRIM('MSR RAW'!C153))-1),"")</f>
        <v>313096</v>
      </c>
      <c r="F153" t="str">
        <f>IF(E153="","",TRIM(MID(TRIM('MSR RAW'!C153),SEARCH(" - ",TRIM('MSR RAW'!C153))+3,LEN(TRIM('MSR RAW'!C153))-SEARCH(" - ",TRIM('MSR RAW'!C153))-9)))</f>
        <v>WINE SALES - TAXABLE</v>
      </c>
      <c r="G153" t="str">
        <f>IF(E153="","",IFERROR(VLOOKUP(E153,'CATEGORY MAP'!$A$2:$B$20,2,FALSE()),"REVIEW"))</f>
        <v>ALCOHOL</v>
      </c>
      <c r="H153">
        <f>IF(E153="","",IFERROR(VALUE(SUBSTITUTE('MSR RAW'!P153,",","")),0))</f>
        <v>129.15</v>
      </c>
      <c r="I153">
        <f>IF(E153="","",IFERROR(VALUE(SUBSTITUTE('MSR RAW'!S153,",","")),0))</f>
        <v>120</v>
      </c>
    </row>
    <row r="154" spans="1:9" ht="68.650000000000006" customHeight="1" x14ac:dyDescent="0.2">
      <c r="A154">
        <v>154</v>
      </c>
      <c r="B15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54" t="str">
        <f>IF(LEFT(TRIM('MSR RAW'!A154),11)="Department:",TRIM('MSR RAW'!A154),C153)</f>
        <v>Department: 36128 - GROUP SALES / PREMIUM</v>
      </c>
      <c r="D154" t="str">
        <f>IF(LEFT(TRIM('MSR RAW'!B154),9)="Location:",TRIM(MID('MSR RAW'!B154,10,999)),D153)</f>
        <v>FB 403 - PREM. ZIA 2</v>
      </c>
      <c r="E154" t="str">
        <f>IF(AND(ISNUMBER(SEARCH(" - ",TRIM('MSR RAW'!C154))),RIGHT(TRIM('MSR RAW'!C154),6)="Total:"),LEFT(TRIM('MSR RAW'!C154),SEARCH(" - ",TRIM('MSR RAW'!C154))-1),"")</f>
        <v/>
      </c>
      <c r="F154" t="str">
        <f>IF(E154="","",TRIM(MID(TRIM('MSR RAW'!C154),SEARCH(" - ",TRIM('MSR RAW'!C154))+3,LEN(TRIM('MSR RAW'!C154))-SEARCH(" - ",TRIM('MSR RAW'!C154))-9)))</f>
        <v/>
      </c>
      <c r="G154" t="str">
        <f>IF(E154="","",IFERROR(VLOOKUP(E154,'CATEGORY MAP'!$A$2:$B$20,2,FALSE()),"REVIEW"))</f>
        <v/>
      </c>
      <c r="H154" t="str">
        <f>IF(E154="","",IFERROR(VALUE(SUBSTITUTE('MSR RAW'!P154,",","")),0))</f>
        <v/>
      </c>
      <c r="I154" t="str">
        <f>IF(E154="","",IFERROR(VALUE(SUBSTITUTE('MSR RAW'!S154,",","")),0))</f>
        <v/>
      </c>
    </row>
    <row r="155" spans="1:9" ht="68.650000000000006" customHeight="1" x14ac:dyDescent="0.2">
      <c r="A155">
        <v>155</v>
      </c>
      <c r="B15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55" t="str">
        <f>IF(LEFT(TRIM('MSR RAW'!A155),11)="Department:",TRIM('MSR RAW'!A155),C154)</f>
        <v>Department: 36128 - GROUP SALES / PREMIUM</v>
      </c>
      <c r="D155" t="str">
        <f>IF(LEFT(TRIM('MSR RAW'!B155),9)="Location:",TRIM(MID('MSR RAW'!B155,10,999)),D154)</f>
        <v>FB 404 - PREM. END ZONE CLUB EZC</v>
      </c>
      <c r="E155" t="str">
        <f>IF(AND(ISNUMBER(SEARCH(" - ",TRIM('MSR RAW'!C155))),RIGHT(TRIM('MSR RAW'!C155),6)="Total:"),LEFT(TRIM('MSR RAW'!C155),SEARCH(" - ",TRIM('MSR RAW'!C155))-1),"")</f>
        <v/>
      </c>
      <c r="F155" t="str">
        <f>IF(E155="","",TRIM(MID(TRIM('MSR RAW'!C155),SEARCH(" - ",TRIM('MSR RAW'!C155))+3,LEN(TRIM('MSR RAW'!C155))-SEARCH(" - ",TRIM('MSR RAW'!C155))-9)))</f>
        <v/>
      </c>
      <c r="G155" t="str">
        <f>IF(E155="","",IFERROR(VLOOKUP(E155,'CATEGORY MAP'!$A$2:$B$20,2,FALSE()),"REVIEW"))</f>
        <v/>
      </c>
      <c r="H155" t="str">
        <f>IF(E155="","",IFERROR(VALUE(SUBSTITUTE('MSR RAW'!P155,",","")),0))</f>
        <v/>
      </c>
      <c r="I155" t="str">
        <f>IF(E155="","",IFERROR(VALUE(SUBSTITUTE('MSR RAW'!S155,",","")),0))</f>
        <v/>
      </c>
    </row>
    <row r="156" spans="1:9" ht="68.650000000000006" customHeight="1" x14ac:dyDescent="0.2">
      <c r="A156">
        <v>156</v>
      </c>
      <c r="B15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56" t="str">
        <f>IF(LEFT(TRIM('MSR RAW'!A156),11)="Department:",TRIM('MSR RAW'!A156),C155)</f>
        <v>Department: 36128 - GROUP SALES / PREMIUM</v>
      </c>
      <c r="D156" t="str">
        <f>IF(LEFT(TRIM('MSR RAW'!B156),9)="Location:",TRIM(MID('MSR RAW'!B156,10,999)),D155)</f>
        <v>FB 404 - PREM. END ZONE CLUB EZC</v>
      </c>
      <c r="E156" t="str">
        <f>IF(AND(ISNUMBER(SEARCH(" - ",TRIM('MSR RAW'!C156))),RIGHT(TRIM('MSR RAW'!C156),6)="Total:"),LEFT(TRIM('MSR RAW'!C156),SEARCH(" - ",TRIM('MSR RAW'!C156))-1),"")</f>
        <v/>
      </c>
      <c r="F156" t="str">
        <f>IF(E156="","",TRIM(MID(TRIM('MSR RAW'!C156),SEARCH(" - ",TRIM('MSR RAW'!C156))+3,LEN(TRIM('MSR RAW'!C156))-SEARCH(" - ",TRIM('MSR RAW'!C156))-9)))</f>
        <v/>
      </c>
      <c r="G156" t="str">
        <f>IF(E156="","",IFERROR(VLOOKUP(E156,'CATEGORY MAP'!$A$2:$B$20,2,FALSE()),"REVIEW"))</f>
        <v/>
      </c>
      <c r="H156" t="str">
        <f>IF(E156="","",IFERROR(VALUE(SUBSTITUTE('MSR RAW'!P156,",","")),0))</f>
        <v/>
      </c>
      <c r="I156" t="str">
        <f>IF(E156="","",IFERROR(VALUE(SUBSTITUTE('MSR RAW'!S156,",","")),0))</f>
        <v/>
      </c>
    </row>
    <row r="157" spans="1:9" ht="68.650000000000006" customHeight="1" x14ac:dyDescent="0.2">
      <c r="A157">
        <v>157</v>
      </c>
      <c r="B15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57" t="str">
        <f>IF(LEFT(TRIM('MSR RAW'!A157),11)="Department:",TRIM('MSR RAW'!A157),C156)</f>
        <v>Department: 36128 - GROUP SALES / PREMIUM</v>
      </c>
      <c r="D157" t="str">
        <f>IF(LEFT(TRIM('MSR RAW'!B157),9)="Location:",TRIM(MID('MSR RAW'!B157,10,999)),D156)</f>
        <v>FB 404 - PREM. END ZONE CLUB EZC</v>
      </c>
      <c r="E157" t="str">
        <f>IF(AND(ISNUMBER(SEARCH(" - ",TRIM('MSR RAW'!C157))),RIGHT(TRIM('MSR RAW'!C157),6)="Total:"),LEFT(TRIM('MSR RAW'!C157),SEARCH(" - ",TRIM('MSR RAW'!C157))-1),"")</f>
        <v>312115</v>
      </c>
      <c r="F157" t="str">
        <f>IF(E157="","",TRIM(MID(TRIM('MSR RAW'!C157),SEARCH(" - ",TRIM('MSR RAW'!C157))+3,LEN(TRIM('MSR RAW'!C157))-SEARCH(" - ",TRIM('MSR RAW'!C157))-9)))</f>
        <v>N/A BEVERAGE SALES - TAXABLE</v>
      </c>
      <c r="G157" t="str">
        <f>IF(E157="","",IFERROR(VLOOKUP(E157,'CATEGORY MAP'!$A$2:$B$20,2,FALSE()),"REVIEW"))</f>
        <v>FOOD/NON-ALC</v>
      </c>
      <c r="H157">
        <f>IF(E157="","",IFERROR(VALUE(SUBSTITUTE('MSR RAW'!P157,",","")),0))</f>
        <v>60.27</v>
      </c>
      <c r="I157">
        <f>IF(E157="","",IFERROR(VALUE(SUBSTITUTE('MSR RAW'!S157,",","")),0))</f>
        <v>56</v>
      </c>
    </row>
    <row r="158" spans="1:9" ht="68.650000000000006" customHeight="1" x14ac:dyDescent="0.2">
      <c r="A158">
        <v>158</v>
      </c>
      <c r="B15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58" t="str">
        <f>IF(LEFT(TRIM('MSR RAW'!A158),11)="Department:",TRIM('MSR RAW'!A158),C157)</f>
        <v>Department: 36128 - GROUP SALES / PREMIUM</v>
      </c>
      <c r="D158" t="str">
        <f>IF(LEFT(TRIM('MSR RAW'!B158),9)="Location:",TRIM(MID('MSR RAW'!B158,10,999)),D157)</f>
        <v>FB 404 - PREM. END ZONE CLUB EZC</v>
      </c>
      <c r="E158" t="str">
        <f>IF(AND(ISNUMBER(SEARCH(" - ",TRIM('MSR RAW'!C158))),RIGHT(TRIM('MSR RAW'!C158),6)="Total:"),LEFT(TRIM('MSR RAW'!C158),SEARCH(" - ",TRIM('MSR RAW'!C158))-1),"")</f>
        <v>313004</v>
      </c>
      <c r="F158" t="str">
        <f>IF(E158="","",TRIM(MID(TRIM('MSR RAW'!C158),SEARCH(" - ",TRIM('MSR RAW'!C158))+3,LEN(TRIM('MSR RAW'!C158))-SEARCH(" - ",TRIM('MSR RAW'!C158))-9)))</f>
        <v>LIQUOR SALES - TAXABLE</v>
      </c>
      <c r="G158" t="str">
        <f>IF(E158="","",IFERROR(VLOOKUP(E158,'CATEGORY MAP'!$A$2:$B$20,2,FALSE()),"REVIEW"))</f>
        <v>ALCOHOL</v>
      </c>
      <c r="H158">
        <f>IF(E158="","",IFERROR(VALUE(SUBSTITUTE('MSR RAW'!P158,",","")),0))</f>
        <v>4699.9799999999996</v>
      </c>
      <c r="I158">
        <f>IF(E158="","",IFERROR(VALUE(SUBSTITUTE('MSR RAW'!S158,",","")),0))</f>
        <v>4367</v>
      </c>
    </row>
    <row r="159" spans="1:9" ht="68.650000000000006" customHeight="1" x14ac:dyDescent="0.2">
      <c r="A159">
        <v>159</v>
      </c>
      <c r="B15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59" t="str">
        <f>IF(LEFT(TRIM('MSR RAW'!A159),11)="Department:",TRIM('MSR RAW'!A159),C158)</f>
        <v>Department: 36128 - GROUP SALES / PREMIUM</v>
      </c>
      <c r="D159" t="str">
        <f>IF(LEFT(TRIM('MSR RAW'!B159),9)="Location:",TRIM(MID('MSR RAW'!B159,10,999)),D158)</f>
        <v>FB 404 - PREM. END ZONE CLUB EZC</v>
      </c>
      <c r="E159" t="str">
        <f>IF(AND(ISNUMBER(SEARCH(" - ",TRIM('MSR RAW'!C159))),RIGHT(TRIM('MSR RAW'!C159),6)="Total:"),LEFT(TRIM('MSR RAW'!C159),SEARCH(" - ",TRIM('MSR RAW'!C159))-1),"")</f>
        <v>313082</v>
      </c>
      <c r="F159" t="str">
        <f>IF(E159="","",TRIM(MID(TRIM('MSR RAW'!C159),SEARCH(" - ",TRIM('MSR RAW'!C159))+3,LEN(TRIM('MSR RAW'!C159))-SEARCH(" - ",TRIM('MSR RAW'!C159))-9)))</f>
        <v>BEER PACKAGED SALES</v>
      </c>
      <c r="G159" t="str">
        <f>IF(E159="","",IFERROR(VLOOKUP(E159,'CATEGORY MAP'!$A$2:$B$20,2,FALSE()),"REVIEW"))</f>
        <v>ALCOHOL</v>
      </c>
      <c r="H159">
        <f>IF(E159="","",IFERROR(VALUE(SUBSTITUTE('MSR RAW'!P159,",","")),0))</f>
        <v>2545.87</v>
      </c>
      <c r="I159">
        <f>IF(E159="","",IFERROR(VALUE(SUBSTITUTE('MSR RAW'!S159,",","")),0))</f>
        <v>2365.5</v>
      </c>
    </row>
    <row r="160" spans="1:9" ht="68.650000000000006" customHeight="1" x14ac:dyDescent="0.2">
      <c r="A160">
        <v>160</v>
      </c>
      <c r="B16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60" t="str">
        <f>IF(LEFT(TRIM('MSR RAW'!A160),11)="Department:",TRIM('MSR RAW'!A160),C159)</f>
        <v>Department: 36128 - GROUP SALES / PREMIUM</v>
      </c>
      <c r="D160" t="str">
        <f>IF(LEFT(TRIM('MSR RAW'!B160),9)="Location:",TRIM(MID('MSR RAW'!B160,10,999)),D159)</f>
        <v>FB 404 - PREM. END ZONE CLUB EZC</v>
      </c>
      <c r="E160" t="str">
        <f>IF(AND(ISNUMBER(SEARCH(" - ",TRIM('MSR RAW'!C160))),RIGHT(TRIM('MSR RAW'!C160),6)="Total:"),LEFT(TRIM('MSR RAW'!C160),SEARCH(" - ",TRIM('MSR RAW'!C160))-1),"")</f>
        <v>313096</v>
      </c>
      <c r="F160" t="str">
        <f>IF(E160="","",TRIM(MID(TRIM('MSR RAW'!C160),SEARCH(" - ",TRIM('MSR RAW'!C160))+3,LEN(TRIM('MSR RAW'!C160))-SEARCH(" - ",TRIM('MSR RAW'!C160))-9)))</f>
        <v>WINE SALES - TAXABLE</v>
      </c>
      <c r="G160" t="str">
        <f>IF(E160="","",IFERROR(VLOOKUP(E160,'CATEGORY MAP'!$A$2:$B$20,2,FALSE()),"REVIEW"))</f>
        <v>ALCOHOL</v>
      </c>
      <c r="H160">
        <f>IF(E160="","",IFERROR(VALUE(SUBSTITUTE('MSR RAW'!P160,",","")),0))</f>
        <v>335.79</v>
      </c>
      <c r="I160">
        <f>IF(E160="","",IFERROR(VALUE(SUBSTITUTE('MSR RAW'!S160,",","")),0))</f>
        <v>312</v>
      </c>
    </row>
    <row r="161" spans="1:9" ht="68.650000000000006" customHeight="1" x14ac:dyDescent="0.2">
      <c r="A161">
        <v>161</v>
      </c>
      <c r="B16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61" t="str">
        <f>IF(LEFT(TRIM('MSR RAW'!A161),11)="Department:",TRIM('MSR RAW'!A161),C160)</f>
        <v>Department: 36128 - GROUP SALES / PREMIUM</v>
      </c>
      <c r="D161" t="str">
        <f>IF(LEFT(TRIM('MSR RAW'!B161),9)="Location:",TRIM(MID('MSR RAW'!B161,10,999)),D160)</f>
        <v>FB 404 - PREM. END ZONE CLUB EZC</v>
      </c>
      <c r="E161" t="str">
        <f>IF(AND(ISNUMBER(SEARCH(" - ",TRIM('MSR RAW'!C161))),RIGHT(TRIM('MSR RAW'!C161),6)="Total:"),LEFT(TRIM('MSR RAW'!C161),SEARCH(" - ",TRIM('MSR RAW'!C161))-1),"")</f>
        <v>FF-312114</v>
      </c>
      <c r="F161" t="str">
        <f>IF(E161="","",TRIM(MID(TRIM('MSR RAW'!C161),SEARCH(" - ",TRIM('MSR RAW'!C161))+3,LEN(TRIM('MSR RAW'!C161))-SEARCH(" - ",TRIM('MSR RAW'!C161))-9)))</f>
        <v>N/A BEV SALE DISC. FAN FRIENDLY (CC36636)</v>
      </c>
      <c r="G161" t="str">
        <f>IF(E161="","",IFERROR(VLOOKUP(E161,'CATEGORY MAP'!$A$2:$B$20,2,FALSE()),"REVIEW"))</f>
        <v>FOOD/NON-ALC</v>
      </c>
      <c r="H161">
        <f>IF(E161="","",IFERROR(VALUE(SUBSTITUTE('MSR RAW'!P161,",","")),0))</f>
        <v>90.41</v>
      </c>
      <c r="I161">
        <f>IF(E161="","",IFERROR(VALUE(SUBSTITUTE('MSR RAW'!S161,",","")),0))</f>
        <v>84</v>
      </c>
    </row>
    <row r="162" spans="1:9" ht="68.650000000000006" customHeight="1" x14ac:dyDescent="0.2">
      <c r="A162">
        <v>162</v>
      </c>
      <c r="B16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62" t="str">
        <f>IF(LEFT(TRIM('MSR RAW'!A162),11)="Department:",TRIM('MSR RAW'!A162),C161)</f>
        <v>Department: 36128 - GROUP SALES / PREMIUM</v>
      </c>
      <c r="D162" t="str">
        <f>IF(LEFT(TRIM('MSR RAW'!B162),9)="Location:",TRIM(MID('MSR RAW'!B162,10,999)),D161)</f>
        <v>FB 404 - PREM. END ZONE CLUB EZC</v>
      </c>
      <c r="E162" t="str">
        <f>IF(AND(ISNUMBER(SEARCH(" - ",TRIM('MSR RAW'!C162))),RIGHT(TRIM('MSR RAW'!C162),6)="Total:"),LEFT(TRIM('MSR RAW'!C162),SEARCH(" - ",TRIM('MSR RAW'!C162))-1),"")</f>
        <v/>
      </c>
      <c r="F162" t="str">
        <f>IF(E162="","",TRIM(MID(TRIM('MSR RAW'!C162),SEARCH(" - ",TRIM('MSR RAW'!C162))+3,LEN(TRIM('MSR RAW'!C162))-SEARCH(" - ",TRIM('MSR RAW'!C162))-9)))</f>
        <v/>
      </c>
      <c r="G162" t="str">
        <f>IF(E162="","",IFERROR(VLOOKUP(E162,'CATEGORY MAP'!$A$2:$B$20,2,FALSE()),"REVIEW"))</f>
        <v/>
      </c>
      <c r="H162" t="str">
        <f>IF(E162="","",IFERROR(VALUE(SUBSTITUTE('MSR RAW'!P162,",","")),0))</f>
        <v/>
      </c>
      <c r="I162" t="str">
        <f>IF(E162="","",IFERROR(VALUE(SUBSTITUTE('MSR RAW'!S162,",","")),0))</f>
        <v/>
      </c>
    </row>
    <row r="163" spans="1:9" ht="68.650000000000006" customHeight="1" x14ac:dyDescent="0.2">
      <c r="A163">
        <v>163</v>
      </c>
      <c r="B16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63" t="str">
        <f>IF(LEFT(TRIM('MSR RAW'!A163),11)="Department:",TRIM('MSR RAW'!A163),C162)</f>
        <v>Department: 36128 - GROUP SALES / PREMIUM</v>
      </c>
      <c r="D163" t="str">
        <f>IF(LEFT(TRIM('MSR RAW'!B163),9)="Location:",TRIM(MID('MSR RAW'!B163,10,999)),D162)</f>
        <v>FB 404 - PREM. END ZONE CLUB EZC</v>
      </c>
      <c r="E163" t="str">
        <f>IF(AND(ISNUMBER(SEARCH(" - ",TRIM('MSR RAW'!C163))),RIGHT(TRIM('MSR RAW'!C163),6)="Total:"),LEFT(TRIM('MSR RAW'!C163),SEARCH(" - ",TRIM('MSR RAW'!C163))-1),"")</f>
        <v/>
      </c>
      <c r="F163" t="str">
        <f>IF(E163="","",TRIM(MID(TRIM('MSR RAW'!C163),SEARCH(" - ",TRIM('MSR RAW'!C163))+3,LEN(TRIM('MSR RAW'!C163))-SEARCH(" - ",TRIM('MSR RAW'!C163))-9)))</f>
        <v/>
      </c>
      <c r="G163" t="str">
        <f>IF(E163="","",IFERROR(VLOOKUP(E163,'CATEGORY MAP'!$A$2:$B$20,2,FALSE()),"REVIEW"))</f>
        <v/>
      </c>
      <c r="H163" t="str">
        <f>IF(E163="","",IFERROR(VALUE(SUBSTITUTE('MSR RAW'!P163,",","")),0))</f>
        <v/>
      </c>
      <c r="I163" t="str">
        <f>IF(E163="","",IFERROR(VALUE(SUBSTITUTE('MSR RAW'!S163,",","")),0))</f>
        <v/>
      </c>
    </row>
    <row r="164" spans="1:9" ht="68.650000000000006" customHeight="1" x14ac:dyDescent="0.2">
      <c r="A164">
        <v>164</v>
      </c>
      <c r="B16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64" t="str">
        <f>IF(LEFT(TRIM('MSR RAW'!A164),11)="Department:",TRIM('MSR RAW'!A164),C163)</f>
        <v>Department: 36637 - SPECIALTY CONCESSIONS (VENDING)</v>
      </c>
      <c r="D164" t="str">
        <f>IF(LEFT(TRIM('MSR RAW'!B164),9)="Location:",TRIM(MID('MSR RAW'!B164,10,999)),D163)</f>
        <v>FB 404 - PREM. END ZONE CLUB EZC</v>
      </c>
      <c r="E164" t="str">
        <f>IF(AND(ISNUMBER(SEARCH(" - ",TRIM('MSR RAW'!C164))),RIGHT(TRIM('MSR RAW'!C164),6)="Total:"),LEFT(TRIM('MSR RAW'!C164),SEARCH(" - ",TRIM('MSR RAW'!C164))-1),"")</f>
        <v/>
      </c>
      <c r="F164" t="str">
        <f>IF(E164="","",TRIM(MID(TRIM('MSR RAW'!C164),SEARCH(" - ",TRIM('MSR RAW'!C164))+3,LEN(TRIM('MSR RAW'!C164))-SEARCH(" - ",TRIM('MSR RAW'!C164))-9)))</f>
        <v/>
      </c>
      <c r="G164" t="str">
        <f>IF(E164="","",IFERROR(VLOOKUP(E164,'CATEGORY MAP'!$A$2:$B$20,2,FALSE()),"REVIEW"))</f>
        <v/>
      </c>
      <c r="H164" t="str">
        <f>IF(E164="","",IFERROR(VALUE(SUBSTITUTE('MSR RAW'!P164,",","")),0))</f>
        <v/>
      </c>
      <c r="I164" t="str">
        <f>IF(E164="","",IFERROR(VALUE(SUBSTITUTE('MSR RAW'!S164,",","")),0))</f>
        <v/>
      </c>
    </row>
    <row r="165" spans="1:9" ht="68.650000000000006" customHeight="1" x14ac:dyDescent="0.2">
      <c r="A165">
        <v>165</v>
      </c>
      <c r="B16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65" t="str">
        <f>IF(LEFT(TRIM('MSR RAW'!A165),11)="Department:",TRIM('MSR RAW'!A165),C164)</f>
        <v>Department: 36637 - SPECIALTY CONCESSIONS (VENDING)</v>
      </c>
      <c r="D165" t="str">
        <f>IF(LEFT(TRIM('MSR RAW'!B165),9)="Location:",TRIM(MID('MSR RAW'!B165,10,999)),D164)</f>
        <v>FB 151 - SUB SUGAR SHIVERS</v>
      </c>
      <c r="E165" t="str">
        <f>IF(AND(ISNUMBER(SEARCH(" - ",TRIM('MSR RAW'!C165))),RIGHT(TRIM('MSR RAW'!C165),6)="Total:"),LEFT(TRIM('MSR RAW'!C165),SEARCH(" - ",TRIM('MSR RAW'!C165))-1),"")</f>
        <v/>
      </c>
      <c r="F165" t="str">
        <f>IF(E165="","",TRIM(MID(TRIM('MSR RAW'!C165),SEARCH(" - ",TRIM('MSR RAW'!C165))+3,LEN(TRIM('MSR RAW'!C165))-SEARCH(" - ",TRIM('MSR RAW'!C165))-9)))</f>
        <v/>
      </c>
      <c r="G165" t="str">
        <f>IF(E165="","",IFERROR(VLOOKUP(E165,'CATEGORY MAP'!$A$2:$B$20,2,FALSE()),"REVIEW"))</f>
        <v/>
      </c>
      <c r="H165" t="str">
        <f>IF(E165="","",IFERROR(VALUE(SUBSTITUTE('MSR RAW'!P165,",","")),0))</f>
        <v/>
      </c>
      <c r="I165" t="str">
        <f>IF(E165="","",IFERROR(VALUE(SUBSTITUTE('MSR RAW'!S165,",","")),0))</f>
        <v/>
      </c>
    </row>
    <row r="166" spans="1:9" ht="68.650000000000006" customHeight="1" x14ac:dyDescent="0.2">
      <c r="A166">
        <v>166</v>
      </c>
      <c r="B16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66" t="str">
        <f>IF(LEFT(TRIM('MSR RAW'!A166),11)="Department:",TRIM('MSR RAW'!A166),C165)</f>
        <v>Department: 36637 - SPECIALTY CONCESSIONS (VENDING)</v>
      </c>
      <c r="D166" t="str">
        <f>IF(LEFT(TRIM('MSR RAW'!B166),9)="Location:",TRIM(MID('MSR RAW'!B166,10,999)),D165)</f>
        <v>FB 151 - SUB SUGAR SHIVERS</v>
      </c>
      <c r="E166" t="str">
        <f>IF(AND(ISNUMBER(SEARCH(" - ",TRIM('MSR RAW'!C166))),RIGHT(TRIM('MSR RAW'!C166),6)="Total:"),LEFT(TRIM('MSR RAW'!C166),SEARCH(" - ",TRIM('MSR RAW'!C166))-1),"")</f>
        <v/>
      </c>
      <c r="F166" t="str">
        <f>IF(E166="","",TRIM(MID(TRIM('MSR RAW'!C166),SEARCH(" - ",TRIM('MSR RAW'!C166))+3,LEN(TRIM('MSR RAW'!C166))-SEARCH(" - ",TRIM('MSR RAW'!C166))-9)))</f>
        <v/>
      </c>
      <c r="G166" t="str">
        <f>IF(E166="","",IFERROR(VLOOKUP(E166,'CATEGORY MAP'!$A$2:$B$20,2,FALSE()),"REVIEW"))</f>
        <v/>
      </c>
      <c r="H166" t="str">
        <f>IF(E166="","",IFERROR(VALUE(SUBSTITUTE('MSR RAW'!P166,",","")),0))</f>
        <v/>
      </c>
      <c r="I166" t="str">
        <f>IF(E166="","",IFERROR(VALUE(SUBSTITUTE('MSR RAW'!S166,",","")),0))</f>
        <v/>
      </c>
    </row>
    <row r="167" spans="1:9" ht="68.650000000000006" customHeight="1" x14ac:dyDescent="0.2">
      <c r="A167">
        <v>167</v>
      </c>
      <c r="B16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67" t="str">
        <f>IF(LEFT(TRIM('MSR RAW'!A167),11)="Department:",TRIM('MSR RAW'!A167),C166)</f>
        <v>Department: 36637 - SPECIALTY CONCESSIONS (VENDING)</v>
      </c>
      <c r="D167" t="str">
        <f>IF(LEFT(TRIM('MSR RAW'!B167),9)="Location:",TRIM(MID('MSR RAW'!B167,10,999)),D166)</f>
        <v>FB 151 - SUB SUGAR SHIVERS</v>
      </c>
      <c r="E167" t="str">
        <f>IF(AND(ISNUMBER(SEARCH(" - ",TRIM('MSR RAW'!C167))),RIGHT(TRIM('MSR RAW'!C167),6)="Total:"),LEFT(TRIM('MSR RAW'!C167),SEARCH(" - ",TRIM('MSR RAW'!C167))-1),"")</f>
        <v>353008</v>
      </c>
      <c r="F167" t="str">
        <f>IF(E167="","",TRIM(MID(TRIM('MSR RAW'!C167),SEARCH(" - ",TRIM('MSR RAW'!C167))+3,LEN(TRIM('MSR RAW'!C167))-SEARCH(" - ",TRIM('MSR RAW'!C167))-9)))</f>
        <v>SUBCONTRACT INCOME (FOOD%)</v>
      </c>
      <c r="G167" t="str">
        <f>IF(E167="","",IFERROR(VLOOKUP(E167,'CATEGORY MAP'!$A$2:$B$20,2,FALSE()),"REVIEW"))</f>
        <v>FOOD/NON-ALC</v>
      </c>
      <c r="H167">
        <f>IF(E167="","",IFERROR(VALUE(SUBSTITUTE('MSR RAW'!P167,",","")),0))</f>
        <v>8357.08</v>
      </c>
      <c r="I167">
        <f>IF(E167="","",IFERROR(VALUE(SUBSTITUTE('MSR RAW'!S167,",","")),0))</f>
        <v>7765</v>
      </c>
    </row>
    <row r="168" spans="1:9" ht="68.650000000000006" customHeight="1" x14ac:dyDescent="0.2">
      <c r="A168">
        <v>168</v>
      </c>
      <c r="B16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68" t="str">
        <f>IF(LEFT(TRIM('MSR RAW'!A168),11)="Department:",TRIM('MSR RAW'!A168),C167)</f>
        <v>Department: 36637 - SPECIALTY CONCESSIONS (VENDING)</v>
      </c>
      <c r="D168" t="str">
        <f>IF(LEFT(TRIM('MSR RAW'!B168),9)="Location:",TRIM(MID('MSR RAW'!B168,10,999)),D167)</f>
        <v>FB 151 - SUB SUGAR SHIVERS</v>
      </c>
      <c r="E168" t="str">
        <f>IF(AND(ISNUMBER(SEARCH(" - ",TRIM('MSR RAW'!C168))),RIGHT(TRIM('MSR RAW'!C168),6)="Total:"),LEFT(TRIM('MSR RAW'!C168),SEARCH(" - ",TRIM('MSR RAW'!C168))-1),"")</f>
        <v/>
      </c>
      <c r="F168" t="str">
        <f>IF(E168="","",TRIM(MID(TRIM('MSR RAW'!C168),SEARCH(" - ",TRIM('MSR RAW'!C168))+3,LEN(TRIM('MSR RAW'!C168))-SEARCH(" - ",TRIM('MSR RAW'!C168))-9)))</f>
        <v/>
      </c>
      <c r="G168" t="str">
        <f>IF(E168="","",IFERROR(VLOOKUP(E168,'CATEGORY MAP'!$A$2:$B$20,2,FALSE()),"REVIEW"))</f>
        <v/>
      </c>
      <c r="H168" t="str">
        <f>IF(E168="","",IFERROR(VALUE(SUBSTITUTE('MSR RAW'!P168,",","")),0))</f>
        <v/>
      </c>
      <c r="I168" t="str">
        <f>IF(E168="","",IFERROR(VALUE(SUBSTITUTE('MSR RAW'!S168,",","")),0))</f>
        <v/>
      </c>
    </row>
    <row r="169" spans="1:9" ht="68.650000000000006" customHeight="1" x14ac:dyDescent="0.2">
      <c r="A169">
        <v>169</v>
      </c>
      <c r="B16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69" t="str">
        <f>IF(LEFT(TRIM('MSR RAW'!A169),11)="Department:",TRIM('MSR RAW'!A169),C168)</f>
        <v>Department: 36637 - SPECIALTY CONCESSIONS (VENDING)</v>
      </c>
      <c r="D169" t="str">
        <f>IF(LEFT(TRIM('MSR RAW'!B169),9)="Location:",TRIM(MID('MSR RAW'!B169,10,999)),D168)</f>
        <v>FB 155 - SUB ISLAND NOODLES</v>
      </c>
      <c r="E169" t="str">
        <f>IF(AND(ISNUMBER(SEARCH(" - ",TRIM('MSR RAW'!C169))),RIGHT(TRIM('MSR RAW'!C169),6)="Total:"),LEFT(TRIM('MSR RAW'!C169),SEARCH(" - ",TRIM('MSR RAW'!C169))-1),"")</f>
        <v/>
      </c>
      <c r="F169" t="str">
        <f>IF(E169="","",TRIM(MID(TRIM('MSR RAW'!C169),SEARCH(" - ",TRIM('MSR RAW'!C169))+3,LEN(TRIM('MSR RAW'!C169))-SEARCH(" - ",TRIM('MSR RAW'!C169))-9)))</f>
        <v/>
      </c>
      <c r="G169" t="str">
        <f>IF(E169="","",IFERROR(VLOOKUP(E169,'CATEGORY MAP'!$A$2:$B$20,2,FALSE()),"REVIEW"))</f>
        <v/>
      </c>
      <c r="H169" t="str">
        <f>IF(E169="","",IFERROR(VALUE(SUBSTITUTE('MSR RAW'!P169,",","")),0))</f>
        <v/>
      </c>
      <c r="I169" t="str">
        <f>IF(E169="","",IFERROR(VALUE(SUBSTITUTE('MSR RAW'!S169,",","")),0))</f>
        <v/>
      </c>
    </row>
    <row r="170" spans="1:9" ht="68.650000000000006" customHeight="1" x14ac:dyDescent="0.2">
      <c r="A170">
        <v>170</v>
      </c>
      <c r="B17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70" t="str">
        <f>IF(LEFT(TRIM('MSR RAW'!A170),11)="Department:",TRIM('MSR RAW'!A170),C169)</f>
        <v>Department: 36637 - SPECIALTY CONCESSIONS (VENDING)</v>
      </c>
      <c r="D170" t="str">
        <f>IF(LEFT(TRIM('MSR RAW'!B170),9)="Location:",TRIM(MID('MSR RAW'!B170,10,999)),D169)</f>
        <v>FB 155 - SUB ISLAND NOODLES</v>
      </c>
      <c r="E170" t="str">
        <f>IF(AND(ISNUMBER(SEARCH(" - ",TRIM('MSR RAW'!C170))),RIGHT(TRIM('MSR RAW'!C170),6)="Total:"),LEFT(TRIM('MSR RAW'!C170),SEARCH(" - ",TRIM('MSR RAW'!C170))-1),"")</f>
        <v/>
      </c>
      <c r="F170" t="str">
        <f>IF(E170="","",TRIM(MID(TRIM('MSR RAW'!C170),SEARCH(" - ",TRIM('MSR RAW'!C170))+3,LEN(TRIM('MSR RAW'!C170))-SEARCH(" - ",TRIM('MSR RAW'!C170))-9)))</f>
        <v/>
      </c>
      <c r="G170" t="str">
        <f>IF(E170="","",IFERROR(VLOOKUP(E170,'CATEGORY MAP'!$A$2:$B$20,2,FALSE()),"REVIEW"))</f>
        <v/>
      </c>
      <c r="H170" t="str">
        <f>IF(E170="","",IFERROR(VALUE(SUBSTITUTE('MSR RAW'!P170,",","")),0))</f>
        <v/>
      </c>
      <c r="I170" t="str">
        <f>IF(E170="","",IFERROR(VALUE(SUBSTITUTE('MSR RAW'!S170,",","")),0))</f>
        <v/>
      </c>
    </row>
    <row r="171" spans="1:9" ht="68.650000000000006" customHeight="1" x14ac:dyDescent="0.2">
      <c r="A171">
        <v>171</v>
      </c>
      <c r="B17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71" t="str">
        <f>IF(LEFT(TRIM('MSR RAW'!A171),11)="Department:",TRIM('MSR RAW'!A171),C170)</f>
        <v>Department: 36637 - SPECIALTY CONCESSIONS (VENDING)</v>
      </c>
      <c r="D171" t="str">
        <f>IF(LEFT(TRIM('MSR RAW'!B171),9)="Location:",TRIM(MID('MSR RAW'!B171,10,999)),D170)</f>
        <v>FB 155 - SUB ISLAND NOODLES</v>
      </c>
      <c r="E171" t="str">
        <f>IF(AND(ISNUMBER(SEARCH(" - ",TRIM('MSR RAW'!C171))),RIGHT(TRIM('MSR RAW'!C171),6)="Total:"),LEFT(TRIM('MSR RAW'!C171),SEARCH(" - ",TRIM('MSR RAW'!C171))-1),"")</f>
        <v>353008</v>
      </c>
      <c r="F171" t="str">
        <f>IF(E171="","",TRIM(MID(TRIM('MSR RAW'!C171),SEARCH(" - ",TRIM('MSR RAW'!C171))+3,LEN(TRIM('MSR RAW'!C171))-SEARCH(" - ",TRIM('MSR RAW'!C171))-9)))</f>
        <v>SUBCONTRACT INCOME (FOOD%)</v>
      </c>
      <c r="G171" t="str">
        <f>IF(E171="","",IFERROR(VLOOKUP(E171,'CATEGORY MAP'!$A$2:$B$20,2,FALSE()),"REVIEW"))</f>
        <v>FOOD/NON-ALC</v>
      </c>
      <c r="H171">
        <f>IF(E171="","",IFERROR(VALUE(SUBSTITUTE('MSR RAW'!P171,",","")),0))</f>
        <v>1791.96</v>
      </c>
      <c r="I171">
        <f>IF(E171="","",IFERROR(VALUE(SUBSTITUTE('MSR RAW'!S171,",","")),0))</f>
        <v>1665</v>
      </c>
    </row>
    <row r="172" spans="1:9" ht="68.650000000000006" customHeight="1" x14ac:dyDescent="0.2">
      <c r="A172">
        <v>172</v>
      </c>
      <c r="B17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72" t="str">
        <f>IF(LEFT(TRIM('MSR RAW'!A172),11)="Department:",TRIM('MSR RAW'!A172),C171)</f>
        <v>Department: 36637 - SPECIALTY CONCESSIONS (VENDING)</v>
      </c>
      <c r="D172" t="str">
        <f>IF(LEFT(TRIM('MSR RAW'!B172),9)="Location:",TRIM(MID('MSR RAW'!B172,10,999)),D171)</f>
        <v>FB 155 - SUB ISLAND NOODLES</v>
      </c>
      <c r="E172" t="str">
        <f>IF(AND(ISNUMBER(SEARCH(" - ",TRIM('MSR RAW'!C172))),RIGHT(TRIM('MSR RAW'!C172),6)="Total:"),LEFT(TRIM('MSR RAW'!C172),SEARCH(" - ",TRIM('MSR RAW'!C172))-1),"")</f>
        <v/>
      </c>
      <c r="F172" t="str">
        <f>IF(E172="","",TRIM(MID(TRIM('MSR RAW'!C172),SEARCH(" - ",TRIM('MSR RAW'!C172))+3,LEN(TRIM('MSR RAW'!C172))-SEARCH(" - ",TRIM('MSR RAW'!C172))-9)))</f>
        <v/>
      </c>
      <c r="G172" t="str">
        <f>IF(E172="","",IFERROR(VLOOKUP(E172,'CATEGORY MAP'!$A$2:$B$20,2,FALSE()),"REVIEW"))</f>
        <v/>
      </c>
      <c r="H172" t="str">
        <f>IF(E172="","",IFERROR(VALUE(SUBSTITUTE('MSR RAW'!P172,",","")),0))</f>
        <v/>
      </c>
      <c r="I172" t="str">
        <f>IF(E172="","",IFERROR(VALUE(SUBSTITUTE('MSR RAW'!S172,",","")),0))</f>
        <v/>
      </c>
    </row>
    <row r="173" spans="1:9" ht="68.650000000000006" customHeight="1" x14ac:dyDescent="0.2">
      <c r="A173">
        <v>173</v>
      </c>
      <c r="B17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73" t="str">
        <f>IF(LEFT(TRIM('MSR RAW'!A173),11)="Department:",TRIM('MSR RAW'!A173),C172)</f>
        <v>Department: 36637 - SPECIALTY CONCESSIONS (VENDING)</v>
      </c>
      <c r="D173" t="str">
        <f>IF(LEFT(TRIM('MSR RAW'!B173),9)="Location:",TRIM(MID('MSR RAW'!B173,10,999)),D172)</f>
        <v>FB 155 - SUB ISLAND NOODLES</v>
      </c>
      <c r="E173" t="str">
        <f>IF(AND(ISNUMBER(SEARCH(" - ",TRIM('MSR RAW'!C173))),RIGHT(TRIM('MSR RAW'!C173),6)="Total:"),LEFT(TRIM('MSR RAW'!C173),SEARCH(" - ",TRIM('MSR RAW'!C173))-1),"")</f>
        <v/>
      </c>
      <c r="F173" t="str">
        <f>IF(E173="","",TRIM(MID(TRIM('MSR RAW'!C173),SEARCH(" - ",TRIM('MSR RAW'!C173))+3,LEN(TRIM('MSR RAW'!C173))-SEARCH(" - ",TRIM('MSR RAW'!C173))-9)))</f>
        <v/>
      </c>
      <c r="G173" t="str">
        <f>IF(E173="","",IFERROR(VLOOKUP(E173,'CATEGORY MAP'!$A$2:$B$20,2,FALSE()),"REVIEW"))</f>
        <v/>
      </c>
      <c r="H173" t="str">
        <f>IF(E173="","",IFERROR(VALUE(SUBSTITUTE('MSR RAW'!P173,",","")),0))</f>
        <v/>
      </c>
      <c r="I173" t="str">
        <f>IF(E173="","",IFERROR(VALUE(SUBSTITUTE('MSR RAW'!S173,",","")),0))</f>
        <v/>
      </c>
    </row>
    <row r="174" spans="1:9" ht="68.650000000000006" customHeight="1" x14ac:dyDescent="0.2">
      <c r="A174">
        <v>174</v>
      </c>
      <c r="B17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74" t="str">
        <f>IF(LEFT(TRIM('MSR RAW'!A174),11)="Department:",TRIM('MSR RAW'!A174),C173)</f>
        <v>Department: 36637 - SPECIALTY CONCESSIONS (VENDING)</v>
      </c>
      <c r="D174" t="str">
        <f>IF(LEFT(TRIM('MSR RAW'!B174),9)="Location:",TRIM(MID('MSR RAW'!B174,10,999)),D173)</f>
        <v>FB 155 - SUB ISLAND NOODLES</v>
      </c>
      <c r="E174" t="str">
        <f>IF(AND(ISNUMBER(SEARCH(" - ",TRIM('MSR RAW'!C174))),RIGHT(TRIM('MSR RAW'!C174),6)="Total:"),LEFT(TRIM('MSR RAW'!C174),SEARCH(" - ",TRIM('MSR RAW'!C174))-1),"")</f>
        <v/>
      </c>
      <c r="F174" t="str">
        <f>IF(E174="","",TRIM(MID(TRIM('MSR RAW'!C174),SEARCH(" - ",TRIM('MSR RAW'!C174))+3,LEN(TRIM('MSR RAW'!C174))-SEARCH(" - ",TRIM('MSR RAW'!C174))-9)))</f>
        <v/>
      </c>
      <c r="G174" t="str">
        <f>IF(E174="","",IFERROR(VLOOKUP(E174,'CATEGORY MAP'!$A$2:$B$20,2,FALSE()),"REVIEW"))</f>
        <v/>
      </c>
      <c r="H174" t="str">
        <f>IF(E174="","",IFERROR(VALUE(SUBSTITUTE('MSR RAW'!P174,",","")),0))</f>
        <v/>
      </c>
      <c r="I174" t="str">
        <f>IF(E174="","",IFERROR(VALUE(SUBSTITUTE('MSR RAW'!S174,",","")),0))</f>
        <v/>
      </c>
    </row>
    <row r="175" spans="1:9" ht="68.650000000000006" customHeight="1" x14ac:dyDescent="0.2">
      <c r="A175">
        <v>175</v>
      </c>
      <c r="B17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75" t="str">
        <f>IF(LEFT(TRIM('MSR RAW'!A175),11)="Department:",TRIM('MSR RAW'!A175),C174)</f>
        <v>Department: 36637 - SPECIALTY CONCESSIONS (VENDING)</v>
      </c>
      <c r="D175" t="str">
        <f>IF(LEFT(TRIM('MSR RAW'!B175),9)="Location:",TRIM(MID('MSR RAW'!B175,10,999)),D174)</f>
        <v>FB 155 - SUB ISLAND NOODLES</v>
      </c>
      <c r="E175" t="str">
        <f>IF(AND(ISNUMBER(SEARCH(" - ",TRIM('MSR RAW'!C175))),RIGHT(TRIM('MSR RAW'!C175),6)="Total:"),LEFT(TRIM('MSR RAW'!C175),SEARCH(" - ",TRIM('MSR RAW'!C175))-1),"")</f>
        <v/>
      </c>
      <c r="F175" t="str">
        <f>IF(E175="","",TRIM(MID(TRIM('MSR RAW'!C175),SEARCH(" - ",TRIM('MSR RAW'!C175))+3,LEN(TRIM('MSR RAW'!C175))-SEARCH(" - ",TRIM('MSR RAW'!C175))-9)))</f>
        <v/>
      </c>
      <c r="G175" t="str">
        <f>IF(E175="","",IFERROR(VLOOKUP(E175,'CATEGORY MAP'!$A$2:$B$20,2,FALSE()),"REVIEW"))</f>
        <v/>
      </c>
      <c r="H175" t="str">
        <f>IF(E175="","",IFERROR(VALUE(SUBSTITUTE('MSR RAW'!P175,",","")),0))</f>
        <v/>
      </c>
      <c r="I175" t="str">
        <f>IF(E175="","",IFERROR(VALUE(SUBSTITUTE('MSR RAW'!S175,",","")),0))</f>
        <v/>
      </c>
    </row>
    <row r="176" spans="1:9" ht="68.650000000000006" customHeight="1" x14ac:dyDescent="0.2">
      <c r="A176">
        <v>176</v>
      </c>
      <c r="B17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76" t="str">
        <f>IF(LEFT(TRIM('MSR RAW'!A176),11)="Department:",TRIM('MSR RAW'!A176),C175)</f>
        <v>Department: 36637 - SPECIALTY CONCESSIONS (VENDING)</v>
      </c>
      <c r="D176" t="str">
        <f>IF(LEFT(TRIM('MSR RAW'!B176),9)="Location:",TRIM(MID('MSR RAW'!B176,10,999)),D175)</f>
        <v>FB 155 - SUB ISLAND NOODLES</v>
      </c>
      <c r="E176" t="str">
        <f>IF(AND(ISNUMBER(SEARCH(" - ",TRIM('MSR RAW'!C176))),RIGHT(TRIM('MSR RAW'!C176),6)="Total:"),LEFT(TRIM('MSR RAW'!C176),SEARCH(" - ",TRIM('MSR RAW'!C176))-1),"")</f>
        <v/>
      </c>
      <c r="F176" t="str">
        <f>IF(E176="","",TRIM(MID(TRIM('MSR RAW'!C176),SEARCH(" - ",TRIM('MSR RAW'!C176))+3,LEN(TRIM('MSR RAW'!C176))-SEARCH(" - ",TRIM('MSR RAW'!C176))-9)))</f>
        <v/>
      </c>
      <c r="G176" t="str">
        <f>IF(E176="","",IFERROR(VLOOKUP(E176,'CATEGORY MAP'!$A$2:$B$20,2,FALSE()),"REVIEW"))</f>
        <v/>
      </c>
      <c r="H176" t="str">
        <f>IF(E176="","",IFERROR(VALUE(SUBSTITUTE('MSR RAW'!P176,",","")),0))</f>
        <v/>
      </c>
      <c r="I176" t="str">
        <f>IF(E176="","",IFERROR(VALUE(SUBSTITUTE('MSR RAW'!S176,",","")),0))</f>
        <v/>
      </c>
    </row>
    <row r="177" spans="1:9" ht="68.650000000000006" customHeight="1" x14ac:dyDescent="0.2">
      <c r="A177">
        <v>177</v>
      </c>
      <c r="B17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77" t="str">
        <f>IF(LEFT(TRIM('MSR RAW'!A177),11)="Department:",TRIM('MSR RAW'!A177),C176)</f>
        <v>Department: 36637 - SPECIALTY CONCESSIONS (VENDING)</v>
      </c>
      <c r="D177" t="str">
        <f>IF(LEFT(TRIM('MSR RAW'!B177),9)="Location:",TRIM(MID('MSR RAW'!B177,10,999)),D176)</f>
        <v>FB 155 - SUB ISLAND NOODLES</v>
      </c>
      <c r="E177" t="str">
        <f>IF(AND(ISNUMBER(SEARCH(" - ",TRIM('MSR RAW'!C177))),RIGHT(TRIM('MSR RAW'!C177),6)="Total:"),LEFT(TRIM('MSR RAW'!C177),SEARCH(" - ",TRIM('MSR RAW'!C177))-1),"")</f>
        <v/>
      </c>
      <c r="F177" t="str">
        <f>IF(E177="","",TRIM(MID(TRIM('MSR RAW'!C177),SEARCH(" - ",TRIM('MSR RAW'!C177))+3,LEN(TRIM('MSR RAW'!C177))-SEARCH(" - ",TRIM('MSR RAW'!C177))-9)))</f>
        <v/>
      </c>
      <c r="G177" t="str">
        <f>IF(E177="","",IFERROR(VLOOKUP(E177,'CATEGORY MAP'!$A$2:$B$20,2,FALSE()),"REVIEW"))</f>
        <v/>
      </c>
      <c r="H177" t="str">
        <f>IF(E177="","",IFERROR(VALUE(SUBSTITUTE('MSR RAW'!P177,",","")),0))</f>
        <v/>
      </c>
      <c r="I177" t="str">
        <f>IF(E177="","",IFERROR(VALUE(SUBSTITUTE('MSR RAW'!S177,",","")),0))</f>
        <v/>
      </c>
    </row>
    <row r="178" spans="1:9" ht="68.650000000000006" customHeight="1" x14ac:dyDescent="0.2">
      <c r="A178">
        <v>178</v>
      </c>
      <c r="B17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78" t="str">
        <f>IF(LEFT(TRIM('MSR RAW'!A178),11)="Department:",TRIM('MSR RAW'!A178),C177)</f>
        <v>Department: 36637 - SPECIALTY CONCESSIONS (VENDING)</v>
      </c>
      <c r="D178" t="str">
        <f>IF(LEFT(TRIM('MSR RAW'!B178),9)="Location:",TRIM(MID('MSR RAW'!B178,10,999)),D177)</f>
        <v>FB 155 - SUB ISLAND NOODLES</v>
      </c>
      <c r="E178" t="str">
        <f>IF(AND(ISNUMBER(SEARCH(" - ",TRIM('MSR RAW'!C178))),RIGHT(TRIM('MSR RAW'!C178),6)="Total:"),LEFT(TRIM('MSR RAW'!C178),SEARCH(" - ",TRIM('MSR RAW'!C178))-1),"")</f>
        <v/>
      </c>
      <c r="F178" t="str">
        <f>IF(E178="","",TRIM(MID(TRIM('MSR RAW'!C178),SEARCH(" - ",TRIM('MSR RAW'!C178))+3,LEN(TRIM('MSR RAW'!C178))-SEARCH(" - ",TRIM('MSR RAW'!C178))-9)))</f>
        <v/>
      </c>
      <c r="G178" t="str">
        <f>IF(E178="","",IFERROR(VLOOKUP(E178,'CATEGORY MAP'!$A$2:$B$20,2,FALSE()),"REVIEW"))</f>
        <v/>
      </c>
      <c r="H178" t="str">
        <f>IF(E178="","",IFERROR(VALUE(SUBSTITUTE('MSR RAW'!P178,",","")),0))</f>
        <v/>
      </c>
      <c r="I178" t="str">
        <f>IF(E178="","",IFERROR(VALUE(SUBSTITUTE('MSR RAW'!S178,",","")),0))</f>
        <v/>
      </c>
    </row>
    <row r="179" spans="1:9" ht="68.650000000000006" customHeight="1" x14ac:dyDescent="0.2">
      <c r="A179">
        <v>179</v>
      </c>
      <c r="B17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79" t="str">
        <f>IF(LEFT(TRIM('MSR RAW'!A179),11)="Department:",TRIM('MSR RAW'!A179),C178)</f>
        <v>Department: 36637 - SPECIALTY CONCESSIONS (VENDING)</v>
      </c>
      <c r="D179" t="str">
        <f>IF(LEFT(TRIM('MSR RAW'!B179),9)="Location:",TRIM(MID('MSR RAW'!B179,10,999)),D178)</f>
        <v>FB 155 - SUB ISLAND NOODLES</v>
      </c>
      <c r="E179" t="str">
        <f>IF(AND(ISNUMBER(SEARCH(" - ",TRIM('MSR RAW'!C179))),RIGHT(TRIM('MSR RAW'!C179),6)="Total:"),LEFT(TRIM('MSR RAW'!C179),SEARCH(" - ",TRIM('MSR RAW'!C179))-1),"")</f>
        <v/>
      </c>
      <c r="F179" t="str">
        <f>IF(E179="","",TRIM(MID(TRIM('MSR RAW'!C179),SEARCH(" - ",TRIM('MSR RAW'!C179))+3,LEN(TRIM('MSR RAW'!C179))-SEARCH(" - ",TRIM('MSR RAW'!C179))-9)))</f>
        <v/>
      </c>
      <c r="G179" t="str">
        <f>IF(E179="","",IFERROR(VLOOKUP(E179,'CATEGORY MAP'!$A$2:$B$20,2,FALSE()),"REVIEW"))</f>
        <v/>
      </c>
      <c r="H179" t="str">
        <f>IF(E179="","",IFERROR(VALUE(SUBSTITUTE('MSR RAW'!P179,",","")),0))</f>
        <v/>
      </c>
      <c r="I179" t="str">
        <f>IF(E179="","",IFERROR(VALUE(SUBSTITUTE('MSR RAW'!S179,",","")),0))</f>
        <v/>
      </c>
    </row>
    <row r="180" spans="1:9" ht="68.650000000000006" customHeight="1" x14ac:dyDescent="0.2">
      <c r="A180">
        <v>180</v>
      </c>
      <c r="B18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80" t="str">
        <f>IF(LEFT(TRIM('MSR RAW'!A180),11)="Department:",TRIM('MSR RAW'!A180),C179)</f>
        <v>Department: 36637 - SPECIALTY CONCESSIONS (VENDING)</v>
      </c>
      <c r="D180" t="str">
        <f>IF(LEFT(TRIM('MSR RAW'!B180),9)="Location:",TRIM(MID('MSR RAW'!B180,10,999)),D179)</f>
        <v>FB 155 - SUB ISLAND NOODLES</v>
      </c>
      <c r="E180" t="str">
        <f>IF(AND(ISNUMBER(SEARCH(" - ",TRIM('MSR RAW'!C180))),RIGHT(TRIM('MSR RAW'!C180),6)="Total:"),LEFT(TRIM('MSR RAW'!C180),SEARCH(" - ",TRIM('MSR RAW'!C180))-1),"")</f>
        <v/>
      </c>
      <c r="F180" t="str">
        <f>IF(E180="","",TRIM(MID(TRIM('MSR RAW'!C180),SEARCH(" - ",TRIM('MSR RAW'!C180))+3,LEN(TRIM('MSR RAW'!C180))-SEARCH(" - ",TRIM('MSR RAW'!C180))-9)))</f>
        <v/>
      </c>
      <c r="G180" t="str">
        <f>IF(E180="","",IFERROR(VLOOKUP(E180,'CATEGORY MAP'!$A$2:$B$20,2,FALSE()),"REVIEW"))</f>
        <v/>
      </c>
      <c r="H180" t="str">
        <f>IF(E180="","",IFERROR(VALUE(SUBSTITUTE('MSR RAW'!P180,",","")),0))</f>
        <v/>
      </c>
      <c r="I180" t="str">
        <f>IF(E180="","",IFERROR(VALUE(SUBSTITUTE('MSR RAW'!S180,",","")),0))</f>
        <v/>
      </c>
    </row>
    <row r="181" spans="1:9" ht="68.650000000000006" customHeight="1" x14ac:dyDescent="0.2">
      <c r="A181">
        <v>181</v>
      </c>
      <c r="B18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81" t="str">
        <f>IF(LEFT(TRIM('MSR RAW'!A181),11)="Department:",TRIM('MSR RAW'!A181),C180)</f>
        <v>Department: 36637 - SPECIALTY CONCESSIONS (VENDING)</v>
      </c>
      <c r="D181" t="str">
        <f>IF(LEFT(TRIM('MSR RAW'!B181),9)="Location:",TRIM(MID('MSR RAW'!B181,10,999)),D180)</f>
        <v>FB 155 - SUB ISLAND NOODLES</v>
      </c>
      <c r="E181" t="str">
        <f>IF(AND(ISNUMBER(SEARCH(" - ",TRIM('MSR RAW'!C181))),RIGHT(TRIM('MSR RAW'!C181),6)="Total:"),LEFT(TRIM('MSR RAW'!C181),SEARCH(" - ",TRIM('MSR RAW'!C181))-1),"")</f>
        <v/>
      </c>
      <c r="F181" t="str">
        <f>IF(E181="","",TRIM(MID(TRIM('MSR RAW'!C181),SEARCH(" - ",TRIM('MSR RAW'!C181))+3,LEN(TRIM('MSR RAW'!C181))-SEARCH(" - ",TRIM('MSR RAW'!C181))-9)))</f>
        <v/>
      </c>
      <c r="G181" t="str">
        <f>IF(E181="","",IFERROR(VLOOKUP(E181,'CATEGORY MAP'!$A$2:$B$20,2,FALSE()),"REVIEW"))</f>
        <v/>
      </c>
      <c r="H181" t="str">
        <f>IF(E181="","",IFERROR(VALUE(SUBSTITUTE('MSR RAW'!P181,",","")),0))</f>
        <v/>
      </c>
      <c r="I181" t="str">
        <f>IF(E181="","",IFERROR(VALUE(SUBSTITUTE('MSR RAW'!S181,",","")),0))</f>
        <v/>
      </c>
    </row>
    <row r="182" spans="1:9" ht="68.650000000000006" customHeight="1" x14ac:dyDescent="0.2">
      <c r="A182">
        <v>182</v>
      </c>
      <c r="B18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82" t="str">
        <f>IF(LEFT(TRIM('MSR RAW'!A182),11)="Department:",TRIM('MSR RAW'!A182),C181)</f>
        <v>Department: 36637 - SPECIALTY CONCESSIONS (VENDING)</v>
      </c>
      <c r="D182" t="str">
        <f>IF(LEFT(TRIM('MSR RAW'!B182),9)="Location:",TRIM(MID('MSR RAW'!B182,10,999)),D181)</f>
        <v>FB 155 - SUB ISLAND NOODLES</v>
      </c>
      <c r="E182" t="str">
        <f>IF(AND(ISNUMBER(SEARCH(" - ",TRIM('MSR RAW'!C182))),RIGHT(TRIM('MSR RAW'!C182),6)="Total:"),LEFT(TRIM('MSR RAW'!C182),SEARCH(" - ",TRIM('MSR RAW'!C182))-1),"")</f>
        <v/>
      </c>
      <c r="F182" t="str">
        <f>IF(E182="","",TRIM(MID(TRIM('MSR RAW'!C182),SEARCH(" - ",TRIM('MSR RAW'!C182))+3,LEN(TRIM('MSR RAW'!C182))-SEARCH(" - ",TRIM('MSR RAW'!C182))-9)))</f>
        <v/>
      </c>
      <c r="G182" t="str">
        <f>IF(E182="","",IFERROR(VLOOKUP(E182,'CATEGORY MAP'!$A$2:$B$20,2,FALSE()),"REVIEW"))</f>
        <v/>
      </c>
      <c r="H182" t="str">
        <f>IF(E182="","",IFERROR(VALUE(SUBSTITUTE('MSR RAW'!P182,",","")),0))</f>
        <v/>
      </c>
      <c r="I182" t="str">
        <f>IF(E182="","",IFERROR(VALUE(SUBSTITUTE('MSR RAW'!S182,",","")),0))</f>
        <v/>
      </c>
    </row>
    <row r="183" spans="1:9" ht="68.650000000000006" customHeight="1" x14ac:dyDescent="0.2">
      <c r="A183">
        <v>183</v>
      </c>
      <c r="B18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83" t="str">
        <f>IF(LEFT(TRIM('MSR RAW'!A183),11)="Department:",TRIM('MSR RAW'!A183),C182)</f>
        <v>Department: 36637 - SPECIALTY CONCESSIONS (VENDING)</v>
      </c>
      <c r="D183" t="str">
        <f>IF(LEFT(TRIM('MSR RAW'!B183),9)="Location:",TRIM(MID('MSR RAW'!B183,10,999)),D182)</f>
        <v>FB 155 - SUB ISLAND NOODLES</v>
      </c>
      <c r="E183" t="str">
        <f>IF(AND(ISNUMBER(SEARCH(" - ",TRIM('MSR RAW'!C183))),RIGHT(TRIM('MSR RAW'!C183),6)="Total:"),LEFT(TRIM('MSR RAW'!C183),SEARCH(" - ",TRIM('MSR RAW'!C183))-1),"")</f>
        <v/>
      </c>
      <c r="F183" t="str">
        <f>IF(E183="","",TRIM(MID(TRIM('MSR RAW'!C183),SEARCH(" - ",TRIM('MSR RAW'!C183))+3,LEN(TRIM('MSR RAW'!C183))-SEARCH(" - ",TRIM('MSR RAW'!C183))-9)))</f>
        <v/>
      </c>
      <c r="G183" t="str">
        <f>IF(E183="","",IFERROR(VLOOKUP(E183,'CATEGORY MAP'!$A$2:$B$20,2,FALSE()),"REVIEW"))</f>
        <v/>
      </c>
      <c r="H183" t="str">
        <f>IF(E183="","",IFERROR(VALUE(SUBSTITUTE('MSR RAW'!P183,",","")),0))</f>
        <v/>
      </c>
      <c r="I183" t="str">
        <f>IF(E183="","",IFERROR(VALUE(SUBSTITUTE('MSR RAW'!S183,",","")),0))</f>
        <v/>
      </c>
    </row>
    <row r="184" spans="1:9" ht="68.650000000000006" customHeight="1" x14ac:dyDescent="0.2">
      <c r="A184">
        <v>184</v>
      </c>
      <c r="B18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84" t="str">
        <f>IF(LEFT(TRIM('MSR RAW'!A184),11)="Department:",TRIM('MSR RAW'!A184),C183)</f>
        <v>Department: 36637 - SPECIALTY CONCESSIONS (VENDING)</v>
      </c>
      <c r="D184" t="str">
        <f>IF(LEFT(TRIM('MSR RAW'!B184),9)="Location:",TRIM(MID('MSR RAW'!B184,10,999)),D183)</f>
        <v>FB 155 - SUB ISLAND NOODLES</v>
      </c>
      <c r="E184" t="str">
        <f>IF(AND(ISNUMBER(SEARCH(" - ",TRIM('MSR RAW'!C184))),RIGHT(TRIM('MSR RAW'!C184),6)="Total:"),LEFT(TRIM('MSR RAW'!C184),SEARCH(" - ",TRIM('MSR RAW'!C184))-1),"")</f>
        <v/>
      </c>
      <c r="F184" t="str">
        <f>IF(E184="","",TRIM(MID(TRIM('MSR RAW'!C184),SEARCH(" - ",TRIM('MSR RAW'!C184))+3,LEN(TRIM('MSR RAW'!C184))-SEARCH(" - ",TRIM('MSR RAW'!C184))-9)))</f>
        <v/>
      </c>
      <c r="G184" t="str">
        <f>IF(E184="","",IFERROR(VLOOKUP(E184,'CATEGORY MAP'!$A$2:$B$20,2,FALSE()),"REVIEW"))</f>
        <v/>
      </c>
      <c r="H184" t="str">
        <f>IF(E184="","",IFERROR(VALUE(SUBSTITUTE('MSR RAW'!P184,",","")),0))</f>
        <v/>
      </c>
      <c r="I184" t="str">
        <f>IF(E184="","",IFERROR(VALUE(SUBSTITUTE('MSR RAW'!S184,",","")),0))</f>
        <v/>
      </c>
    </row>
    <row r="185" spans="1:9" ht="68.650000000000006" customHeight="1" x14ac:dyDescent="0.2">
      <c r="A185">
        <v>185</v>
      </c>
      <c r="B18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85" t="str">
        <f>IF(LEFT(TRIM('MSR RAW'!A185),11)="Department:",TRIM('MSR RAW'!A185),C184)</f>
        <v>Department: 36637 - SPECIALTY CONCESSIONS (VENDING)</v>
      </c>
      <c r="D185" t="str">
        <f>IF(LEFT(TRIM('MSR RAW'!B185),9)="Location:",TRIM(MID('MSR RAW'!B185,10,999)),D184)</f>
        <v>FB 155 - SUB ISLAND NOODLES</v>
      </c>
      <c r="E185" t="str">
        <f>IF(AND(ISNUMBER(SEARCH(" - ",TRIM('MSR RAW'!C185))),RIGHT(TRIM('MSR RAW'!C185),6)="Total:"),LEFT(TRIM('MSR RAW'!C185),SEARCH(" - ",TRIM('MSR RAW'!C185))-1),"")</f>
        <v/>
      </c>
      <c r="F185" t="str">
        <f>IF(E185="","",TRIM(MID(TRIM('MSR RAW'!C185),SEARCH(" - ",TRIM('MSR RAW'!C185))+3,LEN(TRIM('MSR RAW'!C185))-SEARCH(" - ",TRIM('MSR RAW'!C185))-9)))</f>
        <v/>
      </c>
      <c r="G185" t="str">
        <f>IF(E185="","",IFERROR(VLOOKUP(E185,'CATEGORY MAP'!$A$2:$B$20,2,FALSE()),"REVIEW"))</f>
        <v/>
      </c>
      <c r="H185" t="str">
        <f>IF(E185="","",IFERROR(VALUE(SUBSTITUTE('MSR RAW'!P185,",","")),0))</f>
        <v/>
      </c>
      <c r="I185" t="str">
        <f>IF(E185="","",IFERROR(VALUE(SUBSTITUTE('MSR RAW'!S185,",","")),0))</f>
        <v/>
      </c>
    </row>
    <row r="186" spans="1:9" ht="68.650000000000006" customHeight="1" x14ac:dyDescent="0.2">
      <c r="A186">
        <v>186</v>
      </c>
      <c r="B18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86" t="str">
        <f>IF(LEFT(TRIM('MSR RAW'!A186),11)="Department:",TRIM('MSR RAW'!A186),C185)</f>
        <v>Department: 36637 - SPECIALTY CONCESSIONS (VENDING)</v>
      </c>
      <c r="D186" t="str">
        <f>IF(LEFT(TRIM('MSR RAW'!B186),9)="Location:",TRIM(MID('MSR RAW'!B186,10,999)),D185)</f>
        <v>FB 155 - SUB ISLAND NOODLES</v>
      </c>
      <c r="E186" t="str">
        <f>IF(AND(ISNUMBER(SEARCH(" - ",TRIM('MSR RAW'!C186))),RIGHT(TRIM('MSR RAW'!C186),6)="Total:"),LEFT(TRIM('MSR RAW'!C186),SEARCH(" - ",TRIM('MSR RAW'!C186))-1),"")</f>
        <v/>
      </c>
      <c r="F186" t="str">
        <f>IF(E186="","",TRIM(MID(TRIM('MSR RAW'!C186),SEARCH(" - ",TRIM('MSR RAW'!C186))+3,LEN(TRIM('MSR RAW'!C186))-SEARCH(" - ",TRIM('MSR RAW'!C186))-9)))</f>
        <v/>
      </c>
      <c r="G186" t="str">
        <f>IF(E186="","",IFERROR(VLOOKUP(E186,'CATEGORY MAP'!$A$2:$B$20,2,FALSE()),"REVIEW"))</f>
        <v/>
      </c>
      <c r="H186" t="str">
        <f>IF(E186="","",IFERROR(VALUE(SUBSTITUTE('MSR RAW'!P186,",","")),0))</f>
        <v/>
      </c>
      <c r="I186" t="str">
        <f>IF(E186="","",IFERROR(VALUE(SUBSTITUTE('MSR RAW'!S186,",","")),0))</f>
        <v/>
      </c>
    </row>
    <row r="187" spans="1:9" ht="68.650000000000006" customHeight="1" x14ac:dyDescent="0.2">
      <c r="A187">
        <v>187</v>
      </c>
      <c r="B18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87" t="str">
        <f>IF(LEFT(TRIM('MSR RAW'!A187),11)="Department:",TRIM('MSR RAW'!A187),C186)</f>
        <v>Department: 36637 - SPECIALTY CONCESSIONS (VENDING)</v>
      </c>
      <c r="D187" t="str">
        <f>IF(LEFT(TRIM('MSR RAW'!B187),9)="Location:",TRIM(MID('MSR RAW'!B187,10,999)),D186)</f>
        <v>FB 155 - SUB ISLAND NOODLES</v>
      </c>
      <c r="E187" t="str">
        <f>IF(AND(ISNUMBER(SEARCH(" - ",TRIM('MSR RAW'!C187))),RIGHT(TRIM('MSR RAW'!C187),6)="Total:"),LEFT(TRIM('MSR RAW'!C187),SEARCH(" - ",TRIM('MSR RAW'!C187))-1),"")</f>
        <v/>
      </c>
      <c r="F187" t="str">
        <f>IF(E187="","",TRIM(MID(TRIM('MSR RAW'!C187),SEARCH(" - ",TRIM('MSR RAW'!C187))+3,LEN(TRIM('MSR RAW'!C187))-SEARCH(" - ",TRIM('MSR RAW'!C187))-9)))</f>
        <v/>
      </c>
      <c r="G187" t="str">
        <f>IF(E187="","",IFERROR(VLOOKUP(E187,'CATEGORY MAP'!$A$2:$B$20,2,FALSE()),"REVIEW"))</f>
        <v/>
      </c>
      <c r="H187" t="str">
        <f>IF(E187="","",IFERROR(VALUE(SUBSTITUTE('MSR RAW'!P187,",","")),0))</f>
        <v/>
      </c>
      <c r="I187" t="str">
        <f>IF(E187="","",IFERROR(VALUE(SUBSTITUTE('MSR RAW'!S187,",","")),0))</f>
        <v/>
      </c>
    </row>
    <row r="188" spans="1:9" ht="68.650000000000006" customHeight="1" x14ac:dyDescent="0.2">
      <c r="A188">
        <v>188</v>
      </c>
      <c r="B18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88" t="str">
        <f>IF(LEFT(TRIM('MSR RAW'!A188),11)="Department:",TRIM('MSR RAW'!A188),C187)</f>
        <v>Department: 36637 - SPECIALTY CONCESSIONS (VENDING)</v>
      </c>
      <c r="D188" t="str">
        <f>IF(LEFT(TRIM('MSR RAW'!B188),9)="Location:",TRIM(MID('MSR RAW'!B188,10,999)),D187)</f>
        <v>FB 155 - SUB ISLAND NOODLES</v>
      </c>
      <c r="E188" t="str">
        <f>IF(AND(ISNUMBER(SEARCH(" - ",TRIM('MSR RAW'!C188))),RIGHT(TRIM('MSR RAW'!C188),6)="Total:"),LEFT(TRIM('MSR RAW'!C188),SEARCH(" - ",TRIM('MSR RAW'!C188))-1),"")</f>
        <v/>
      </c>
      <c r="F188" t="str">
        <f>IF(E188="","",TRIM(MID(TRIM('MSR RAW'!C188),SEARCH(" - ",TRIM('MSR RAW'!C188))+3,LEN(TRIM('MSR RAW'!C188))-SEARCH(" - ",TRIM('MSR RAW'!C188))-9)))</f>
        <v/>
      </c>
      <c r="G188" t="str">
        <f>IF(E188="","",IFERROR(VLOOKUP(E188,'CATEGORY MAP'!$A$2:$B$20,2,FALSE()),"REVIEW"))</f>
        <v/>
      </c>
      <c r="H188" t="str">
        <f>IF(E188="","",IFERROR(VALUE(SUBSTITUTE('MSR RAW'!P188,",","")),0))</f>
        <v/>
      </c>
      <c r="I188" t="str">
        <f>IF(E188="","",IFERROR(VALUE(SUBSTITUTE('MSR RAW'!S188,",","")),0))</f>
        <v/>
      </c>
    </row>
    <row r="189" spans="1:9" ht="68.650000000000006" customHeight="1" x14ac:dyDescent="0.2">
      <c r="A189">
        <v>189</v>
      </c>
      <c r="B18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89" t="str">
        <f>IF(LEFT(TRIM('MSR RAW'!A189),11)="Department:",TRIM('MSR RAW'!A189),C188)</f>
        <v>Department: 36637 - SPECIALTY CONCESSIONS (VENDING)</v>
      </c>
      <c r="D189" t="str">
        <f>IF(LEFT(TRIM('MSR RAW'!B189),9)="Location:",TRIM(MID('MSR RAW'!B189,10,999)),D188)</f>
        <v>FB 155 - SUB ISLAND NOODLES</v>
      </c>
      <c r="E189" t="str">
        <f>IF(AND(ISNUMBER(SEARCH(" - ",TRIM('MSR RAW'!C189))),RIGHT(TRIM('MSR RAW'!C189),6)="Total:"),LEFT(TRIM('MSR RAW'!C189),SEARCH(" - ",TRIM('MSR RAW'!C189))-1),"")</f>
        <v/>
      </c>
      <c r="F189" t="str">
        <f>IF(E189="","",TRIM(MID(TRIM('MSR RAW'!C189),SEARCH(" - ",TRIM('MSR RAW'!C189))+3,LEN(TRIM('MSR RAW'!C189))-SEARCH(" - ",TRIM('MSR RAW'!C189))-9)))</f>
        <v/>
      </c>
      <c r="G189" t="str">
        <f>IF(E189="","",IFERROR(VLOOKUP(E189,'CATEGORY MAP'!$A$2:$B$20,2,FALSE()),"REVIEW"))</f>
        <v/>
      </c>
      <c r="H189" t="str">
        <f>IF(E189="","",IFERROR(VALUE(SUBSTITUTE('MSR RAW'!P189,",","")),0))</f>
        <v/>
      </c>
      <c r="I189" t="str">
        <f>IF(E189="","",IFERROR(VALUE(SUBSTITUTE('MSR RAW'!S189,",","")),0))</f>
        <v/>
      </c>
    </row>
    <row r="190" spans="1:9" ht="68.650000000000006" customHeight="1" x14ac:dyDescent="0.2">
      <c r="A190">
        <v>190</v>
      </c>
      <c r="B19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90" t="str">
        <f>IF(LEFT(TRIM('MSR RAW'!A190),11)="Department:",TRIM('MSR RAW'!A190),C189)</f>
        <v>Department: 36637 - SPECIALTY CONCESSIONS (VENDING)</v>
      </c>
      <c r="D190" t="str">
        <f>IF(LEFT(TRIM('MSR RAW'!B190),9)="Location:",TRIM(MID('MSR RAW'!B190,10,999)),D189)</f>
        <v>FB 155 - SUB ISLAND NOODLES</v>
      </c>
      <c r="E190" t="str">
        <f>IF(AND(ISNUMBER(SEARCH(" - ",TRIM('MSR RAW'!C190))),RIGHT(TRIM('MSR RAW'!C190),6)="Total:"),LEFT(TRIM('MSR RAW'!C190),SEARCH(" - ",TRIM('MSR RAW'!C190))-1),"")</f>
        <v/>
      </c>
      <c r="F190" t="str">
        <f>IF(E190="","",TRIM(MID(TRIM('MSR RAW'!C190),SEARCH(" - ",TRIM('MSR RAW'!C190))+3,LEN(TRIM('MSR RAW'!C190))-SEARCH(" - ",TRIM('MSR RAW'!C190))-9)))</f>
        <v/>
      </c>
      <c r="G190" t="str">
        <f>IF(E190="","",IFERROR(VLOOKUP(E190,'CATEGORY MAP'!$A$2:$B$20,2,FALSE()),"REVIEW"))</f>
        <v/>
      </c>
      <c r="H190" t="str">
        <f>IF(E190="","",IFERROR(VALUE(SUBSTITUTE('MSR RAW'!P190,",","")),0))</f>
        <v/>
      </c>
      <c r="I190" t="str">
        <f>IF(E190="","",IFERROR(VALUE(SUBSTITUTE('MSR RAW'!S190,",","")),0))</f>
        <v/>
      </c>
    </row>
    <row r="191" spans="1:9" ht="68.650000000000006" customHeight="1" x14ac:dyDescent="0.2">
      <c r="A191">
        <v>191</v>
      </c>
      <c r="B19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91" t="str">
        <f>IF(LEFT(TRIM('MSR RAW'!A191),11)="Department:",TRIM('MSR RAW'!A191),C190)</f>
        <v>Department: 36637 - SPECIALTY CONCESSIONS (VENDING)</v>
      </c>
      <c r="D191" t="str">
        <f>IF(LEFT(TRIM('MSR RAW'!B191),9)="Location:",TRIM(MID('MSR RAW'!B191,10,999)),D190)</f>
        <v>FB 155 - SUB ISLAND NOODLES</v>
      </c>
      <c r="E191" t="str">
        <f>IF(AND(ISNUMBER(SEARCH(" - ",TRIM('MSR RAW'!C191))),RIGHT(TRIM('MSR RAW'!C191),6)="Total:"),LEFT(TRIM('MSR RAW'!C191),SEARCH(" - ",TRIM('MSR RAW'!C191))-1),"")</f>
        <v/>
      </c>
      <c r="F191" t="str">
        <f>IF(E191="","",TRIM(MID(TRIM('MSR RAW'!C191),SEARCH(" - ",TRIM('MSR RAW'!C191))+3,LEN(TRIM('MSR RAW'!C191))-SEARCH(" - ",TRIM('MSR RAW'!C191))-9)))</f>
        <v/>
      </c>
      <c r="G191" t="str">
        <f>IF(E191="","",IFERROR(VLOOKUP(E191,'CATEGORY MAP'!$A$2:$B$20,2,FALSE()),"REVIEW"))</f>
        <v/>
      </c>
      <c r="H191" t="str">
        <f>IF(E191="","",IFERROR(VALUE(SUBSTITUTE('MSR RAW'!P191,",","")),0))</f>
        <v/>
      </c>
      <c r="I191" t="str">
        <f>IF(E191="","",IFERROR(VALUE(SUBSTITUTE('MSR RAW'!S191,",","")),0))</f>
        <v/>
      </c>
    </row>
    <row r="192" spans="1:9" ht="68.650000000000006" customHeight="1" x14ac:dyDescent="0.2">
      <c r="A192">
        <v>192</v>
      </c>
      <c r="B19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92" t="str">
        <f>IF(LEFT(TRIM('MSR RAW'!A192),11)="Department:",TRIM('MSR RAW'!A192),C191)</f>
        <v>Department: 36637 - SPECIALTY CONCESSIONS (VENDING)</v>
      </c>
      <c r="D192" t="str">
        <f>IF(LEFT(TRIM('MSR RAW'!B192),9)="Location:",TRIM(MID('MSR RAW'!B192,10,999)),D191)</f>
        <v>FB 155 - SUB ISLAND NOODLES</v>
      </c>
      <c r="E192" t="str">
        <f>IF(AND(ISNUMBER(SEARCH(" - ",TRIM('MSR RAW'!C192))),RIGHT(TRIM('MSR RAW'!C192),6)="Total:"),LEFT(TRIM('MSR RAW'!C192),SEARCH(" - ",TRIM('MSR RAW'!C192))-1),"")</f>
        <v/>
      </c>
      <c r="F192" t="str">
        <f>IF(E192="","",TRIM(MID(TRIM('MSR RAW'!C192),SEARCH(" - ",TRIM('MSR RAW'!C192))+3,LEN(TRIM('MSR RAW'!C192))-SEARCH(" - ",TRIM('MSR RAW'!C192))-9)))</f>
        <v/>
      </c>
      <c r="G192" t="str">
        <f>IF(E192="","",IFERROR(VLOOKUP(E192,'CATEGORY MAP'!$A$2:$B$20,2,FALSE()),"REVIEW"))</f>
        <v/>
      </c>
      <c r="H192" t="str">
        <f>IF(E192="","",IFERROR(VALUE(SUBSTITUTE('MSR RAW'!P192,",","")),0))</f>
        <v/>
      </c>
      <c r="I192" t="str">
        <f>IF(E192="","",IFERROR(VALUE(SUBSTITUTE('MSR RAW'!S192,",","")),0))</f>
        <v/>
      </c>
    </row>
    <row r="193" spans="1:9" ht="68.650000000000006" customHeight="1" x14ac:dyDescent="0.2">
      <c r="A193">
        <v>193</v>
      </c>
      <c r="B19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93" t="str">
        <f>IF(LEFT(TRIM('MSR RAW'!A193),11)="Department:",TRIM('MSR RAW'!A193),C192)</f>
        <v>Department: 36637 - SPECIALTY CONCESSIONS (VENDING)</v>
      </c>
      <c r="D193" t="str">
        <f>IF(LEFT(TRIM('MSR RAW'!B193),9)="Location:",TRIM(MID('MSR RAW'!B193,10,999)),D192)</f>
        <v>FB 155 - SUB ISLAND NOODLES</v>
      </c>
      <c r="E193" t="str">
        <f>IF(AND(ISNUMBER(SEARCH(" - ",TRIM('MSR RAW'!C193))),RIGHT(TRIM('MSR RAW'!C193),6)="Total:"),LEFT(TRIM('MSR RAW'!C193),SEARCH(" - ",TRIM('MSR RAW'!C193))-1),"")</f>
        <v/>
      </c>
      <c r="F193" t="str">
        <f>IF(E193="","",TRIM(MID(TRIM('MSR RAW'!C193),SEARCH(" - ",TRIM('MSR RAW'!C193))+3,LEN(TRIM('MSR RAW'!C193))-SEARCH(" - ",TRIM('MSR RAW'!C193))-9)))</f>
        <v/>
      </c>
      <c r="G193" t="str">
        <f>IF(E193="","",IFERROR(VLOOKUP(E193,'CATEGORY MAP'!$A$2:$B$20,2,FALSE()),"REVIEW"))</f>
        <v/>
      </c>
      <c r="H193" t="str">
        <f>IF(E193="","",IFERROR(VALUE(SUBSTITUTE('MSR RAW'!P193,",","")),0))</f>
        <v/>
      </c>
      <c r="I193" t="str">
        <f>IF(E193="","",IFERROR(VALUE(SUBSTITUTE('MSR RAW'!S193,",","")),0))</f>
        <v/>
      </c>
    </row>
    <row r="194" spans="1:9" ht="68.650000000000006" customHeight="1" x14ac:dyDescent="0.2">
      <c r="A194">
        <v>194</v>
      </c>
      <c r="B19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94" t="str">
        <f>IF(LEFT(TRIM('MSR RAW'!A194),11)="Department:",TRIM('MSR RAW'!A194),C193)</f>
        <v>Department: 36637 - SPECIALTY CONCESSIONS (VENDING)</v>
      </c>
      <c r="D194" t="str">
        <f>IF(LEFT(TRIM('MSR RAW'!B194),9)="Location:",TRIM(MID('MSR RAW'!B194,10,999)),D193)</f>
        <v>FB 155 - SUB ISLAND NOODLES</v>
      </c>
      <c r="E194" t="str">
        <f>IF(AND(ISNUMBER(SEARCH(" - ",TRIM('MSR RAW'!C194))),RIGHT(TRIM('MSR RAW'!C194),6)="Total:"),LEFT(TRIM('MSR RAW'!C194),SEARCH(" - ",TRIM('MSR RAW'!C194))-1),"")</f>
        <v/>
      </c>
      <c r="F194" t="str">
        <f>IF(E194="","",TRIM(MID(TRIM('MSR RAW'!C194),SEARCH(" - ",TRIM('MSR RAW'!C194))+3,LEN(TRIM('MSR RAW'!C194))-SEARCH(" - ",TRIM('MSR RAW'!C194))-9)))</f>
        <v/>
      </c>
      <c r="G194" t="str">
        <f>IF(E194="","",IFERROR(VLOOKUP(E194,'CATEGORY MAP'!$A$2:$B$20,2,FALSE()),"REVIEW"))</f>
        <v/>
      </c>
      <c r="H194" t="str">
        <f>IF(E194="","",IFERROR(VALUE(SUBSTITUTE('MSR RAW'!P194,",","")),0))</f>
        <v/>
      </c>
      <c r="I194" t="str">
        <f>IF(E194="","",IFERROR(VALUE(SUBSTITUTE('MSR RAW'!S194,",","")),0))</f>
        <v/>
      </c>
    </row>
    <row r="195" spans="1:9" ht="68.650000000000006" customHeight="1" x14ac:dyDescent="0.2">
      <c r="A195">
        <v>195</v>
      </c>
      <c r="B19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95" t="str">
        <f>IF(LEFT(TRIM('MSR RAW'!A195),11)="Department:",TRIM('MSR RAW'!A195),C194)</f>
        <v>Department: 36637 - SPECIALTY CONCESSIONS (VENDING)</v>
      </c>
      <c r="D195" t="str">
        <f>IF(LEFT(TRIM('MSR RAW'!B195),9)="Location:",TRIM(MID('MSR RAW'!B195,10,999)),D194)</f>
        <v>FB 155 - SUB ISLAND NOODLES</v>
      </c>
      <c r="E195" t="str">
        <f>IF(AND(ISNUMBER(SEARCH(" - ",TRIM('MSR RAW'!C195))),RIGHT(TRIM('MSR RAW'!C195),6)="Total:"),LEFT(TRIM('MSR RAW'!C195),SEARCH(" - ",TRIM('MSR RAW'!C195))-1),"")</f>
        <v/>
      </c>
      <c r="F195" t="str">
        <f>IF(E195="","",TRIM(MID(TRIM('MSR RAW'!C195),SEARCH(" - ",TRIM('MSR RAW'!C195))+3,LEN(TRIM('MSR RAW'!C195))-SEARCH(" - ",TRIM('MSR RAW'!C195))-9)))</f>
        <v/>
      </c>
      <c r="G195" t="str">
        <f>IF(E195="","",IFERROR(VLOOKUP(E195,'CATEGORY MAP'!$A$2:$B$20,2,FALSE()),"REVIEW"))</f>
        <v/>
      </c>
      <c r="H195" t="str">
        <f>IF(E195="","",IFERROR(VALUE(SUBSTITUTE('MSR RAW'!P195,",","")),0))</f>
        <v/>
      </c>
      <c r="I195" t="str">
        <f>IF(E195="","",IFERROR(VALUE(SUBSTITUTE('MSR RAW'!S195,",","")),0))</f>
        <v/>
      </c>
    </row>
    <row r="196" spans="1:9" ht="68.650000000000006" customHeight="1" x14ac:dyDescent="0.2">
      <c r="A196">
        <v>196</v>
      </c>
      <c r="B19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96" t="str">
        <f>IF(LEFT(TRIM('MSR RAW'!A196),11)="Department:",TRIM('MSR RAW'!A196),C195)</f>
        <v>Department: 36637 - SPECIALTY CONCESSIONS (VENDING)</v>
      </c>
      <c r="D196" t="str">
        <f>IF(LEFT(TRIM('MSR RAW'!B196),9)="Location:",TRIM(MID('MSR RAW'!B196,10,999)),D195)</f>
        <v>FB 155 - SUB ISLAND NOODLES</v>
      </c>
      <c r="E196" t="str">
        <f>IF(AND(ISNUMBER(SEARCH(" - ",TRIM('MSR RAW'!C196))),RIGHT(TRIM('MSR RAW'!C196),6)="Total:"),LEFT(TRIM('MSR RAW'!C196),SEARCH(" - ",TRIM('MSR RAW'!C196))-1),"")</f>
        <v/>
      </c>
      <c r="F196" t="str">
        <f>IF(E196="","",TRIM(MID(TRIM('MSR RAW'!C196),SEARCH(" - ",TRIM('MSR RAW'!C196))+3,LEN(TRIM('MSR RAW'!C196))-SEARCH(" - ",TRIM('MSR RAW'!C196))-9)))</f>
        <v/>
      </c>
      <c r="G196" t="str">
        <f>IF(E196="","",IFERROR(VLOOKUP(E196,'CATEGORY MAP'!$A$2:$B$20,2,FALSE()),"REVIEW"))</f>
        <v/>
      </c>
      <c r="H196" t="str">
        <f>IF(E196="","",IFERROR(VALUE(SUBSTITUTE('MSR RAW'!P196,",","")),0))</f>
        <v/>
      </c>
      <c r="I196" t="str">
        <f>IF(E196="","",IFERROR(VALUE(SUBSTITUTE('MSR RAW'!S196,",","")),0))</f>
        <v/>
      </c>
    </row>
    <row r="197" spans="1:9" ht="68.650000000000006" customHeight="1" x14ac:dyDescent="0.2">
      <c r="A197">
        <v>197</v>
      </c>
      <c r="B19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97" t="str">
        <f>IF(LEFT(TRIM('MSR RAW'!A197),11)="Department:",TRIM('MSR RAW'!A197),C196)</f>
        <v>Department: 36637 - SPECIALTY CONCESSIONS (VENDING)</v>
      </c>
      <c r="D197" t="str">
        <f>IF(LEFT(TRIM('MSR RAW'!B197),9)="Location:",TRIM(MID('MSR RAW'!B197,10,999)),D196)</f>
        <v>FB 155 - SUB ISLAND NOODLES</v>
      </c>
      <c r="E197" t="str">
        <f>IF(AND(ISNUMBER(SEARCH(" - ",TRIM('MSR RAW'!C197))),RIGHT(TRIM('MSR RAW'!C197),6)="Total:"),LEFT(TRIM('MSR RAW'!C197),SEARCH(" - ",TRIM('MSR RAW'!C197))-1),"")</f>
        <v/>
      </c>
      <c r="F197" t="str">
        <f>IF(E197="","",TRIM(MID(TRIM('MSR RAW'!C197),SEARCH(" - ",TRIM('MSR RAW'!C197))+3,LEN(TRIM('MSR RAW'!C197))-SEARCH(" - ",TRIM('MSR RAW'!C197))-9)))</f>
        <v/>
      </c>
      <c r="G197" t="str">
        <f>IF(E197="","",IFERROR(VLOOKUP(E197,'CATEGORY MAP'!$A$2:$B$20,2,FALSE()),"REVIEW"))</f>
        <v/>
      </c>
      <c r="H197" t="str">
        <f>IF(E197="","",IFERROR(VALUE(SUBSTITUTE('MSR RAW'!P197,",","")),0))</f>
        <v/>
      </c>
      <c r="I197" t="str">
        <f>IF(E197="","",IFERROR(VALUE(SUBSTITUTE('MSR RAW'!S197,",","")),0))</f>
        <v/>
      </c>
    </row>
    <row r="198" spans="1:9" ht="68.650000000000006" customHeight="1" x14ac:dyDescent="0.2">
      <c r="A198">
        <v>198</v>
      </c>
      <c r="B19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98" t="str">
        <f>IF(LEFT(TRIM('MSR RAW'!A198),11)="Department:",TRIM('MSR RAW'!A198),C197)</f>
        <v>Department: 36637 - SPECIALTY CONCESSIONS (VENDING)</v>
      </c>
      <c r="D198" t="str">
        <f>IF(LEFT(TRIM('MSR RAW'!B198),9)="Location:",TRIM(MID('MSR RAW'!B198,10,999)),D197)</f>
        <v>FB 155 - SUB ISLAND NOODLES</v>
      </c>
      <c r="E198" t="str">
        <f>IF(AND(ISNUMBER(SEARCH(" - ",TRIM('MSR RAW'!C198))),RIGHT(TRIM('MSR RAW'!C198),6)="Total:"),LEFT(TRIM('MSR RAW'!C198),SEARCH(" - ",TRIM('MSR RAW'!C198))-1),"")</f>
        <v/>
      </c>
      <c r="F198" t="str">
        <f>IF(E198="","",TRIM(MID(TRIM('MSR RAW'!C198),SEARCH(" - ",TRIM('MSR RAW'!C198))+3,LEN(TRIM('MSR RAW'!C198))-SEARCH(" - ",TRIM('MSR RAW'!C198))-9)))</f>
        <v/>
      </c>
      <c r="G198" t="str">
        <f>IF(E198="","",IFERROR(VLOOKUP(E198,'CATEGORY MAP'!$A$2:$B$20,2,FALSE()),"REVIEW"))</f>
        <v/>
      </c>
      <c r="H198" t="str">
        <f>IF(E198="","",IFERROR(VALUE(SUBSTITUTE('MSR RAW'!P198,",","")),0))</f>
        <v/>
      </c>
      <c r="I198" t="str">
        <f>IF(E198="","",IFERROR(VALUE(SUBSTITUTE('MSR RAW'!S198,",","")),0))</f>
        <v/>
      </c>
    </row>
    <row r="199" spans="1:9" ht="68.650000000000006" customHeight="1" x14ac:dyDescent="0.2">
      <c r="A199">
        <v>199</v>
      </c>
      <c r="B19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99" t="str">
        <f>IF(LEFT(TRIM('MSR RAW'!A199),11)="Department:",TRIM('MSR RAW'!A199),C198)</f>
        <v>Department: 36637 - SPECIALTY CONCESSIONS (VENDING)</v>
      </c>
      <c r="D199" t="str">
        <f>IF(LEFT(TRIM('MSR RAW'!B199),9)="Location:",TRIM(MID('MSR RAW'!B199,10,999)),D198)</f>
        <v>FB 155 - SUB ISLAND NOODLES</v>
      </c>
      <c r="E199" t="str">
        <f>IF(AND(ISNUMBER(SEARCH(" - ",TRIM('MSR RAW'!C199))),RIGHT(TRIM('MSR RAW'!C199),6)="Total:"),LEFT(TRIM('MSR RAW'!C199),SEARCH(" - ",TRIM('MSR RAW'!C199))-1),"")</f>
        <v/>
      </c>
      <c r="F199" t="str">
        <f>IF(E199="","",TRIM(MID(TRIM('MSR RAW'!C199),SEARCH(" - ",TRIM('MSR RAW'!C199))+3,LEN(TRIM('MSR RAW'!C199))-SEARCH(" - ",TRIM('MSR RAW'!C199))-9)))</f>
        <v/>
      </c>
      <c r="G199" t="str">
        <f>IF(E199="","",IFERROR(VLOOKUP(E199,'CATEGORY MAP'!$A$2:$B$20,2,FALSE()),"REVIEW"))</f>
        <v/>
      </c>
      <c r="H199" t="str">
        <f>IF(E199="","",IFERROR(VALUE(SUBSTITUTE('MSR RAW'!P199,",","")),0))</f>
        <v/>
      </c>
      <c r="I199" t="str">
        <f>IF(E199="","",IFERROR(VALUE(SUBSTITUTE('MSR RAW'!S199,",","")),0))</f>
        <v/>
      </c>
    </row>
    <row r="200" spans="1:9" ht="68.650000000000006" customHeight="1" x14ac:dyDescent="0.2">
      <c r="A200">
        <v>200</v>
      </c>
      <c r="B20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00" t="str">
        <f>IF(LEFT(TRIM('MSR RAW'!A200),11)="Department:",TRIM('MSR RAW'!A200),C199)</f>
        <v>Department: 36637 - SPECIALTY CONCESSIONS (VENDING)</v>
      </c>
      <c r="D200" t="str">
        <f>IF(LEFT(TRIM('MSR RAW'!B200),9)="Location:",TRIM(MID('MSR RAW'!B200,10,999)),D199)</f>
        <v>FB 155 - SUB ISLAND NOODLES</v>
      </c>
      <c r="E200" t="str">
        <f>IF(AND(ISNUMBER(SEARCH(" - ",TRIM('MSR RAW'!C200))),RIGHT(TRIM('MSR RAW'!C200),6)="Total:"),LEFT(TRIM('MSR RAW'!C200),SEARCH(" - ",TRIM('MSR RAW'!C200))-1),"")</f>
        <v/>
      </c>
      <c r="F200" t="str">
        <f>IF(E200="","",TRIM(MID(TRIM('MSR RAW'!C200),SEARCH(" - ",TRIM('MSR RAW'!C200))+3,LEN(TRIM('MSR RAW'!C200))-SEARCH(" - ",TRIM('MSR RAW'!C200))-9)))</f>
        <v/>
      </c>
      <c r="G200" t="str">
        <f>IF(E200="","",IFERROR(VLOOKUP(E200,'CATEGORY MAP'!$A$2:$B$20,2,FALSE()),"REVIEW"))</f>
        <v/>
      </c>
      <c r="H200" t="str">
        <f>IF(E200="","",IFERROR(VALUE(SUBSTITUTE('MSR RAW'!P200,",","")),0))</f>
        <v/>
      </c>
      <c r="I200" t="str">
        <f>IF(E200="","",IFERROR(VALUE(SUBSTITUTE('MSR RAW'!S200,",","")),0))</f>
        <v/>
      </c>
    </row>
    <row r="201" spans="1:9" ht="68.650000000000006" customHeight="1" x14ac:dyDescent="0.2">
      <c r="A201">
        <v>201</v>
      </c>
      <c r="B20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01" t="str">
        <f>IF(LEFT(TRIM('MSR RAW'!A201),11)="Department:",TRIM('MSR RAW'!A201),C200)</f>
        <v>Department: 36637 - SPECIALTY CONCESSIONS (VENDING)</v>
      </c>
      <c r="D201" t="str">
        <f>IF(LEFT(TRIM('MSR RAW'!B201),9)="Location:",TRIM(MID('MSR RAW'!B201,10,999)),D200)</f>
        <v>FB 155 - SUB ISLAND NOODLES</v>
      </c>
      <c r="E201" t="str">
        <f>IF(AND(ISNUMBER(SEARCH(" - ",TRIM('MSR RAW'!C201))),RIGHT(TRIM('MSR RAW'!C201),6)="Total:"),LEFT(TRIM('MSR RAW'!C201),SEARCH(" - ",TRIM('MSR RAW'!C201))-1),"")</f>
        <v/>
      </c>
      <c r="F201" t="str">
        <f>IF(E201="","",TRIM(MID(TRIM('MSR RAW'!C201),SEARCH(" - ",TRIM('MSR RAW'!C201))+3,LEN(TRIM('MSR RAW'!C201))-SEARCH(" - ",TRIM('MSR RAW'!C201))-9)))</f>
        <v/>
      </c>
      <c r="G201" t="str">
        <f>IF(E201="","",IFERROR(VLOOKUP(E201,'CATEGORY MAP'!$A$2:$B$20,2,FALSE()),"REVIEW"))</f>
        <v/>
      </c>
      <c r="H201" t="str">
        <f>IF(E201="","",IFERROR(VALUE(SUBSTITUTE('MSR RAW'!P201,",","")),0))</f>
        <v/>
      </c>
      <c r="I201" t="str">
        <f>IF(E201="","",IFERROR(VALUE(SUBSTITUTE('MSR RAW'!S201,",","")),0))</f>
        <v/>
      </c>
    </row>
    <row r="202" spans="1:9" ht="68.650000000000006" customHeight="1" x14ac:dyDescent="0.2">
      <c r="A202">
        <v>202</v>
      </c>
      <c r="B20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02" t="str">
        <f>IF(LEFT(TRIM('MSR RAW'!A202),11)="Department:",TRIM('MSR RAW'!A202),C201)</f>
        <v>Department: 36637 - SPECIALTY CONCESSIONS (VENDING)</v>
      </c>
      <c r="D202" t="str">
        <f>IF(LEFT(TRIM('MSR RAW'!B202),9)="Location:",TRIM(MID('MSR RAW'!B202,10,999)),D201)</f>
        <v>FB 155 - SUB ISLAND NOODLES</v>
      </c>
      <c r="E202" t="str">
        <f>IF(AND(ISNUMBER(SEARCH(" - ",TRIM('MSR RAW'!C202))),RIGHT(TRIM('MSR RAW'!C202),6)="Total:"),LEFT(TRIM('MSR RAW'!C202),SEARCH(" - ",TRIM('MSR RAW'!C202))-1),"")</f>
        <v/>
      </c>
      <c r="F202" t="str">
        <f>IF(E202="","",TRIM(MID(TRIM('MSR RAW'!C202),SEARCH(" - ",TRIM('MSR RAW'!C202))+3,LEN(TRIM('MSR RAW'!C202))-SEARCH(" - ",TRIM('MSR RAW'!C202))-9)))</f>
        <v/>
      </c>
      <c r="G202" t="str">
        <f>IF(E202="","",IFERROR(VLOOKUP(E202,'CATEGORY MAP'!$A$2:$B$20,2,FALSE()),"REVIEW"))</f>
        <v/>
      </c>
      <c r="H202" t="str">
        <f>IF(E202="","",IFERROR(VALUE(SUBSTITUTE('MSR RAW'!P202,",","")),0))</f>
        <v/>
      </c>
      <c r="I202" t="str">
        <f>IF(E202="","",IFERROR(VALUE(SUBSTITUTE('MSR RAW'!S202,",","")),0))</f>
        <v/>
      </c>
    </row>
    <row r="203" spans="1:9" ht="68.650000000000006" customHeight="1" x14ac:dyDescent="0.2">
      <c r="A203">
        <v>203</v>
      </c>
      <c r="B20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03" t="str">
        <f>IF(LEFT(TRIM('MSR RAW'!A203),11)="Department:",TRIM('MSR RAW'!A203),C202)</f>
        <v>Department: 36637 - SPECIALTY CONCESSIONS (VENDING)</v>
      </c>
      <c r="D203" t="str">
        <f>IF(LEFT(TRIM('MSR RAW'!B203),9)="Location:",TRIM(MID('MSR RAW'!B203,10,999)),D202)</f>
        <v>FB 155 - SUB ISLAND NOODLES</v>
      </c>
      <c r="E203" t="str">
        <f>IF(AND(ISNUMBER(SEARCH(" - ",TRIM('MSR RAW'!C203))),RIGHT(TRIM('MSR RAW'!C203),6)="Total:"),LEFT(TRIM('MSR RAW'!C203),SEARCH(" - ",TRIM('MSR RAW'!C203))-1),"")</f>
        <v/>
      </c>
      <c r="F203" t="str">
        <f>IF(E203="","",TRIM(MID(TRIM('MSR RAW'!C203),SEARCH(" - ",TRIM('MSR RAW'!C203))+3,LEN(TRIM('MSR RAW'!C203))-SEARCH(" - ",TRIM('MSR RAW'!C203))-9)))</f>
        <v/>
      </c>
      <c r="G203" t="str">
        <f>IF(E203="","",IFERROR(VLOOKUP(E203,'CATEGORY MAP'!$A$2:$B$20,2,FALSE()),"REVIEW"))</f>
        <v/>
      </c>
      <c r="H203" t="str">
        <f>IF(E203="","",IFERROR(VALUE(SUBSTITUTE('MSR RAW'!P203,",","")),0))</f>
        <v/>
      </c>
      <c r="I203" t="str">
        <f>IF(E203="","",IFERROR(VALUE(SUBSTITUTE('MSR RAW'!S203,",","")),0))</f>
        <v/>
      </c>
    </row>
    <row r="204" spans="1:9" ht="68.650000000000006" customHeight="1" x14ac:dyDescent="0.2">
      <c r="A204">
        <v>204</v>
      </c>
      <c r="B20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04" t="str">
        <f>IF(LEFT(TRIM('MSR RAW'!A204),11)="Department:",TRIM('MSR RAW'!A204),C203)</f>
        <v>Department: 36637 - SPECIALTY CONCESSIONS (VENDING)</v>
      </c>
      <c r="D204" t="str">
        <f>IF(LEFT(TRIM('MSR RAW'!B204),9)="Location:",TRIM(MID('MSR RAW'!B204,10,999)),D203)</f>
        <v>FB 155 - SUB ISLAND NOODLES</v>
      </c>
      <c r="E204" t="str">
        <f>IF(AND(ISNUMBER(SEARCH(" - ",TRIM('MSR RAW'!C204))),RIGHT(TRIM('MSR RAW'!C204),6)="Total:"),LEFT(TRIM('MSR RAW'!C204),SEARCH(" - ",TRIM('MSR RAW'!C204))-1),"")</f>
        <v/>
      </c>
      <c r="F204" t="str">
        <f>IF(E204="","",TRIM(MID(TRIM('MSR RAW'!C204),SEARCH(" - ",TRIM('MSR RAW'!C204))+3,LEN(TRIM('MSR RAW'!C204))-SEARCH(" - ",TRIM('MSR RAW'!C204))-9)))</f>
        <v/>
      </c>
      <c r="G204" t="str">
        <f>IF(E204="","",IFERROR(VLOOKUP(E204,'CATEGORY MAP'!$A$2:$B$20,2,FALSE()),"REVIEW"))</f>
        <v/>
      </c>
      <c r="H204" t="str">
        <f>IF(E204="","",IFERROR(VALUE(SUBSTITUTE('MSR RAW'!P204,",","")),0))</f>
        <v/>
      </c>
      <c r="I204" t="str">
        <f>IF(E204="","",IFERROR(VALUE(SUBSTITUTE('MSR RAW'!S204,",","")),0))</f>
        <v/>
      </c>
    </row>
    <row r="205" spans="1:9" ht="68.650000000000006" customHeight="1" x14ac:dyDescent="0.2">
      <c r="A205">
        <v>205</v>
      </c>
      <c r="B20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05" t="str">
        <f>IF(LEFT(TRIM('MSR RAW'!A205),11)="Department:",TRIM('MSR RAW'!A205),C204)</f>
        <v>Department: 36637 - SPECIALTY CONCESSIONS (VENDING)</v>
      </c>
      <c r="D205" t="str">
        <f>IF(LEFT(TRIM('MSR RAW'!B205),9)="Location:",TRIM(MID('MSR RAW'!B205,10,999)),D204)</f>
        <v>FB 155 - SUB ISLAND NOODLES</v>
      </c>
      <c r="E205" t="str">
        <f>IF(AND(ISNUMBER(SEARCH(" - ",TRIM('MSR RAW'!C205))),RIGHT(TRIM('MSR RAW'!C205),6)="Total:"),LEFT(TRIM('MSR RAW'!C205),SEARCH(" - ",TRIM('MSR RAW'!C205))-1),"")</f>
        <v/>
      </c>
      <c r="F205" t="str">
        <f>IF(E205="","",TRIM(MID(TRIM('MSR RAW'!C205),SEARCH(" - ",TRIM('MSR RAW'!C205))+3,LEN(TRIM('MSR RAW'!C205))-SEARCH(" - ",TRIM('MSR RAW'!C205))-9)))</f>
        <v/>
      </c>
      <c r="G205" t="str">
        <f>IF(E205="","",IFERROR(VLOOKUP(E205,'CATEGORY MAP'!$A$2:$B$20,2,FALSE()),"REVIEW"))</f>
        <v/>
      </c>
      <c r="H205" t="str">
        <f>IF(E205="","",IFERROR(VALUE(SUBSTITUTE('MSR RAW'!P205,",","")),0))</f>
        <v/>
      </c>
      <c r="I205" t="str">
        <f>IF(E205="","",IFERROR(VALUE(SUBSTITUTE('MSR RAW'!S205,",","")),0))</f>
        <v/>
      </c>
    </row>
    <row r="206" spans="1:9" ht="68.650000000000006" customHeight="1" x14ac:dyDescent="0.2">
      <c r="A206">
        <v>206</v>
      </c>
      <c r="B20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06" t="str">
        <f>IF(LEFT(TRIM('MSR RAW'!A206),11)="Department:",TRIM('MSR RAW'!A206),C205)</f>
        <v>Department: 36637 - SPECIALTY CONCESSIONS (VENDING)</v>
      </c>
      <c r="D206" t="str">
        <f>IF(LEFT(TRIM('MSR RAW'!B206),9)="Location:",TRIM(MID('MSR RAW'!B206,10,999)),D205)</f>
        <v>FB 155 - SUB ISLAND NOODLES</v>
      </c>
      <c r="E206" t="str">
        <f>IF(AND(ISNUMBER(SEARCH(" - ",TRIM('MSR RAW'!C206))),RIGHT(TRIM('MSR RAW'!C206),6)="Total:"),LEFT(TRIM('MSR RAW'!C206),SEARCH(" - ",TRIM('MSR RAW'!C206))-1),"")</f>
        <v/>
      </c>
      <c r="F206" t="str">
        <f>IF(E206="","",TRIM(MID(TRIM('MSR RAW'!C206),SEARCH(" - ",TRIM('MSR RAW'!C206))+3,LEN(TRIM('MSR RAW'!C206))-SEARCH(" - ",TRIM('MSR RAW'!C206))-9)))</f>
        <v/>
      </c>
      <c r="G206" t="str">
        <f>IF(E206="","",IFERROR(VLOOKUP(E206,'CATEGORY MAP'!$A$2:$B$20,2,FALSE()),"REVIEW"))</f>
        <v/>
      </c>
      <c r="H206" t="str">
        <f>IF(E206="","",IFERROR(VALUE(SUBSTITUTE('MSR RAW'!P206,",","")),0))</f>
        <v/>
      </c>
      <c r="I206" t="str">
        <f>IF(E206="","",IFERROR(VALUE(SUBSTITUTE('MSR RAW'!S206,",","")),0))</f>
        <v/>
      </c>
    </row>
    <row r="207" spans="1:9" ht="68.650000000000006" customHeight="1" x14ac:dyDescent="0.2">
      <c r="A207">
        <v>207</v>
      </c>
      <c r="B20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07" t="str">
        <f>IF(LEFT(TRIM('MSR RAW'!A207),11)="Department:",TRIM('MSR RAW'!A207),C206)</f>
        <v>Department: 36637 - SPECIALTY CONCESSIONS (VENDING)</v>
      </c>
      <c r="D207" t="str">
        <f>IF(LEFT(TRIM('MSR RAW'!B207),9)="Location:",TRIM(MID('MSR RAW'!B207,10,999)),D206)</f>
        <v>FB 155 - SUB ISLAND NOODLES</v>
      </c>
      <c r="E207" t="str">
        <f>IF(AND(ISNUMBER(SEARCH(" - ",TRIM('MSR RAW'!C207))),RIGHT(TRIM('MSR RAW'!C207),6)="Total:"),LEFT(TRIM('MSR RAW'!C207),SEARCH(" - ",TRIM('MSR RAW'!C207))-1),"")</f>
        <v/>
      </c>
      <c r="F207" t="str">
        <f>IF(E207="","",TRIM(MID(TRIM('MSR RAW'!C207),SEARCH(" - ",TRIM('MSR RAW'!C207))+3,LEN(TRIM('MSR RAW'!C207))-SEARCH(" - ",TRIM('MSR RAW'!C207))-9)))</f>
        <v/>
      </c>
      <c r="G207" t="str">
        <f>IF(E207="","",IFERROR(VLOOKUP(E207,'CATEGORY MAP'!$A$2:$B$20,2,FALSE()),"REVIEW"))</f>
        <v/>
      </c>
      <c r="H207" t="str">
        <f>IF(E207="","",IFERROR(VALUE(SUBSTITUTE('MSR RAW'!P207,",","")),0))</f>
        <v/>
      </c>
      <c r="I207" t="str">
        <f>IF(E207="","",IFERROR(VALUE(SUBSTITUTE('MSR RAW'!S207,",","")),0))</f>
        <v/>
      </c>
    </row>
    <row r="208" spans="1:9" ht="68.650000000000006" customHeight="1" x14ac:dyDescent="0.2">
      <c r="A208">
        <v>208</v>
      </c>
      <c r="B20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08" t="str">
        <f>IF(LEFT(TRIM('MSR RAW'!A208),11)="Department:",TRIM('MSR RAW'!A208),C207)</f>
        <v>Department: 36637 - SPECIALTY CONCESSIONS (VENDING)</v>
      </c>
      <c r="D208" t="str">
        <f>IF(LEFT(TRIM('MSR RAW'!B208),9)="Location:",TRIM(MID('MSR RAW'!B208,10,999)),D207)</f>
        <v>FB 155 - SUB ISLAND NOODLES</v>
      </c>
      <c r="E208" t="str">
        <f>IF(AND(ISNUMBER(SEARCH(" - ",TRIM('MSR RAW'!C208))),RIGHT(TRIM('MSR RAW'!C208),6)="Total:"),LEFT(TRIM('MSR RAW'!C208),SEARCH(" - ",TRIM('MSR RAW'!C208))-1),"")</f>
        <v/>
      </c>
      <c r="F208" t="str">
        <f>IF(E208="","",TRIM(MID(TRIM('MSR RAW'!C208),SEARCH(" - ",TRIM('MSR RAW'!C208))+3,LEN(TRIM('MSR RAW'!C208))-SEARCH(" - ",TRIM('MSR RAW'!C208))-9)))</f>
        <v/>
      </c>
      <c r="G208" t="str">
        <f>IF(E208="","",IFERROR(VLOOKUP(E208,'CATEGORY MAP'!$A$2:$B$20,2,FALSE()),"REVIEW"))</f>
        <v/>
      </c>
      <c r="H208" t="str">
        <f>IF(E208="","",IFERROR(VALUE(SUBSTITUTE('MSR RAW'!P208,",","")),0))</f>
        <v/>
      </c>
      <c r="I208" t="str">
        <f>IF(E208="","",IFERROR(VALUE(SUBSTITUTE('MSR RAW'!S208,",","")),0))</f>
        <v/>
      </c>
    </row>
    <row r="209" spans="1:9" ht="68.650000000000006" customHeight="1" x14ac:dyDescent="0.2">
      <c r="A209">
        <v>209</v>
      </c>
      <c r="B20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09" t="str">
        <f>IF(LEFT(TRIM('MSR RAW'!A209),11)="Department:",TRIM('MSR RAW'!A209),C208)</f>
        <v>Department: 36637 - SPECIALTY CONCESSIONS (VENDING)</v>
      </c>
      <c r="D209" t="str">
        <f>IF(LEFT(TRIM('MSR RAW'!B209),9)="Location:",TRIM(MID('MSR RAW'!B209,10,999)),D208)</f>
        <v>FB 155 - SUB ISLAND NOODLES</v>
      </c>
      <c r="E209" t="str">
        <f>IF(AND(ISNUMBER(SEARCH(" - ",TRIM('MSR RAW'!C209))),RIGHT(TRIM('MSR RAW'!C209),6)="Total:"),LEFT(TRIM('MSR RAW'!C209),SEARCH(" - ",TRIM('MSR RAW'!C209))-1),"")</f>
        <v/>
      </c>
      <c r="F209" t="str">
        <f>IF(E209="","",TRIM(MID(TRIM('MSR RAW'!C209),SEARCH(" - ",TRIM('MSR RAW'!C209))+3,LEN(TRIM('MSR RAW'!C209))-SEARCH(" - ",TRIM('MSR RAW'!C209))-9)))</f>
        <v/>
      </c>
      <c r="G209" t="str">
        <f>IF(E209="","",IFERROR(VLOOKUP(E209,'CATEGORY MAP'!$A$2:$B$20,2,FALSE()),"REVIEW"))</f>
        <v/>
      </c>
      <c r="H209" t="str">
        <f>IF(E209="","",IFERROR(VALUE(SUBSTITUTE('MSR RAW'!P209,",","")),0))</f>
        <v/>
      </c>
      <c r="I209" t="str">
        <f>IF(E209="","",IFERROR(VALUE(SUBSTITUTE('MSR RAW'!S209,",","")),0))</f>
        <v/>
      </c>
    </row>
    <row r="210" spans="1:9" ht="68.650000000000006" customHeight="1" x14ac:dyDescent="0.2">
      <c r="A210">
        <v>210</v>
      </c>
      <c r="B21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10" t="str">
        <f>IF(LEFT(TRIM('MSR RAW'!A210),11)="Department:",TRIM('MSR RAW'!A210),C209)</f>
        <v>Department: 36637 - SPECIALTY CONCESSIONS (VENDING)</v>
      </c>
      <c r="D210" t="str">
        <f>IF(LEFT(TRIM('MSR RAW'!B210),9)="Location:",TRIM(MID('MSR RAW'!B210,10,999)),D209)</f>
        <v>FB 155 - SUB ISLAND NOODLES</v>
      </c>
      <c r="E210" t="str">
        <f>IF(AND(ISNUMBER(SEARCH(" - ",TRIM('MSR RAW'!C210))),RIGHT(TRIM('MSR RAW'!C210),6)="Total:"),LEFT(TRIM('MSR RAW'!C210),SEARCH(" - ",TRIM('MSR RAW'!C210))-1),"")</f>
        <v/>
      </c>
      <c r="F210" t="str">
        <f>IF(E210="","",TRIM(MID(TRIM('MSR RAW'!C210),SEARCH(" - ",TRIM('MSR RAW'!C210))+3,LEN(TRIM('MSR RAW'!C210))-SEARCH(" - ",TRIM('MSR RAW'!C210))-9)))</f>
        <v/>
      </c>
      <c r="G210" t="str">
        <f>IF(E210="","",IFERROR(VLOOKUP(E210,'CATEGORY MAP'!$A$2:$B$20,2,FALSE()),"REVIEW"))</f>
        <v/>
      </c>
      <c r="H210" t="str">
        <f>IF(E210="","",IFERROR(VALUE(SUBSTITUTE('MSR RAW'!P210,",","")),0))</f>
        <v/>
      </c>
      <c r="I210" t="str">
        <f>IF(E210="","",IFERROR(VALUE(SUBSTITUTE('MSR RAW'!S210,",","")),0))</f>
        <v/>
      </c>
    </row>
    <row r="211" spans="1:9" ht="68.650000000000006" customHeight="1" x14ac:dyDescent="0.2">
      <c r="A211">
        <v>211</v>
      </c>
      <c r="B21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11" t="str">
        <f>IF(LEFT(TRIM('MSR RAW'!A211),11)="Department:",TRIM('MSR RAW'!A211),C210)</f>
        <v>Department: 36637 - SPECIALTY CONCESSIONS (VENDING)</v>
      </c>
      <c r="D211" t="str">
        <f>IF(LEFT(TRIM('MSR RAW'!B211),9)="Location:",TRIM(MID('MSR RAW'!B211,10,999)),D210)</f>
        <v>FB 155 - SUB ISLAND NOODLES</v>
      </c>
      <c r="E211" t="str">
        <f>IF(AND(ISNUMBER(SEARCH(" - ",TRIM('MSR RAW'!C211))),RIGHT(TRIM('MSR RAW'!C211),6)="Total:"),LEFT(TRIM('MSR RAW'!C211),SEARCH(" - ",TRIM('MSR RAW'!C211))-1),"")</f>
        <v/>
      </c>
      <c r="F211" t="str">
        <f>IF(E211="","",TRIM(MID(TRIM('MSR RAW'!C211),SEARCH(" - ",TRIM('MSR RAW'!C211))+3,LEN(TRIM('MSR RAW'!C211))-SEARCH(" - ",TRIM('MSR RAW'!C211))-9)))</f>
        <v/>
      </c>
      <c r="G211" t="str">
        <f>IF(E211="","",IFERROR(VLOOKUP(E211,'CATEGORY MAP'!$A$2:$B$20,2,FALSE()),"REVIEW"))</f>
        <v/>
      </c>
      <c r="H211" t="str">
        <f>IF(E211="","",IFERROR(VALUE(SUBSTITUTE('MSR RAW'!P211,",","")),0))</f>
        <v/>
      </c>
      <c r="I211" t="str">
        <f>IF(E211="","",IFERROR(VALUE(SUBSTITUTE('MSR RAW'!S211,",","")),0))</f>
        <v/>
      </c>
    </row>
    <row r="212" spans="1:9" ht="68.650000000000006" customHeight="1" x14ac:dyDescent="0.2">
      <c r="A212">
        <v>212</v>
      </c>
      <c r="B21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12" t="str">
        <f>IF(LEFT(TRIM('MSR RAW'!A212),11)="Department:",TRIM('MSR RAW'!A212),C211)</f>
        <v>Department: 36637 - SPECIALTY CONCESSIONS (VENDING)</v>
      </c>
      <c r="D212" t="str">
        <f>IF(LEFT(TRIM('MSR RAW'!B212),9)="Location:",TRIM(MID('MSR RAW'!B212,10,999)),D211)</f>
        <v>FB 155 - SUB ISLAND NOODLES</v>
      </c>
      <c r="E212" t="str">
        <f>IF(AND(ISNUMBER(SEARCH(" - ",TRIM('MSR RAW'!C212))),RIGHT(TRIM('MSR RAW'!C212),6)="Total:"),LEFT(TRIM('MSR RAW'!C212),SEARCH(" - ",TRIM('MSR RAW'!C212))-1),"")</f>
        <v/>
      </c>
      <c r="F212" t="str">
        <f>IF(E212="","",TRIM(MID(TRIM('MSR RAW'!C212),SEARCH(" - ",TRIM('MSR RAW'!C212))+3,LEN(TRIM('MSR RAW'!C212))-SEARCH(" - ",TRIM('MSR RAW'!C212))-9)))</f>
        <v/>
      </c>
      <c r="G212" t="str">
        <f>IF(E212="","",IFERROR(VLOOKUP(E212,'CATEGORY MAP'!$A$2:$B$20,2,FALSE()),"REVIEW"))</f>
        <v/>
      </c>
      <c r="H212" t="str">
        <f>IF(E212="","",IFERROR(VALUE(SUBSTITUTE('MSR RAW'!P212,",","")),0))</f>
        <v/>
      </c>
      <c r="I212" t="str">
        <f>IF(E212="","",IFERROR(VALUE(SUBSTITUTE('MSR RAW'!S212,",","")),0))</f>
        <v/>
      </c>
    </row>
    <row r="213" spans="1:9" ht="68.650000000000006" customHeight="1" x14ac:dyDescent="0.2">
      <c r="A213">
        <v>213</v>
      </c>
      <c r="B21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13" t="str">
        <f>IF(LEFT(TRIM('MSR RAW'!A213),11)="Department:",TRIM('MSR RAW'!A213),C212)</f>
        <v>Department: 36637 - SPECIALTY CONCESSIONS (VENDING)</v>
      </c>
      <c r="D213" t="str">
        <f>IF(LEFT(TRIM('MSR RAW'!B213),9)="Location:",TRIM(MID('MSR RAW'!B213,10,999)),D212)</f>
        <v>FB 155 - SUB ISLAND NOODLES</v>
      </c>
      <c r="E213" t="str">
        <f>IF(AND(ISNUMBER(SEARCH(" - ",TRIM('MSR RAW'!C213))),RIGHT(TRIM('MSR RAW'!C213),6)="Total:"),LEFT(TRIM('MSR RAW'!C213),SEARCH(" - ",TRIM('MSR RAW'!C213))-1),"")</f>
        <v/>
      </c>
      <c r="F213" t="str">
        <f>IF(E213="","",TRIM(MID(TRIM('MSR RAW'!C213),SEARCH(" - ",TRIM('MSR RAW'!C213))+3,LEN(TRIM('MSR RAW'!C213))-SEARCH(" - ",TRIM('MSR RAW'!C213))-9)))</f>
        <v/>
      </c>
      <c r="G213" t="str">
        <f>IF(E213="","",IFERROR(VLOOKUP(E213,'CATEGORY MAP'!$A$2:$B$20,2,FALSE()),"REVIEW"))</f>
        <v/>
      </c>
      <c r="H213" t="str">
        <f>IF(E213="","",IFERROR(VALUE(SUBSTITUTE('MSR RAW'!P213,",","")),0))</f>
        <v/>
      </c>
      <c r="I213" t="str">
        <f>IF(E213="","",IFERROR(VALUE(SUBSTITUTE('MSR RAW'!S213,",","")),0))</f>
        <v/>
      </c>
    </row>
    <row r="214" spans="1:9" ht="68.650000000000006" customHeight="1" x14ac:dyDescent="0.2">
      <c r="A214">
        <v>214</v>
      </c>
      <c r="B21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14" t="str">
        <f>IF(LEFT(TRIM('MSR RAW'!A214),11)="Department:",TRIM('MSR RAW'!A214),C213)</f>
        <v>Department: 36637 - SPECIALTY CONCESSIONS (VENDING)</v>
      </c>
      <c r="D214" t="str">
        <f>IF(LEFT(TRIM('MSR RAW'!B214),9)="Location:",TRIM(MID('MSR RAW'!B214,10,999)),D213)</f>
        <v>FB 155 - SUB ISLAND NOODLES</v>
      </c>
      <c r="E214" t="str">
        <f>IF(AND(ISNUMBER(SEARCH(" - ",TRIM('MSR RAW'!C214))),RIGHT(TRIM('MSR RAW'!C214),6)="Total:"),LEFT(TRIM('MSR RAW'!C214),SEARCH(" - ",TRIM('MSR RAW'!C214))-1),"")</f>
        <v/>
      </c>
      <c r="F214" t="str">
        <f>IF(E214="","",TRIM(MID(TRIM('MSR RAW'!C214),SEARCH(" - ",TRIM('MSR RAW'!C214))+3,LEN(TRIM('MSR RAW'!C214))-SEARCH(" - ",TRIM('MSR RAW'!C214))-9)))</f>
        <v/>
      </c>
      <c r="G214" t="str">
        <f>IF(E214="","",IFERROR(VLOOKUP(E214,'CATEGORY MAP'!$A$2:$B$20,2,FALSE()),"REVIEW"))</f>
        <v/>
      </c>
      <c r="H214" t="str">
        <f>IF(E214="","",IFERROR(VALUE(SUBSTITUTE('MSR RAW'!P214,",","")),0))</f>
        <v/>
      </c>
      <c r="I214" t="str">
        <f>IF(E214="","",IFERROR(VALUE(SUBSTITUTE('MSR RAW'!S214,",","")),0))</f>
        <v/>
      </c>
    </row>
    <row r="215" spans="1:9" ht="68.650000000000006" customHeight="1" x14ac:dyDescent="0.2">
      <c r="A215">
        <v>215</v>
      </c>
      <c r="B21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15" t="str">
        <f>IF(LEFT(TRIM('MSR RAW'!A215),11)="Department:",TRIM('MSR RAW'!A215),C214)</f>
        <v>Department: 36637 - SPECIALTY CONCESSIONS (VENDING)</v>
      </c>
      <c r="D215" t="str">
        <f>IF(LEFT(TRIM('MSR RAW'!B215),9)="Location:",TRIM(MID('MSR RAW'!B215,10,999)),D214)</f>
        <v>FB 155 - SUB ISLAND NOODLES</v>
      </c>
      <c r="E215" t="str">
        <f>IF(AND(ISNUMBER(SEARCH(" - ",TRIM('MSR RAW'!C215))),RIGHT(TRIM('MSR RAW'!C215),6)="Total:"),LEFT(TRIM('MSR RAW'!C215),SEARCH(" - ",TRIM('MSR RAW'!C215))-1),"")</f>
        <v/>
      </c>
      <c r="F215" t="str">
        <f>IF(E215="","",TRIM(MID(TRIM('MSR RAW'!C215),SEARCH(" - ",TRIM('MSR RAW'!C215))+3,LEN(TRIM('MSR RAW'!C215))-SEARCH(" - ",TRIM('MSR RAW'!C215))-9)))</f>
        <v/>
      </c>
      <c r="G215" t="str">
        <f>IF(E215="","",IFERROR(VLOOKUP(E215,'CATEGORY MAP'!$A$2:$B$20,2,FALSE()),"REVIEW"))</f>
        <v/>
      </c>
      <c r="H215" t="str">
        <f>IF(E215="","",IFERROR(VALUE(SUBSTITUTE('MSR RAW'!P215,",","")),0))</f>
        <v/>
      </c>
      <c r="I215" t="str">
        <f>IF(E215="","",IFERROR(VALUE(SUBSTITUTE('MSR RAW'!S215,",","")),0))</f>
        <v/>
      </c>
    </row>
    <row r="216" spans="1:9" ht="68.650000000000006" customHeight="1" x14ac:dyDescent="0.2">
      <c r="A216">
        <v>216</v>
      </c>
      <c r="B21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16" t="str">
        <f>IF(LEFT(TRIM('MSR RAW'!A216),11)="Department:",TRIM('MSR RAW'!A216),C215)</f>
        <v>Department: 36637 - SPECIALTY CONCESSIONS (VENDING)</v>
      </c>
      <c r="D216" t="str">
        <f>IF(LEFT(TRIM('MSR RAW'!B216),9)="Location:",TRIM(MID('MSR RAW'!B216,10,999)),D215)</f>
        <v>FB 155 - SUB ISLAND NOODLES</v>
      </c>
      <c r="E216" t="str">
        <f>IF(AND(ISNUMBER(SEARCH(" - ",TRIM('MSR RAW'!C216))),RIGHT(TRIM('MSR RAW'!C216),6)="Total:"),LEFT(TRIM('MSR RAW'!C216),SEARCH(" - ",TRIM('MSR RAW'!C216))-1),"")</f>
        <v/>
      </c>
      <c r="F216" t="str">
        <f>IF(E216="","",TRIM(MID(TRIM('MSR RAW'!C216),SEARCH(" - ",TRIM('MSR RAW'!C216))+3,LEN(TRIM('MSR RAW'!C216))-SEARCH(" - ",TRIM('MSR RAW'!C216))-9)))</f>
        <v/>
      </c>
      <c r="G216" t="str">
        <f>IF(E216="","",IFERROR(VLOOKUP(E216,'CATEGORY MAP'!$A$2:$B$20,2,FALSE()),"REVIEW"))</f>
        <v/>
      </c>
      <c r="H216" t="str">
        <f>IF(E216="","",IFERROR(VALUE(SUBSTITUTE('MSR RAW'!P216,",","")),0))</f>
        <v/>
      </c>
      <c r="I216" t="str">
        <f>IF(E216="","",IFERROR(VALUE(SUBSTITUTE('MSR RAW'!S216,",","")),0))</f>
        <v/>
      </c>
    </row>
    <row r="217" spans="1:9" ht="68.650000000000006" customHeight="1" x14ac:dyDescent="0.2">
      <c r="A217">
        <v>217</v>
      </c>
      <c r="B21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17" t="str">
        <f>IF(LEFT(TRIM('MSR RAW'!A217),11)="Department:",TRIM('MSR RAW'!A217),C216)</f>
        <v>Department: 36637 - SPECIALTY CONCESSIONS (VENDING)</v>
      </c>
      <c r="D217" t="str">
        <f>IF(LEFT(TRIM('MSR RAW'!B217),9)="Location:",TRIM(MID('MSR RAW'!B217,10,999)),D216)</f>
        <v>FB 155 - SUB ISLAND NOODLES</v>
      </c>
      <c r="E217" t="str">
        <f>IF(AND(ISNUMBER(SEARCH(" - ",TRIM('MSR RAW'!C217))),RIGHT(TRIM('MSR RAW'!C217),6)="Total:"),LEFT(TRIM('MSR RAW'!C217),SEARCH(" - ",TRIM('MSR RAW'!C217))-1),"")</f>
        <v/>
      </c>
      <c r="F217" t="str">
        <f>IF(E217="","",TRIM(MID(TRIM('MSR RAW'!C217),SEARCH(" - ",TRIM('MSR RAW'!C217))+3,LEN(TRIM('MSR RAW'!C217))-SEARCH(" - ",TRIM('MSR RAW'!C217))-9)))</f>
        <v/>
      </c>
      <c r="G217" t="str">
        <f>IF(E217="","",IFERROR(VLOOKUP(E217,'CATEGORY MAP'!$A$2:$B$20,2,FALSE()),"REVIEW"))</f>
        <v/>
      </c>
      <c r="H217" t="str">
        <f>IF(E217="","",IFERROR(VALUE(SUBSTITUTE('MSR RAW'!P217,",","")),0))</f>
        <v/>
      </c>
      <c r="I217" t="str">
        <f>IF(E217="","",IFERROR(VALUE(SUBSTITUTE('MSR RAW'!S217,",","")),0))</f>
        <v/>
      </c>
    </row>
    <row r="218" spans="1:9" ht="68.650000000000006" customHeight="1" x14ac:dyDescent="0.2">
      <c r="A218">
        <v>218</v>
      </c>
      <c r="B21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18" t="str">
        <f>IF(LEFT(TRIM('MSR RAW'!A218),11)="Department:",TRIM('MSR RAW'!A218),C217)</f>
        <v>Department: 36637 - SPECIALTY CONCESSIONS (VENDING)</v>
      </c>
      <c r="D218" t="str">
        <f>IF(LEFT(TRIM('MSR RAW'!B218),9)="Location:",TRIM(MID('MSR RAW'!B218,10,999)),D217)</f>
        <v>FB 155 - SUB ISLAND NOODLES</v>
      </c>
      <c r="E218" t="str">
        <f>IF(AND(ISNUMBER(SEARCH(" - ",TRIM('MSR RAW'!C218))),RIGHT(TRIM('MSR RAW'!C218),6)="Total:"),LEFT(TRIM('MSR RAW'!C218),SEARCH(" - ",TRIM('MSR RAW'!C218))-1),"")</f>
        <v/>
      </c>
      <c r="F218" t="str">
        <f>IF(E218="","",TRIM(MID(TRIM('MSR RAW'!C218),SEARCH(" - ",TRIM('MSR RAW'!C218))+3,LEN(TRIM('MSR RAW'!C218))-SEARCH(" - ",TRIM('MSR RAW'!C218))-9)))</f>
        <v/>
      </c>
      <c r="G218" t="str">
        <f>IF(E218="","",IFERROR(VLOOKUP(E218,'CATEGORY MAP'!$A$2:$B$20,2,FALSE()),"REVIEW"))</f>
        <v/>
      </c>
      <c r="H218" t="str">
        <f>IF(E218="","",IFERROR(VALUE(SUBSTITUTE('MSR RAW'!P218,",","")),0))</f>
        <v/>
      </c>
      <c r="I218" t="str">
        <f>IF(E218="","",IFERROR(VALUE(SUBSTITUTE('MSR RAW'!S218,",","")),0))</f>
        <v/>
      </c>
    </row>
    <row r="219" spans="1:9" ht="68.650000000000006" customHeight="1" x14ac:dyDescent="0.2">
      <c r="A219">
        <v>219</v>
      </c>
      <c r="B21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19" t="str">
        <f>IF(LEFT(TRIM('MSR RAW'!A219),11)="Department:",TRIM('MSR RAW'!A219),C218)</f>
        <v>Department: 36637 - SPECIALTY CONCESSIONS (VENDING)</v>
      </c>
      <c r="D219" t="str">
        <f>IF(LEFT(TRIM('MSR RAW'!B219),9)="Location:",TRIM(MID('MSR RAW'!B219,10,999)),D218)</f>
        <v>FB 155 - SUB ISLAND NOODLES</v>
      </c>
      <c r="E219" t="str">
        <f>IF(AND(ISNUMBER(SEARCH(" - ",TRIM('MSR RAW'!C219))),RIGHT(TRIM('MSR RAW'!C219),6)="Total:"),LEFT(TRIM('MSR RAW'!C219),SEARCH(" - ",TRIM('MSR RAW'!C219))-1),"")</f>
        <v/>
      </c>
      <c r="F219" t="str">
        <f>IF(E219="","",TRIM(MID(TRIM('MSR RAW'!C219),SEARCH(" - ",TRIM('MSR RAW'!C219))+3,LEN(TRIM('MSR RAW'!C219))-SEARCH(" - ",TRIM('MSR RAW'!C219))-9)))</f>
        <v/>
      </c>
      <c r="G219" t="str">
        <f>IF(E219="","",IFERROR(VLOOKUP(E219,'CATEGORY MAP'!$A$2:$B$20,2,FALSE()),"REVIEW"))</f>
        <v/>
      </c>
      <c r="H219" t="str">
        <f>IF(E219="","",IFERROR(VALUE(SUBSTITUTE('MSR RAW'!P219,",","")),0))</f>
        <v/>
      </c>
      <c r="I219" t="str">
        <f>IF(E219="","",IFERROR(VALUE(SUBSTITUTE('MSR RAW'!S219,",","")),0))</f>
        <v/>
      </c>
    </row>
    <row r="220" spans="1:9" ht="68.650000000000006" customHeight="1" x14ac:dyDescent="0.2">
      <c r="A220">
        <v>220</v>
      </c>
      <c r="B22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20" t="str">
        <f>IF(LEFT(TRIM('MSR RAW'!A220),11)="Department:",TRIM('MSR RAW'!A220),C219)</f>
        <v>Department: 36637 - SPECIALTY CONCESSIONS (VENDING)</v>
      </c>
      <c r="D220" t="str">
        <f>IF(LEFT(TRIM('MSR RAW'!B220),9)="Location:",TRIM(MID('MSR RAW'!B220,10,999)),D219)</f>
        <v>FB 155 - SUB ISLAND NOODLES</v>
      </c>
      <c r="E220" t="str">
        <f>IF(AND(ISNUMBER(SEARCH(" - ",TRIM('MSR RAW'!C220))),RIGHT(TRIM('MSR RAW'!C220),6)="Total:"),LEFT(TRIM('MSR RAW'!C220),SEARCH(" - ",TRIM('MSR RAW'!C220))-1),"")</f>
        <v/>
      </c>
      <c r="F220" t="str">
        <f>IF(E220="","",TRIM(MID(TRIM('MSR RAW'!C220),SEARCH(" - ",TRIM('MSR RAW'!C220))+3,LEN(TRIM('MSR RAW'!C220))-SEARCH(" - ",TRIM('MSR RAW'!C220))-9)))</f>
        <v/>
      </c>
      <c r="G220" t="str">
        <f>IF(E220="","",IFERROR(VLOOKUP(E220,'CATEGORY MAP'!$A$2:$B$20,2,FALSE()),"REVIEW"))</f>
        <v/>
      </c>
      <c r="H220" t="str">
        <f>IF(E220="","",IFERROR(VALUE(SUBSTITUTE('MSR RAW'!P220,",","")),0))</f>
        <v/>
      </c>
      <c r="I220" t="str">
        <f>IF(E220="","",IFERROR(VALUE(SUBSTITUTE('MSR RAW'!S220,",","")),0))</f>
        <v/>
      </c>
    </row>
    <row r="221" spans="1:9" ht="68.650000000000006" customHeight="1" x14ac:dyDescent="0.2">
      <c r="A221">
        <v>221</v>
      </c>
      <c r="B22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21" t="str">
        <f>IF(LEFT(TRIM('MSR RAW'!A221),11)="Department:",TRIM('MSR RAW'!A221),C220)</f>
        <v>Department: 36637 - SPECIALTY CONCESSIONS (VENDING)</v>
      </c>
      <c r="D221" t="str">
        <f>IF(LEFT(TRIM('MSR RAW'!B221),9)="Location:",TRIM(MID('MSR RAW'!B221,10,999)),D220)</f>
        <v>FB 155 - SUB ISLAND NOODLES</v>
      </c>
      <c r="E221" t="str">
        <f>IF(AND(ISNUMBER(SEARCH(" - ",TRIM('MSR RAW'!C221))),RIGHT(TRIM('MSR RAW'!C221),6)="Total:"),LEFT(TRIM('MSR RAW'!C221),SEARCH(" - ",TRIM('MSR RAW'!C221))-1),"")</f>
        <v/>
      </c>
      <c r="F221" t="str">
        <f>IF(E221="","",TRIM(MID(TRIM('MSR RAW'!C221),SEARCH(" - ",TRIM('MSR RAW'!C221))+3,LEN(TRIM('MSR RAW'!C221))-SEARCH(" - ",TRIM('MSR RAW'!C221))-9)))</f>
        <v/>
      </c>
      <c r="G221" t="str">
        <f>IF(E221="","",IFERROR(VLOOKUP(E221,'CATEGORY MAP'!$A$2:$B$20,2,FALSE()),"REVIEW"))</f>
        <v/>
      </c>
      <c r="H221" t="str">
        <f>IF(E221="","",IFERROR(VALUE(SUBSTITUTE('MSR RAW'!P221,",","")),0))</f>
        <v/>
      </c>
      <c r="I221" t="str">
        <f>IF(E221="","",IFERROR(VALUE(SUBSTITUTE('MSR RAW'!S221,",","")),0))</f>
        <v/>
      </c>
    </row>
    <row r="222" spans="1:9" ht="68.650000000000006" customHeight="1" x14ac:dyDescent="0.2">
      <c r="A222">
        <v>222</v>
      </c>
      <c r="B22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22" t="str">
        <f>IF(LEFT(TRIM('MSR RAW'!A222),11)="Department:",TRIM('MSR RAW'!A222),C221)</f>
        <v>Department: 36637 - SPECIALTY CONCESSIONS (VENDING)</v>
      </c>
      <c r="D222" t="str">
        <f>IF(LEFT(TRIM('MSR RAW'!B222),9)="Location:",TRIM(MID('MSR RAW'!B222,10,999)),D221)</f>
        <v>FB 155 - SUB ISLAND NOODLES</v>
      </c>
      <c r="E222" t="str">
        <f>IF(AND(ISNUMBER(SEARCH(" - ",TRIM('MSR RAW'!C222))),RIGHT(TRIM('MSR RAW'!C222),6)="Total:"),LEFT(TRIM('MSR RAW'!C222),SEARCH(" - ",TRIM('MSR RAW'!C222))-1),"")</f>
        <v/>
      </c>
      <c r="F222" t="str">
        <f>IF(E222="","",TRIM(MID(TRIM('MSR RAW'!C222),SEARCH(" - ",TRIM('MSR RAW'!C222))+3,LEN(TRIM('MSR RAW'!C222))-SEARCH(" - ",TRIM('MSR RAW'!C222))-9)))</f>
        <v/>
      </c>
      <c r="G222" t="str">
        <f>IF(E222="","",IFERROR(VLOOKUP(E222,'CATEGORY MAP'!$A$2:$B$20,2,FALSE()),"REVIEW"))</f>
        <v/>
      </c>
      <c r="H222" t="str">
        <f>IF(E222="","",IFERROR(VALUE(SUBSTITUTE('MSR RAW'!P222,",","")),0))</f>
        <v/>
      </c>
      <c r="I222" t="str">
        <f>IF(E222="","",IFERROR(VALUE(SUBSTITUTE('MSR RAW'!S222,",","")),0))</f>
        <v/>
      </c>
    </row>
    <row r="223" spans="1:9" ht="68.650000000000006" customHeight="1" x14ac:dyDescent="0.2">
      <c r="A223">
        <v>223</v>
      </c>
      <c r="B22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23" t="str">
        <f>IF(LEFT(TRIM('MSR RAW'!A223),11)="Department:",TRIM('MSR RAW'!A223),C222)</f>
        <v>Department: 36637 - SPECIALTY CONCESSIONS (VENDING)</v>
      </c>
      <c r="D223" t="str">
        <f>IF(LEFT(TRIM('MSR RAW'!B223),9)="Location:",TRIM(MID('MSR RAW'!B223,10,999)),D222)</f>
        <v>FB 155 - SUB ISLAND NOODLES</v>
      </c>
      <c r="E223" t="str">
        <f>IF(AND(ISNUMBER(SEARCH(" - ",TRIM('MSR RAW'!C223))),RIGHT(TRIM('MSR RAW'!C223),6)="Total:"),LEFT(TRIM('MSR RAW'!C223),SEARCH(" - ",TRIM('MSR RAW'!C223))-1),"")</f>
        <v/>
      </c>
      <c r="F223" t="str">
        <f>IF(E223="","",TRIM(MID(TRIM('MSR RAW'!C223),SEARCH(" - ",TRIM('MSR RAW'!C223))+3,LEN(TRIM('MSR RAW'!C223))-SEARCH(" - ",TRIM('MSR RAW'!C223))-9)))</f>
        <v/>
      </c>
      <c r="G223" t="str">
        <f>IF(E223="","",IFERROR(VLOOKUP(E223,'CATEGORY MAP'!$A$2:$B$20,2,FALSE()),"REVIEW"))</f>
        <v/>
      </c>
      <c r="H223" t="str">
        <f>IF(E223="","",IFERROR(VALUE(SUBSTITUTE('MSR RAW'!P223,",","")),0))</f>
        <v/>
      </c>
      <c r="I223" t="str">
        <f>IF(E223="","",IFERROR(VALUE(SUBSTITUTE('MSR RAW'!S223,",","")),0))</f>
        <v/>
      </c>
    </row>
    <row r="224" spans="1:9" ht="68.650000000000006" customHeight="1" x14ac:dyDescent="0.2">
      <c r="A224">
        <v>224</v>
      </c>
      <c r="B22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24" t="str">
        <f>IF(LEFT(TRIM('MSR RAW'!A224),11)="Department:",TRIM('MSR RAW'!A224),C223)</f>
        <v>Department: 36637 - SPECIALTY CONCESSIONS (VENDING)</v>
      </c>
      <c r="D224" t="str">
        <f>IF(LEFT(TRIM('MSR RAW'!B224),9)="Location:",TRIM(MID('MSR RAW'!B224,10,999)),D223)</f>
        <v>FB 155 - SUB ISLAND NOODLES</v>
      </c>
      <c r="E224" t="str">
        <f>IF(AND(ISNUMBER(SEARCH(" - ",TRIM('MSR RAW'!C224))),RIGHT(TRIM('MSR RAW'!C224),6)="Total:"),LEFT(TRIM('MSR RAW'!C224),SEARCH(" - ",TRIM('MSR RAW'!C224))-1),"")</f>
        <v/>
      </c>
      <c r="F224" t="str">
        <f>IF(E224="","",TRIM(MID(TRIM('MSR RAW'!C224),SEARCH(" - ",TRIM('MSR RAW'!C224))+3,LEN(TRIM('MSR RAW'!C224))-SEARCH(" - ",TRIM('MSR RAW'!C224))-9)))</f>
        <v/>
      </c>
      <c r="G224" t="str">
        <f>IF(E224="","",IFERROR(VLOOKUP(E224,'CATEGORY MAP'!$A$2:$B$20,2,FALSE()),"REVIEW"))</f>
        <v/>
      </c>
      <c r="H224" t="str">
        <f>IF(E224="","",IFERROR(VALUE(SUBSTITUTE('MSR RAW'!P224,",","")),0))</f>
        <v/>
      </c>
      <c r="I224" t="str">
        <f>IF(E224="","",IFERROR(VALUE(SUBSTITUTE('MSR RAW'!S224,",","")),0))</f>
        <v/>
      </c>
    </row>
    <row r="225" spans="1:9" ht="68.650000000000006" customHeight="1" x14ac:dyDescent="0.2">
      <c r="A225">
        <v>225</v>
      </c>
      <c r="B22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25" t="str">
        <f>IF(LEFT(TRIM('MSR RAW'!A225),11)="Department:",TRIM('MSR RAW'!A225),C224)</f>
        <v>Department: 36637 - SPECIALTY CONCESSIONS (VENDING)</v>
      </c>
      <c r="D225" t="str">
        <f>IF(LEFT(TRIM('MSR RAW'!B225),9)="Location:",TRIM(MID('MSR RAW'!B225,10,999)),D224)</f>
        <v>FB 155 - SUB ISLAND NOODLES</v>
      </c>
      <c r="E225" t="str">
        <f>IF(AND(ISNUMBER(SEARCH(" - ",TRIM('MSR RAW'!C225))),RIGHT(TRIM('MSR RAW'!C225),6)="Total:"),LEFT(TRIM('MSR RAW'!C225),SEARCH(" - ",TRIM('MSR RAW'!C225))-1),"")</f>
        <v/>
      </c>
      <c r="F225" t="str">
        <f>IF(E225="","",TRIM(MID(TRIM('MSR RAW'!C225),SEARCH(" - ",TRIM('MSR RAW'!C225))+3,LEN(TRIM('MSR RAW'!C225))-SEARCH(" - ",TRIM('MSR RAW'!C225))-9)))</f>
        <v/>
      </c>
      <c r="G225" t="str">
        <f>IF(E225="","",IFERROR(VLOOKUP(E225,'CATEGORY MAP'!$A$2:$B$20,2,FALSE()),"REVIEW"))</f>
        <v/>
      </c>
      <c r="H225" t="str">
        <f>IF(E225="","",IFERROR(VALUE(SUBSTITUTE('MSR RAW'!P225,",","")),0))</f>
        <v/>
      </c>
      <c r="I225" t="str">
        <f>IF(E225="","",IFERROR(VALUE(SUBSTITUTE('MSR RAW'!S225,",","")),0))</f>
        <v/>
      </c>
    </row>
    <row r="226" spans="1:9" ht="68.650000000000006" customHeight="1" x14ac:dyDescent="0.2">
      <c r="A226">
        <v>226</v>
      </c>
      <c r="B22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26" t="str">
        <f>IF(LEFT(TRIM('MSR RAW'!A226),11)="Department:",TRIM('MSR RAW'!A226),C225)</f>
        <v>Department: 36637 - SPECIALTY CONCESSIONS (VENDING)</v>
      </c>
      <c r="D226" t="str">
        <f>IF(LEFT(TRIM('MSR RAW'!B226),9)="Location:",TRIM(MID('MSR RAW'!B226,10,999)),D225)</f>
        <v>FB 155 - SUB ISLAND NOODLES</v>
      </c>
      <c r="E226" t="str">
        <f>IF(AND(ISNUMBER(SEARCH(" - ",TRIM('MSR RAW'!C226))),RIGHT(TRIM('MSR RAW'!C226),6)="Total:"),LEFT(TRIM('MSR RAW'!C226),SEARCH(" - ",TRIM('MSR RAW'!C226))-1),"")</f>
        <v/>
      </c>
      <c r="F226" t="str">
        <f>IF(E226="","",TRIM(MID(TRIM('MSR RAW'!C226),SEARCH(" - ",TRIM('MSR RAW'!C226))+3,LEN(TRIM('MSR RAW'!C226))-SEARCH(" - ",TRIM('MSR RAW'!C226))-9)))</f>
        <v/>
      </c>
      <c r="G226" t="str">
        <f>IF(E226="","",IFERROR(VLOOKUP(E226,'CATEGORY MAP'!$A$2:$B$20,2,FALSE()),"REVIEW"))</f>
        <v/>
      </c>
      <c r="H226" t="str">
        <f>IF(E226="","",IFERROR(VALUE(SUBSTITUTE('MSR RAW'!P226,",","")),0))</f>
        <v/>
      </c>
      <c r="I226" t="str">
        <f>IF(E226="","",IFERROR(VALUE(SUBSTITUTE('MSR RAW'!S226,",","")),0))</f>
        <v/>
      </c>
    </row>
    <row r="227" spans="1:9" ht="68.650000000000006" customHeight="1" x14ac:dyDescent="0.2">
      <c r="A227">
        <v>227</v>
      </c>
      <c r="B22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27" t="str">
        <f>IF(LEFT(TRIM('MSR RAW'!A227),11)="Department:",TRIM('MSR RAW'!A227),C226)</f>
        <v>Department: 36637 - SPECIALTY CONCESSIONS (VENDING)</v>
      </c>
      <c r="D227" t="str">
        <f>IF(LEFT(TRIM('MSR RAW'!B227),9)="Location:",TRIM(MID('MSR RAW'!B227,10,999)),D226)</f>
        <v>FB 155 - SUB ISLAND NOODLES</v>
      </c>
      <c r="E227" t="str">
        <f>IF(AND(ISNUMBER(SEARCH(" - ",TRIM('MSR RAW'!C227))),RIGHT(TRIM('MSR RAW'!C227),6)="Total:"),LEFT(TRIM('MSR RAW'!C227),SEARCH(" - ",TRIM('MSR RAW'!C227))-1),"")</f>
        <v/>
      </c>
      <c r="F227" t="str">
        <f>IF(E227="","",TRIM(MID(TRIM('MSR RAW'!C227),SEARCH(" - ",TRIM('MSR RAW'!C227))+3,LEN(TRIM('MSR RAW'!C227))-SEARCH(" - ",TRIM('MSR RAW'!C227))-9)))</f>
        <v/>
      </c>
      <c r="G227" t="str">
        <f>IF(E227="","",IFERROR(VLOOKUP(E227,'CATEGORY MAP'!$A$2:$B$20,2,FALSE()),"REVIEW"))</f>
        <v/>
      </c>
      <c r="H227" t="str">
        <f>IF(E227="","",IFERROR(VALUE(SUBSTITUTE('MSR RAW'!P227,",","")),0))</f>
        <v/>
      </c>
      <c r="I227" t="str">
        <f>IF(E227="","",IFERROR(VALUE(SUBSTITUTE('MSR RAW'!S227,",","")),0))</f>
        <v/>
      </c>
    </row>
    <row r="228" spans="1:9" ht="68.650000000000006" customHeight="1" x14ac:dyDescent="0.2">
      <c r="A228">
        <v>228</v>
      </c>
      <c r="B22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28" t="str">
        <f>IF(LEFT(TRIM('MSR RAW'!A228),11)="Department:",TRIM('MSR RAW'!A228),C227)</f>
        <v>Department: 36637 - SPECIALTY CONCESSIONS (VENDING)</v>
      </c>
      <c r="D228" t="str">
        <f>IF(LEFT(TRIM('MSR RAW'!B228),9)="Location:",TRIM(MID('MSR RAW'!B228,10,999)),D227)</f>
        <v>FB 155 - SUB ISLAND NOODLES</v>
      </c>
      <c r="E228" t="str">
        <f>IF(AND(ISNUMBER(SEARCH(" - ",TRIM('MSR RAW'!C228))),RIGHT(TRIM('MSR RAW'!C228),6)="Total:"),LEFT(TRIM('MSR RAW'!C228),SEARCH(" - ",TRIM('MSR RAW'!C228))-1),"")</f>
        <v/>
      </c>
      <c r="F228" t="str">
        <f>IF(E228="","",TRIM(MID(TRIM('MSR RAW'!C228),SEARCH(" - ",TRIM('MSR RAW'!C228))+3,LEN(TRIM('MSR RAW'!C228))-SEARCH(" - ",TRIM('MSR RAW'!C228))-9)))</f>
        <v/>
      </c>
      <c r="G228" t="str">
        <f>IF(E228="","",IFERROR(VLOOKUP(E228,'CATEGORY MAP'!$A$2:$B$20,2,FALSE()),"REVIEW"))</f>
        <v/>
      </c>
      <c r="H228" t="str">
        <f>IF(E228="","",IFERROR(VALUE(SUBSTITUTE('MSR RAW'!P228,",","")),0))</f>
        <v/>
      </c>
      <c r="I228" t="str">
        <f>IF(E228="","",IFERROR(VALUE(SUBSTITUTE('MSR RAW'!S228,",","")),0))</f>
        <v/>
      </c>
    </row>
    <row r="229" spans="1:9" ht="68.650000000000006" customHeight="1" x14ac:dyDescent="0.2">
      <c r="A229">
        <v>229</v>
      </c>
      <c r="B22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29" t="str">
        <f>IF(LEFT(TRIM('MSR RAW'!A229),11)="Department:",TRIM('MSR RAW'!A229),C228)</f>
        <v>Department: 36637 - SPECIALTY CONCESSIONS (VENDING)</v>
      </c>
      <c r="D229" t="str">
        <f>IF(LEFT(TRIM('MSR RAW'!B229),9)="Location:",TRIM(MID('MSR RAW'!B229,10,999)),D228)</f>
        <v>FB 155 - SUB ISLAND NOODLES</v>
      </c>
      <c r="E229" t="str">
        <f>IF(AND(ISNUMBER(SEARCH(" - ",TRIM('MSR RAW'!C229))),RIGHT(TRIM('MSR RAW'!C229),6)="Total:"),LEFT(TRIM('MSR RAW'!C229),SEARCH(" - ",TRIM('MSR RAW'!C229))-1),"")</f>
        <v/>
      </c>
      <c r="F229" t="str">
        <f>IF(E229="","",TRIM(MID(TRIM('MSR RAW'!C229),SEARCH(" - ",TRIM('MSR RAW'!C229))+3,LEN(TRIM('MSR RAW'!C229))-SEARCH(" - ",TRIM('MSR RAW'!C229))-9)))</f>
        <v/>
      </c>
      <c r="G229" t="str">
        <f>IF(E229="","",IFERROR(VLOOKUP(E229,'CATEGORY MAP'!$A$2:$B$20,2,FALSE()),"REVIEW"))</f>
        <v/>
      </c>
      <c r="H229" t="str">
        <f>IF(E229="","",IFERROR(VALUE(SUBSTITUTE('MSR RAW'!P229,",","")),0))</f>
        <v/>
      </c>
      <c r="I229" t="str">
        <f>IF(E229="","",IFERROR(VALUE(SUBSTITUTE('MSR RAW'!S229,",","")),0))</f>
        <v/>
      </c>
    </row>
    <row r="230" spans="1:9" ht="68.650000000000006" customHeight="1" x14ac:dyDescent="0.2">
      <c r="A230">
        <v>230</v>
      </c>
      <c r="B23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30" t="str">
        <f>IF(LEFT(TRIM('MSR RAW'!A230),11)="Department:",TRIM('MSR RAW'!A230),C229)</f>
        <v>Department: 36637 - SPECIALTY CONCESSIONS (VENDING)</v>
      </c>
      <c r="D230" t="str">
        <f>IF(LEFT(TRIM('MSR RAW'!B230),9)="Location:",TRIM(MID('MSR RAW'!B230,10,999)),D229)</f>
        <v>FB 155 - SUB ISLAND NOODLES</v>
      </c>
      <c r="E230" t="str">
        <f>IF(AND(ISNUMBER(SEARCH(" - ",TRIM('MSR RAW'!C230))),RIGHT(TRIM('MSR RAW'!C230),6)="Total:"),LEFT(TRIM('MSR RAW'!C230),SEARCH(" - ",TRIM('MSR RAW'!C230))-1),"")</f>
        <v/>
      </c>
      <c r="F230" t="str">
        <f>IF(E230="","",TRIM(MID(TRIM('MSR RAW'!C230),SEARCH(" - ",TRIM('MSR RAW'!C230))+3,LEN(TRIM('MSR RAW'!C230))-SEARCH(" - ",TRIM('MSR RAW'!C230))-9)))</f>
        <v/>
      </c>
      <c r="G230" t="str">
        <f>IF(E230="","",IFERROR(VLOOKUP(E230,'CATEGORY MAP'!$A$2:$B$20,2,FALSE()),"REVIEW"))</f>
        <v/>
      </c>
      <c r="H230" t="str">
        <f>IF(E230="","",IFERROR(VALUE(SUBSTITUTE('MSR RAW'!P230,",","")),0))</f>
        <v/>
      </c>
      <c r="I230" t="str">
        <f>IF(E230="","",IFERROR(VALUE(SUBSTITUTE('MSR RAW'!S230,",","")),0))</f>
        <v/>
      </c>
    </row>
    <row r="231" spans="1:9" ht="68.650000000000006" customHeight="1" x14ac:dyDescent="0.2">
      <c r="A231">
        <v>231</v>
      </c>
      <c r="B23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31" t="str">
        <f>IF(LEFT(TRIM('MSR RAW'!A231),11)="Department:",TRIM('MSR RAW'!A231),C230)</f>
        <v>Department: 36637 - SPECIALTY CONCESSIONS (VENDING)</v>
      </c>
      <c r="D231" t="str">
        <f>IF(LEFT(TRIM('MSR RAW'!B231),9)="Location:",TRIM(MID('MSR RAW'!B231,10,999)),D230)</f>
        <v>FB 155 - SUB ISLAND NOODLES</v>
      </c>
      <c r="E231" t="str">
        <f>IF(AND(ISNUMBER(SEARCH(" - ",TRIM('MSR RAW'!C231))),RIGHT(TRIM('MSR RAW'!C231),6)="Total:"),LEFT(TRIM('MSR RAW'!C231),SEARCH(" - ",TRIM('MSR RAW'!C231))-1),"")</f>
        <v/>
      </c>
      <c r="F231" t="str">
        <f>IF(E231="","",TRIM(MID(TRIM('MSR RAW'!C231),SEARCH(" - ",TRIM('MSR RAW'!C231))+3,LEN(TRIM('MSR RAW'!C231))-SEARCH(" - ",TRIM('MSR RAW'!C231))-9)))</f>
        <v/>
      </c>
      <c r="G231" t="str">
        <f>IF(E231="","",IFERROR(VLOOKUP(E231,'CATEGORY MAP'!$A$2:$B$20,2,FALSE()),"REVIEW"))</f>
        <v/>
      </c>
      <c r="H231" t="str">
        <f>IF(E231="","",IFERROR(VALUE(SUBSTITUTE('MSR RAW'!P231,",","")),0))</f>
        <v/>
      </c>
      <c r="I231" t="str">
        <f>IF(E231="","",IFERROR(VALUE(SUBSTITUTE('MSR RAW'!S231,",","")),0))</f>
        <v/>
      </c>
    </row>
    <row r="232" spans="1:9" ht="68.650000000000006" customHeight="1" x14ac:dyDescent="0.2">
      <c r="A232">
        <v>232</v>
      </c>
      <c r="B23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32" t="str">
        <f>IF(LEFT(TRIM('MSR RAW'!A232),11)="Department:",TRIM('MSR RAW'!A232),C231)</f>
        <v>Department: 36637 - SPECIALTY CONCESSIONS (VENDING)</v>
      </c>
      <c r="D232" t="str">
        <f>IF(LEFT(TRIM('MSR RAW'!B232),9)="Location:",TRIM(MID('MSR RAW'!B232,10,999)),D231)</f>
        <v>FB 155 - SUB ISLAND NOODLES</v>
      </c>
      <c r="E232" t="str">
        <f>IF(AND(ISNUMBER(SEARCH(" - ",TRIM('MSR RAW'!C232))),RIGHT(TRIM('MSR RAW'!C232),6)="Total:"),LEFT(TRIM('MSR RAW'!C232),SEARCH(" - ",TRIM('MSR RAW'!C232))-1),"")</f>
        <v/>
      </c>
      <c r="F232" t="str">
        <f>IF(E232="","",TRIM(MID(TRIM('MSR RAW'!C232),SEARCH(" - ",TRIM('MSR RAW'!C232))+3,LEN(TRIM('MSR RAW'!C232))-SEARCH(" - ",TRIM('MSR RAW'!C232))-9)))</f>
        <v/>
      </c>
      <c r="G232" t="str">
        <f>IF(E232="","",IFERROR(VLOOKUP(E232,'CATEGORY MAP'!$A$2:$B$20,2,FALSE()),"REVIEW"))</f>
        <v/>
      </c>
      <c r="H232" t="str">
        <f>IF(E232="","",IFERROR(VALUE(SUBSTITUTE('MSR RAW'!P232,",","")),0))</f>
        <v/>
      </c>
      <c r="I232" t="str">
        <f>IF(E232="","",IFERROR(VALUE(SUBSTITUTE('MSR RAW'!S232,",","")),0))</f>
        <v/>
      </c>
    </row>
    <row r="233" spans="1:9" ht="68.650000000000006" customHeight="1" x14ac:dyDescent="0.2">
      <c r="A233">
        <v>233</v>
      </c>
      <c r="B23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33" t="str">
        <f>IF(LEFT(TRIM('MSR RAW'!A233),11)="Department:",TRIM('MSR RAW'!A233),C232)</f>
        <v>Department: 36637 - SPECIALTY CONCESSIONS (VENDING)</v>
      </c>
      <c r="D233" t="str">
        <f>IF(LEFT(TRIM('MSR RAW'!B233),9)="Location:",TRIM(MID('MSR RAW'!B233,10,999)),D232)</f>
        <v>FB 155 - SUB ISLAND NOODLES</v>
      </c>
      <c r="E233" t="str">
        <f>IF(AND(ISNUMBER(SEARCH(" - ",TRIM('MSR RAW'!C233))),RIGHT(TRIM('MSR RAW'!C233),6)="Total:"),LEFT(TRIM('MSR RAW'!C233),SEARCH(" - ",TRIM('MSR RAW'!C233))-1),"")</f>
        <v/>
      </c>
      <c r="F233" t="str">
        <f>IF(E233="","",TRIM(MID(TRIM('MSR RAW'!C233),SEARCH(" - ",TRIM('MSR RAW'!C233))+3,LEN(TRIM('MSR RAW'!C233))-SEARCH(" - ",TRIM('MSR RAW'!C233))-9)))</f>
        <v/>
      </c>
      <c r="G233" t="str">
        <f>IF(E233="","",IFERROR(VLOOKUP(E233,'CATEGORY MAP'!$A$2:$B$20,2,FALSE()),"REVIEW"))</f>
        <v/>
      </c>
      <c r="H233" t="str">
        <f>IF(E233="","",IFERROR(VALUE(SUBSTITUTE('MSR RAW'!P233,",","")),0))</f>
        <v/>
      </c>
      <c r="I233" t="str">
        <f>IF(E233="","",IFERROR(VALUE(SUBSTITUTE('MSR RAW'!S233,",","")),0))</f>
        <v/>
      </c>
    </row>
    <row r="234" spans="1:9" ht="68.650000000000006" customHeight="1" x14ac:dyDescent="0.2">
      <c r="A234">
        <v>234</v>
      </c>
      <c r="B23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34" t="str">
        <f>IF(LEFT(TRIM('MSR RAW'!A234),11)="Department:",TRIM('MSR RAW'!A234),C233)</f>
        <v>Department: 36637 - SPECIALTY CONCESSIONS (VENDING)</v>
      </c>
      <c r="D234" t="str">
        <f>IF(LEFT(TRIM('MSR RAW'!B234),9)="Location:",TRIM(MID('MSR RAW'!B234,10,999)),D233)</f>
        <v>FB 155 - SUB ISLAND NOODLES</v>
      </c>
      <c r="E234" t="str">
        <f>IF(AND(ISNUMBER(SEARCH(" - ",TRIM('MSR RAW'!C234))),RIGHT(TRIM('MSR RAW'!C234),6)="Total:"),LEFT(TRIM('MSR RAW'!C234),SEARCH(" - ",TRIM('MSR RAW'!C234))-1),"")</f>
        <v/>
      </c>
      <c r="F234" t="str">
        <f>IF(E234="","",TRIM(MID(TRIM('MSR RAW'!C234),SEARCH(" - ",TRIM('MSR RAW'!C234))+3,LEN(TRIM('MSR RAW'!C234))-SEARCH(" - ",TRIM('MSR RAW'!C234))-9)))</f>
        <v/>
      </c>
      <c r="G234" t="str">
        <f>IF(E234="","",IFERROR(VLOOKUP(E234,'CATEGORY MAP'!$A$2:$B$20,2,FALSE()),"REVIEW"))</f>
        <v/>
      </c>
      <c r="H234" t="str">
        <f>IF(E234="","",IFERROR(VALUE(SUBSTITUTE('MSR RAW'!P234,",","")),0))</f>
        <v/>
      </c>
      <c r="I234" t="str">
        <f>IF(E234="","",IFERROR(VALUE(SUBSTITUTE('MSR RAW'!S234,",","")),0))</f>
        <v/>
      </c>
    </row>
    <row r="235" spans="1:9" ht="68.650000000000006" customHeight="1" x14ac:dyDescent="0.2">
      <c r="A235">
        <v>235</v>
      </c>
      <c r="B23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35" t="str">
        <f>IF(LEFT(TRIM('MSR RAW'!A235),11)="Department:",TRIM('MSR RAW'!A235),C234)</f>
        <v>Department: 36637 - SPECIALTY CONCESSIONS (VENDING)</v>
      </c>
      <c r="D235" t="str">
        <f>IF(LEFT(TRIM('MSR RAW'!B235),9)="Location:",TRIM(MID('MSR RAW'!B235,10,999)),D234)</f>
        <v>FB 155 - SUB ISLAND NOODLES</v>
      </c>
      <c r="E235" t="str">
        <f>IF(AND(ISNUMBER(SEARCH(" - ",TRIM('MSR RAW'!C235))),RIGHT(TRIM('MSR RAW'!C235),6)="Total:"),LEFT(TRIM('MSR RAW'!C235),SEARCH(" - ",TRIM('MSR RAW'!C235))-1),"")</f>
        <v/>
      </c>
      <c r="F235" t="str">
        <f>IF(E235="","",TRIM(MID(TRIM('MSR RAW'!C235),SEARCH(" - ",TRIM('MSR RAW'!C235))+3,LEN(TRIM('MSR RAW'!C235))-SEARCH(" - ",TRIM('MSR RAW'!C235))-9)))</f>
        <v/>
      </c>
      <c r="G235" t="str">
        <f>IF(E235="","",IFERROR(VLOOKUP(E235,'CATEGORY MAP'!$A$2:$B$20,2,FALSE()),"REVIEW"))</f>
        <v/>
      </c>
      <c r="H235" t="str">
        <f>IF(E235="","",IFERROR(VALUE(SUBSTITUTE('MSR RAW'!P235,",","")),0))</f>
        <v/>
      </c>
      <c r="I235" t="str">
        <f>IF(E235="","",IFERROR(VALUE(SUBSTITUTE('MSR RAW'!S235,",","")),0))</f>
        <v/>
      </c>
    </row>
    <row r="236" spans="1:9" ht="68.650000000000006" customHeight="1" x14ac:dyDescent="0.2">
      <c r="A236">
        <v>236</v>
      </c>
      <c r="B23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36" t="str">
        <f>IF(LEFT(TRIM('MSR RAW'!A236),11)="Department:",TRIM('MSR RAW'!A236),C235)</f>
        <v>Department: 36637 - SPECIALTY CONCESSIONS (VENDING)</v>
      </c>
      <c r="D236" t="str">
        <f>IF(LEFT(TRIM('MSR RAW'!B236),9)="Location:",TRIM(MID('MSR RAW'!B236,10,999)),D235)</f>
        <v>FB 155 - SUB ISLAND NOODLES</v>
      </c>
      <c r="E236" t="str">
        <f>IF(AND(ISNUMBER(SEARCH(" - ",TRIM('MSR RAW'!C236))),RIGHT(TRIM('MSR RAW'!C236),6)="Total:"),LEFT(TRIM('MSR RAW'!C236),SEARCH(" - ",TRIM('MSR RAW'!C236))-1),"")</f>
        <v/>
      </c>
      <c r="F236" t="str">
        <f>IF(E236="","",TRIM(MID(TRIM('MSR RAW'!C236),SEARCH(" - ",TRIM('MSR RAW'!C236))+3,LEN(TRIM('MSR RAW'!C236))-SEARCH(" - ",TRIM('MSR RAW'!C236))-9)))</f>
        <v/>
      </c>
      <c r="G236" t="str">
        <f>IF(E236="","",IFERROR(VLOOKUP(E236,'CATEGORY MAP'!$A$2:$B$20,2,FALSE()),"REVIEW"))</f>
        <v/>
      </c>
      <c r="H236" t="str">
        <f>IF(E236="","",IFERROR(VALUE(SUBSTITUTE('MSR RAW'!P236,",","")),0))</f>
        <v/>
      </c>
      <c r="I236" t="str">
        <f>IF(E236="","",IFERROR(VALUE(SUBSTITUTE('MSR RAW'!S236,",","")),0))</f>
        <v/>
      </c>
    </row>
    <row r="237" spans="1:9" ht="68.650000000000006" customHeight="1" x14ac:dyDescent="0.2">
      <c r="A237">
        <v>237</v>
      </c>
      <c r="B23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37" t="str">
        <f>IF(LEFT(TRIM('MSR RAW'!A237),11)="Department:",TRIM('MSR RAW'!A237),C236)</f>
        <v>Department: 36637 - SPECIALTY CONCESSIONS (VENDING)</v>
      </c>
      <c r="D237" t="str">
        <f>IF(LEFT(TRIM('MSR RAW'!B237),9)="Location:",TRIM(MID('MSR RAW'!B237,10,999)),D236)</f>
        <v>FB 155 - SUB ISLAND NOODLES</v>
      </c>
      <c r="E237" t="str">
        <f>IF(AND(ISNUMBER(SEARCH(" - ",TRIM('MSR RAW'!C237))),RIGHT(TRIM('MSR RAW'!C237),6)="Total:"),LEFT(TRIM('MSR RAW'!C237),SEARCH(" - ",TRIM('MSR RAW'!C237))-1),"")</f>
        <v/>
      </c>
      <c r="F237" t="str">
        <f>IF(E237="","",TRIM(MID(TRIM('MSR RAW'!C237),SEARCH(" - ",TRIM('MSR RAW'!C237))+3,LEN(TRIM('MSR RAW'!C237))-SEARCH(" - ",TRIM('MSR RAW'!C237))-9)))</f>
        <v/>
      </c>
      <c r="G237" t="str">
        <f>IF(E237="","",IFERROR(VLOOKUP(E237,'CATEGORY MAP'!$A$2:$B$20,2,FALSE()),"REVIEW"))</f>
        <v/>
      </c>
      <c r="H237" t="str">
        <f>IF(E237="","",IFERROR(VALUE(SUBSTITUTE('MSR RAW'!P237,",","")),0))</f>
        <v/>
      </c>
      <c r="I237" t="str">
        <f>IF(E237="","",IFERROR(VALUE(SUBSTITUTE('MSR RAW'!S237,",","")),0))</f>
        <v/>
      </c>
    </row>
    <row r="238" spans="1:9" ht="68.650000000000006" customHeight="1" x14ac:dyDescent="0.2">
      <c r="A238">
        <v>238</v>
      </c>
      <c r="B23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38" t="str">
        <f>IF(LEFT(TRIM('MSR RAW'!A238),11)="Department:",TRIM('MSR RAW'!A238),C237)</f>
        <v>Department: 36637 - SPECIALTY CONCESSIONS (VENDING)</v>
      </c>
      <c r="D238" t="str">
        <f>IF(LEFT(TRIM('MSR RAW'!B238),9)="Location:",TRIM(MID('MSR RAW'!B238,10,999)),D237)</f>
        <v>FB 155 - SUB ISLAND NOODLES</v>
      </c>
      <c r="E238" t="str">
        <f>IF(AND(ISNUMBER(SEARCH(" - ",TRIM('MSR RAW'!C238))),RIGHT(TRIM('MSR RAW'!C238),6)="Total:"),LEFT(TRIM('MSR RAW'!C238),SEARCH(" - ",TRIM('MSR RAW'!C238))-1),"")</f>
        <v/>
      </c>
      <c r="F238" t="str">
        <f>IF(E238="","",TRIM(MID(TRIM('MSR RAW'!C238),SEARCH(" - ",TRIM('MSR RAW'!C238))+3,LEN(TRIM('MSR RAW'!C238))-SEARCH(" - ",TRIM('MSR RAW'!C238))-9)))</f>
        <v/>
      </c>
      <c r="G238" t="str">
        <f>IF(E238="","",IFERROR(VLOOKUP(E238,'CATEGORY MAP'!$A$2:$B$20,2,FALSE()),"REVIEW"))</f>
        <v/>
      </c>
      <c r="H238" t="str">
        <f>IF(E238="","",IFERROR(VALUE(SUBSTITUTE('MSR RAW'!P238,",","")),0))</f>
        <v/>
      </c>
      <c r="I238" t="str">
        <f>IF(E238="","",IFERROR(VALUE(SUBSTITUTE('MSR RAW'!S238,",","")),0))</f>
        <v/>
      </c>
    </row>
    <row r="239" spans="1:9" ht="68.650000000000006" customHeight="1" x14ac:dyDescent="0.2">
      <c r="A239">
        <v>239</v>
      </c>
      <c r="B23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39" t="str">
        <f>IF(LEFT(TRIM('MSR RAW'!A239),11)="Department:",TRIM('MSR RAW'!A239),C238)</f>
        <v>Department: 36637 - SPECIALTY CONCESSIONS (VENDING)</v>
      </c>
      <c r="D239" t="str">
        <f>IF(LEFT(TRIM('MSR RAW'!B239),9)="Location:",TRIM(MID('MSR RAW'!B239,10,999)),D238)</f>
        <v>FB 155 - SUB ISLAND NOODLES</v>
      </c>
      <c r="E239" t="str">
        <f>IF(AND(ISNUMBER(SEARCH(" - ",TRIM('MSR RAW'!C239))),RIGHT(TRIM('MSR RAW'!C239),6)="Total:"),LEFT(TRIM('MSR RAW'!C239),SEARCH(" - ",TRIM('MSR RAW'!C239))-1),"")</f>
        <v/>
      </c>
      <c r="F239" t="str">
        <f>IF(E239="","",TRIM(MID(TRIM('MSR RAW'!C239),SEARCH(" - ",TRIM('MSR RAW'!C239))+3,LEN(TRIM('MSR RAW'!C239))-SEARCH(" - ",TRIM('MSR RAW'!C239))-9)))</f>
        <v/>
      </c>
      <c r="G239" t="str">
        <f>IF(E239="","",IFERROR(VLOOKUP(E239,'CATEGORY MAP'!$A$2:$B$20,2,FALSE()),"REVIEW"))</f>
        <v/>
      </c>
      <c r="H239" t="str">
        <f>IF(E239="","",IFERROR(VALUE(SUBSTITUTE('MSR RAW'!P239,",","")),0))</f>
        <v/>
      </c>
      <c r="I239" t="str">
        <f>IF(E239="","",IFERROR(VALUE(SUBSTITUTE('MSR RAW'!S239,",","")),0))</f>
        <v/>
      </c>
    </row>
    <row r="240" spans="1:9" ht="68.650000000000006" customHeight="1" x14ac:dyDescent="0.2">
      <c r="A240">
        <v>240</v>
      </c>
      <c r="B24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40" t="str">
        <f>IF(LEFT(TRIM('MSR RAW'!A240),11)="Department:",TRIM('MSR RAW'!A240),C239)</f>
        <v>Department: 36637 - SPECIALTY CONCESSIONS (VENDING)</v>
      </c>
      <c r="D240" t="str">
        <f>IF(LEFT(TRIM('MSR RAW'!B240),9)="Location:",TRIM(MID('MSR RAW'!B240,10,999)),D239)</f>
        <v>FB 155 - SUB ISLAND NOODLES</v>
      </c>
      <c r="E240" t="str">
        <f>IF(AND(ISNUMBER(SEARCH(" - ",TRIM('MSR RAW'!C240))),RIGHT(TRIM('MSR RAW'!C240),6)="Total:"),LEFT(TRIM('MSR RAW'!C240),SEARCH(" - ",TRIM('MSR RAW'!C240))-1),"")</f>
        <v/>
      </c>
      <c r="F240" t="str">
        <f>IF(E240="","",TRIM(MID(TRIM('MSR RAW'!C240),SEARCH(" - ",TRIM('MSR RAW'!C240))+3,LEN(TRIM('MSR RAW'!C240))-SEARCH(" - ",TRIM('MSR RAW'!C240))-9)))</f>
        <v/>
      </c>
      <c r="G240" t="str">
        <f>IF(E240="","",IFERROR(VLOOKUP(E240,'CATEGORY MAP'!$A$2:$B$20,2,FALSE()),"REVIEW"))</f>
        <v/>
      </c>
      <c r="H240" t="str">
        <f>IF(E240="","",IFERROR(VALUE(SUBSTITUTE('MSR RAW'!P240,",","")),0))</f>
        <v/>
      </c>
      <c r="I240" t="str">
        <f>IF(E240="","",IFERROR(VALUE(SUBSTITUTE('MSR RAW'!S240,",","")),0))</f>
        <v/>
      </c>
    </row>
    <row r="241" spans="1:9" ht="68.650000000000006" customHeight="1" x14ac:dyDescent="0.2">
      <c r="A241">
        <v>241</v>
      </c>
      <c r="B24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41" t="str">
        <f>IF(LEFT(TRIM('MSR RAW'!A241),11)="Department:",TRIM('MSR RAW'!A241),C240)</f>
        <v>Department: 36637 - SPECIALTY CONCESSIONS (VENDING)</v>
      </c>
      <c r="D241" t="str">
        <f>IF(LEFT(TRIM('MSR RAW'!B241),9)="Location:",TRIM(MID('MSR RAW'!B241,10,999)),D240)</f>
        <v>FB 155 - SUB ISLAND NOODLES</v>
      </c>
      <c r="E241" t="str">
        <f>IF(AND(ISNUMBER(SEARCH(" - ",TRIM('MSR RAW'!C241))),RIGHT(TRIM('MSR RAW'!C241),6)="Total:"),LEFT(TRIM('MSR RAW'!C241),SEARCH(" - ",TRIM('MSR RAW'!C241))-1),"")</f>
        <v/>
      </c>
      <c r="F241" t="str">
        <f>IF(E241="","",TRIM(MID(TRIM('MSR RAW'!C241),SEARCH(" - ",TRIM('MSR RAW'!C241))+3,LEN(TRIM('MSR RAW'!C241))-SEARCH(" - ",TRIM('MSR RAW'!C241))-9)))</f>
        <v/>
      </c>
      <c r="G241" t="str">
        <f>IF(E241="","",IFERROR(VLOOKUP(E241,'CATEGORY MAP'!$A$2:$B$20,2,FALSE()),"REVIEW"))</f>
        <v/>
      </c>
      <c r="H241" t="str">
        <f>IF(E241="","",IFERROR(VALUE(SUBSTITUTE('MSR RAW'!P241,",","")),0))</f>
        <v/>
      </c>
      <c r="I241" t="str">
        <f>IF(E241="","",IFERROR(VALUE(SUBSTITUTE('MSR RAW'!S241,",","")),0))</f>
        <v/>
      </c>
    </row>
    <row r="242" spans="1:9" ht="68.650000000000006" customHeight="1" x14ac:dyDescent="0.2">
      <c r="A242">
        <v>242</v>
      </c>
      <c r="B24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42" t="str">
        <f>IF(LEFT(TRIM('MSR RAW'!A242),11)="Department:",TRIM('MSR RAW'!A242),C241)</f>
        <v>Department: 36637 - SPECIALTY CONCESSIONS (VENDING)</v>
      </c>
      <c r="D242" t="str">
        <f>IF(LEFT(TRIM('MSR RAW'!B242),9)="Location:",TRIM(MID('MSR RAW'!B242,10,999)),D241)</f>
        <v>FB 155 - SUB ISLAND NOODLES</v>
      </c>
      <c r="E242" t="str">
        <f>IF(AND(ISNUMBER(SEARCH(" - ",TRIM('MSR RAW'!C242))),RIGHT(TRIM('MSR RAW'!C242),6)="Total:"),LEFT(TRIM('MSR RAW'!C242),SEARCH(" - ",TRIM('MSR RAW'!C242))-1),"")</f>
        <v/>
      </c>
      <c r="F242" t="str">
        <f>IF(E242="","",TRIM(MID(TRIM('MSR RAW'!C242),SEARCH(" - ",TRIM('MSR RAW'!C242))+3,LEN(TRIM('MSR RAW'!C242))-SEARCH(" - ",TRIM('MSR RAW'!C242))-9)))</f>
        <v/>
      </c>
      <c r="G242" t="str">
        <f>IF(E242="","",IFERROR(VLOOKUP(E242,'CATEGORY MAP'!$A$2:$B$20,2,FALSE()),"REVIEW"))</f>
        <v/>
      </c>
      <c r="H242" t="str">
        <f>IF(E242="","",IFERROR(VALUE(SUBSTITUTE('MSR RAW'!P242,",","")),0))</f>
        <v/>
      </c>
      <c r="I242" t="str">
        <f>IF(E242="","",IFERROR(VALUE(SUBSTITUTE('MSR RAW'!S242,",","")),0))</f>
        <v/>
      </c>
    </row>
    <row r="243" spans="1:9" ht="68.650000000000006" customHeight="1" x14ac:dyDescent="0.2">
      <c r="A243">
        <v>243</v>
      </c>
      <c r="B24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43" t="str">
        <f>IF(LEFT(TRIM('MSR RAW'!A243),11)="Department:",TRIM('MSR RAW'!A243),C242)</f>
        <v>Department: 36637 - SPECIALTY CONCESSIONS (VENDING)</v>
      </c>
      <c r="D243" t="str">
        <f>IF(LEFT(TRIM('MSR RAW'!B243),9)="Location:",TRIM(MID('MSR RAW'!B243,10,999)),D242)</f>
        <v>FB 155 - SUB ISLAND NOODLES</v>
      </c>
      <c r="E243" t="str">
        <f>IF(AND(ISNUMBER(SEARCH(" - ",TRIM('MSR RAW'!C243))),RIGHT(TRIM('MSR RAW'!C243),6)="Total:"),LEFT(TRIM('MSR RAW'!C243),SEARCH(" - ",TRIM('MSR RAW'!C243))-1),"")</f>
        <v/>
      </c>
      <c r="F243" t="str">
        <f>IF(E243="","",TRIM(MID(TRIM('MSR RAW'!C243),SEARCH(" - ",TRIM('MSR RAW'!C243))+3,LEN(TRIM('MSR RAW'!C243))-SEARCH(" - ",TRIM('MSR RAW'!C243))-9)))</f>
        <v/>
      </c>
      <c r="G243" t="str">
        <f>IF(E243="","",IFERROR(VLOOKUP(E243,'CATEGORY MAP'!$A$2:$B$20,2,FALSE()),"REVIEW"))</f>
        <v/>
      </c>
      <c r="H243" t="str">
        <f>IF(E243="","",IFERROR(VALUE(SUBSTITUTE('MSR RAW'!P243,",","")),0))</f>
        <v/>
      </c>
      <c r="I243" t="str">
        <f>IF(E243="","",IFERROR(VALUE(SUBSTITUTE('MSR RAW'!S243,",","")),0))</f>
        <v/>
      </c>
    </row>
    <row r="244" spans="1:9" ht="68.650000000000006" customHeight="1" x14ac:dyDescent="0.2">
      <c r="A244">
        <v>244</v>
      </c>
      <c r="B24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44" t="str">
        <f>IF(LEFT(TRIM('MSR RAW'!A244),11)="Department:",TRIM('MSR RAW'!A244),C243)</f>
        <v>Department: 36637 - SPECIALTY CONCESSIONS (VENDING)</v>
      </c>
      <c r="D244" t="str">
        <f>IF(LEFT(TRIM('MSR RAW'!B244),9)="Location:",TRIM(MID('MSR RAW'!B244,10,999)),D243)</f>
        <v>FB 155 - SUB ISLAND NOODLES</v>
      </c>
      <c r="E244" t="str">
        <f>IF(AND(ISNUMBER(SEARCH(" - ",TRIM('MSR RAW'!C244))),RIGHT(TRIM('MSR RAW'!C244),6)="Total:"),LEFT(TRIM('MSR RAW'!C244),SEARCH(" - ",TRIM('MSR RAW'!C244))-1),"")</f>
        <v/>
      </c>
      <c r="F244" t="str">
        <f>IF(E244="","",TRIM(MID(TRIM('MSR RAW'!C244),SEARCH(" - ",TRIM('MSR RAW'!C244))+3,LEN(TRIM('MSR RAW'!C244))-SEARCH(" - ",TRIM('MSR RAW'!C244))-9)))</f>
        <v/>
      </c>
      <c r="G244" t="str">
        <f>IF(E244="","",IFERROR(VLOOKUP(E244,'CATEGORY MAP'!$A$2:$B$20,2,FALSE()),"REVIEW"))</f>
        <v/>
      </c>
      <c r="H244" t="str">
        <f>IF(E244="","",IFERROR(VALUE(SUBSTITUTE('MSR RAW'!P244,",","")),0))</f>
        <v/>
      </c>
      <c r="I244" t="str">
        <f>IF(E244="","",IFERROR(VALUE(SUBSTITUTE('MSR RAW'!S244,",","")),0))</f>
        <v/>
      </c>
    </row>
    <row r="245" spans="1:9" ht="68.650000000000006" customHeight="1" x14ac:dyDescent="0.2">
      <c r="A245">
        <v>245</v>
      </c>
      <c r="B24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45" t="str">
        <f>IF(LEFT(TRIM('MSR RAW'!A245),11)="Department:",TRIM('MSR RAW'!A245),C244)</f>
        <v>Department: 36637 - SPECIALTY CONCESSIONS (VENDING)</v>
      </c>
      <c r="D245" t="str">
        <f>IF(LEFT(TRIM('MSR RAW'!B245),9)="Location:",TRIM(MID('MSR RAW'!B245,10,999)),D244)</f>
        <v>FB 155 - SUB ISLAND NOODLES</v>
      </c>
      <c r="E245" t="str">
        <f>IF(AND(ISNUMBER(SEARCH(" - ",TRIM('MSR RAW'!C245))),RIGHT(TRIM('MSR RAW'!C245),6)="Total:"),LEFT(TRIM('MSR RAW'!C245),SEARCH(" - ",TRIM('MSR RAW'!C245))-1),"")</f>
        <v/>
      </c>
      <c r="F245" t="str">
        <f>IF(E245="","",TRIM(MID(TRIM('MSR RAW'!C245),SEARCH(" - ",TRIM('MSR RAW'!C245))+3,LEN(TRIM('MSR RAW'!C245))-SEARCH(" - ",TRIM('MSR RAW'!C245))-9)))</f>
        <v/>
      </c>
      <c r="G245" t="str">
        <f>IF(E245="","",IFERROR(VLOOKUP(E245,'CATEGORY MAP'!$A$2:$B$20,2,FALSE()),"REVIEW"))</f>
        <v/>
      </c>
      <c r="H245" t="str">
        <f>IF(E245="","",IFERROR(VALUE(SUBSTITUTE('MSR RAW'!P245,",","")),0))</f>
        <v/>
      </c>
      <c r="I245" t="str">
        <f>IF(E245="","",IFERROR(VALUE(SUBSTITUTE('MSR RAW'!S245,",","")),0))</f>
        <v/>
      </c>
    </row>
    <row r="246" spans="1:9" ht="68.650000000000006" customHeight="1" x14ac:dyDescent="0.2">
      <c r="A246">
        <v>246</v>
      </c>
      <c r="B24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46" t="str">
        <f>IF(LEFT(TRIM('MSR RAW'!A246),11)="Department:",TRIM('MSR RAW'!A246),C245)</f>
        <v>Department: 36637 - SPECIALTY CONCESSIONS (VENDING)</v>
      </c>
      <c r="D246" t="str">
        <f>IF(LEFT(TRIM('MSR RAW'!B246),9)="Location:",TRIM(MID('MSR RAW'!B246,10,999)),D245)</f>
        <v>FB 155 - SUB ISLAND NOODLES</v>
      </c>
      <c r="E246" t="str">
        <f>IF(AND(ISNUMBER(SEARCH(" - ",TRIM('MSR RAW'!C246))),RIGHT(TRIM('MSR RAW'!C246),6)="Total:"),LEFT(TRIM('MSR RAW'!C246),SEARCH(" - ",TRIM('MSR RAW'!C246))-1),"")</f>
        <v/>
      </c>
      <c r="F246" t="str">
        <f>IF(E246="","",TRIM(MID(TRIM('MSR RAW'!C246),SEARCH(" - ",TRIM('MSR RAW'!C246))+3,LEN(TRIM('MSR RAW'!C246))-SEARCH(" - ",TRIM('MSR RAW'!C246))-9)))</f>
        <v/>
      </c>
      <c r="G246" t="str">
        <f>IF(E246="","",IFERROR(VLOOKUP(E246,'CATEGORY MAP'!$A$2:$B$20,2,FALSE()),"REVIEW"))</f>
        <v/>
      </c>
      <c r="H246" t="str">
        <f>IF(E246="","",IFERROR(VALUE(SUBSTITUTE('MSR RAW'!P246,",","")),0))</f>
        <v/>
      </c>
      <c r="I246" t="str">
        <f>IF(E246="","",IFERROR(VALUE(SUBSTITUTE('MSR RAW'!S246,",","")),0))</f>
        <v/>
      </c>
    </row>
    <row r="247" spans="1:9" ht="68.650000000000006" customHeight="1" x14ac:dyDescent="0.2">
      <c r="A247">
        <v>247</v>
      </c>
      <c r="B24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47" t="str">
        <f>IF(LEFT(TRIM('MSR RAW'!A247),11)="Department:",TRIM('MSR RAW'!A247),C246)</f>
        <v>Department: 36637 - SPECIALTY CONCESSIONS (VENDING)</v>
      </c>
      <c r="D247" t="str">
        <f>IF(LEFT(TRIM('MSR RAW'!B247),9)="Location:",TRIM(MID('MSR RAW'!B247,10,999)),D246)</f>
        <v>FB 155 - SUB ISLAND NOODLES</v>
      </c>
      <c r="E247" t="str">
        <f>IF(AND(ISNUMBER(SEARCH(" - ",TRIM('MSR RAW'!C247))),RIGHT(TRIM('MSR RAW'!C247),6)="Total:"),LEFT(TRIM('MSR RAW'!C247),SEARCH(" - ",TRIM('MSR RAW'!C247))-1),"")</f>
        <v/>
      </c>
      <c r="F247" t="str">
        <f>IF(E247="","",TRIM(MID(TRIM('MSR RAW'!C247),SEARCH(" - ",TRIM('MSR RAW'!C247))+3,LEN(TRIM('MSR RAW'!C247))-SEARCH(" - ",TRIM('MSR RAW'!C247))-9)))</f>
        <v/>
      </c>
      <c r="G247" t="str">
        <f>IF(E247="","",IFERROR(VLOOKUP(E247,'CATEGORY MAP'!$A$2:$B$20,2,FALSE()),"REVIEW"))</f>
        <v/>
      </c>
      <c r="H247" t="str">
        <f>IF(E247="","",IFERROR(VALUE(SUBSTITUTE('MSR RAW'!P247,",","")),0))</f>
        <v/>
      </c>
      <c r="I247" t="str">
        <f>IF(E247="","",IFERROR(VALUE(SUBSTITUTE('MSR RAW'!S247,",","")),0))</f>
        <v/>
      </c>
    </row>
    <row r="248" spans="1:9" ht="68.650000000000006" customHeight="1" x14ac:dyDescent="0.2">
      <c r="A248">
        <v>248</v>
      </c>
      <c r="B24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48" t="str">
        <f>IF(LEFT(TRIM('MSR RAW'!A248),11)="Department:",TRIM('MSR RAW'!A248),C247)</f>
        <v>Department: 36637 - SPECIALTY CONCESSIONS (VENDING)</v>
      </c>
      <c r="D248" t="str">
        <f>IF(LEFT(TRIM('MSR RAW'!B248),9)="Location:",TRIM(MID('MSR RAW'!B248,10,999)),D247)</f>
        <v>FB 155 - SUB ISLAND NOODLES</v>
      </c>
      <c r="E248" t="str">
        <f>IF(AND(ISNUMBER(SEARCH(" - ",TRIM('MSR RAW'!C248))),RIGHT(TRIM('MSR RAW'!C248),6)="Total:"),LEFT(TRIM('MSR RAW'!C248),SEARCH(" - ",TRIM('MSR RAW'!C248))-1),"")</f>
        <v/>
      </c>
      <c r="F248" t="str">
        <f>IF(E248="","",TRIM(MID(TRIM('MSR RAW'!C248),SEARCH(" - ",TRIM('MSR RAW'!C248))+3,LEN(TRIM('MSR RAW'!C248))-SEARCH(" - ",TRIM('MSR RAW'!C248))-9)))</f>
        <v/>
      </c>
      <c r="G248" t="str">
        <f>IF(E248="","",IFERROR(VLOOKUP(E248,'CATEGORY MAP'!$A$2:$B$20,2,FALSE()),"REVIEW"))</f>
        <v/>
      </c>
      <c r="H248" t="str">
        <f>IF(E248="","",IFERROR(VALUE(SUBSTITUTE('MSR RAW'!P248,",","")),0))</f>
        <v/>
      </c>
      <c r="I248" t="str">
        <f>IF(E248="","",IFERROR(VALUE(SUBSTITUTE('MSR RAW'!S248,",","")),0))</f>
        <v/>
      </c>
    </row>
    <row r="249" spans="1:9" ht="68.650000000000006" customHeight="1" x14ac:dyDescent="0.2">
      <c r="A249">
        <v>249</v>
      </c>
      <c r="B24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49" t="str">
        <f>IF(LEFT(TRIM('MSR RAW'!A249),11)="Department:",TRIM('MSR RAW'!A249),C248)</f>
        <v>Department: 36637 - SPECIALTY CONCESSIONS (VENDING)</v>
      </c>
      <c r="D249" t="str">
        <f>IF(LEFT(TRIM('MSR RAW'!B249),9)="Location:",TRIM(MID('MSR RAW'!B249,10,999)),D248)</f>
        <v>FB 155 - SUB ISLAND NOODLES</v>
      </c>
      <c r="E249" t="str">
        <f>IF(AND(ISNUMBER(SEARCH(" - ",TRIM('MSR RAW'!C249))),RIGHT(TRIM('MSR RAW'!C249),6)="Total:"),LEFT(TRIM('MSR RAW'!C249),SEARCH(" - ",TRIM('MSR RAW'!C249))-1),"")</f>
        <v/>
      </c>
      <c r="F249" t="str">
        <f>IF(E249="","",TRIM(MID(TRIM('MSR RAW'!C249),SEARCH(" - ",TRIM('MSR RAW'!C249))+3,LEN(TRIM('MSR RAW'!C249))-SEARCH(" - ",TRIM('MSR RAW'!C249))-9)))</f>
        <v/>
      </c>
      <c r="G249" t="str">
        <f>IF(E249="","",IFERROR(VLOOKUP(E249,'CATEGORY MAP'!$A$2:$B$20,2,FALSE()),"REVIEW"))</f>
        <v/>
      </c>
      <c r="H249" t="str">
        <f>IF(E249="","",IFERROR(VALUE(SUBSTITUTE('MSR RAW'!P249,",","")),0))</f>
        <v/>
      </c>
      <c r="I249" t="str">
        <f>IF(E249="","",IFERROR(VALUE(SUBSTITUTE('MSR RAW'!S249,",","")),0))</f>
        <v/>
      </c>
    </row>
    <row r="250" spans="1:9" ht="68.650000000000006" customHeight="1" x14ac:dyDescent="0.2">
      <c r="A250">
        <v>250</v>
      </c>
      <c r="B25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50" t="str">
        <f>IF(LEFT(TRIM('MSR RAW'!A250),11)="Department:",TRIM('MSR RAW'!A250),C249)</f>
        <v>Department: 36637 - SPECIALTY CONCESSIONS (VENDING)</v>
      </c>
      <c r="D250" t="str">
        <f>IF(LEFT(TRIM('MSR RAW'!B250),9)="Location:",TRIM(MID('MSR RAW'!B250,10,999)),D249)</f>
        <v>FB 155 - SUB ISLAND NOODLES</v>
      </c>
      <c r="E250" t="str">
        <f>IF(AND(ISNUMBER(SEARCH(" - ",TRIM('MSR RAW'!C250))),RIGHT(TRIM('MSR RAW'!C250),6)="Total:"),LEFT(TRIM('MSR RAW'!C250),SEARCH(" - ",TRIM('MSR RAW'!C250))-1),"")</f>
        <v/>
      </c>
      <c r="F250" t="str">
        <f>IF(E250="","",TRIM(MID(TRIM('MSR RAW'!C250),SEARCH(" - ",TRIM('MSR RAW'!C250))+3,LEN(TRIM('MSR RAW'!C250))-SEARCH(" - ",TRIM('MSR RAW'!C250))-9)))</f>
        <v/>
      </c>
      <c r="G250" t="str">
        <f>IF(E250="","",IFERROR(VLOOKUP(E250,'CATEGORY MAP'!$A$2:$B$20,2,FALSE()),"REVIEW"))</f>
        <v/>
      </c>
      <c r="H250" t="str">
        <f>IF(E250="","",IFERROR(VALUE(SUBSTITUTE('MSR RAW'!P250,",","")),0))</f>
        <v/>
      </c>
      <c r="I250" t="str">
        <f>IF(E250="","",IFERROR(VALUE(SUBSTITUTE('MSR RAW'!S250,",","")),0))</f>
        <v/>
      </c>
    </row>
    <row r="251" spans="1:9" ht="68.650000000000006" customHeight="1" x14ac:dyDescent="0.2">
      <c r="A251">
        <v>251</v>
      </c>
      <c r="B25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51" t="str">
        <f>IF(LEFT(TRIM('MSR RAW'!A251),11)="Department:",TRIM('MSR RAW'!A251),C250)</f>
        <v>Department: 36637 - SPECIALTY CONCESSIONS (VENDING)</v>
      </c>
      <c r="D251" t="str">
        <f>IF(LEFT(TRIM('MSR RAW'!B251),9)="Location:",TRIM(MID('MSR RAW'!B251,10,999)),D250)</f>
        <v>FB 155 - SUB ISLAND NOODLES</v>
      </c>
      <c r="E251" t="str">
        <f>IF(AND(ISNUMBER(SEARCH(" - ",TRIM('MSR RAW'!C251))),RIGHT(TRIM('MSR RAW'!C251),6)="Total:"),LEFT(TRIM('MSR RAW'!C251),SEARCH(" - ",TRIM('MSR RAW'!C251))-1),"")</f>
        <v/>
      </c>
      <c r="F251" t="str">
        <f>IF(E251="","",TRIM(MID(TRIM('MSR RAW'!C251),SEARCH(" - ",TRIM('MSR RAW'!C251))+3,LEN(TRIM('MSR RAW'!C251))-SEARCH(" - ",TRIM('MSR RAW'!C251))-9)))</f>
        <v/>
      </c>
      <c r="G251" t="str">
        <f>IF(E251="","",IFERROR(VLOOKUP(E251,'CATEGORY MAP'!$A$2:$B$20,2,FALSE()),"REVIEW"))</f>
        <v/>
      </c>
      <c r="H251" t="str">
        <f>IF(E251="","",IFERROR(VALUE(SUBSTITUTE('MSR RAW'!P251,",","")),0))</f>
        <v/>
      </c>
      <c r="I251" t="str">
        <f>IF(E251="","",IFERROR(VALUE(SUBSTITUTE('MSR RAW'!S251,",","")),0))</f>
        <v/>
      </c>
    </row>
    <row r="252" spans="1:9" ht="68.650000000000006" customHeight="1" x14ac:dyDescent="0.2">
      <c r="A252">
        <v>252</v>
      </c>
      <c r="B25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52" t="str">
        <f>IF(LEFT(TRIM('MSR RAW'!A252),11)="Department:",TRIM('MSR RAW'!A252),C251)</f>
        <v>Department: 36637 - SPECIALTY CONCESSIONS (VENDING)</v>
      </c>
      <c r="D252" t="str">
        <f>IF(LEFT(TRIM('MSR RAW'!B252),9)="Location:",TRIM(MID('MSR RAW'!B252,10,999)),D251)</f>
        <v>FB 155 - SUB ISLAND NOODLES</v>
      </c>
      <c r="E252" t="str">
        <f>IF(AND(ISNUMBER(SEARCH(" - ",TRIM('MSR RAW'!C252))),RIGHT(TRIM('MSR RAW'!C252),6)="Total:"),LEFT(TRIM('MSR RAW'!C252),SEARCH(" - ",TRIM('MSR RAW'!C252))-1),"")</f>
        <v/>
      </c>
      <c r="F252" t="str">
        <f>IF(E252="","",TRIM(MID(TRIM('MSR RAW'!C252),SEARCH(" - ",TRIM('MSR RAW'!C252))+3,LEN(TRIM('MSR RAW'!C252))-SEARCH(" - ",TRIM('MSR RAW'!C252))-9)))</f>
        <v/>
      </c>
      <c r="G252" t="str">
        <f>IF(E252="","",IFERROR(VLOOKUP(E252,'CATEGORY MAP'!$A$2:$B$20,2,FALSE()),"REVIEW"))</f>
        <v/>
      </c>
      <c r="H252" t="str">
        <f>IF(E252="","",IFERROR(VALUE(SUBSTITUTE('MSR RAW'!P252,",","")),0))</f>
        <v/>
      </c>
      <c r="I252" t="str">
        <f>IF(E252="","",IFERROR(VALUE(SUBSTITUTE('MSR RAW'!S252,",","")),0))</f>
        <v/>
      </c>
    </row>
    <row r="253" spans="1:9" ht="68.650000000000006" customHeight="1" x14ac:dyDescent="0.2">
      <c r="A253">
        <v>253</v>
      </c>
      <c r="B25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53" t="str">
        <f>IF(LEFT(TRIM('MSR RAW'!A253),11)="Department:",TRIM('MSR RAW'!A253),C252)</f>
        <v>Department: 36637 - SPECIALTY CONCESSIONS (VENDING)</v>
      </c>
      <c r="D253" t="str">
        <f>IF(LEFT(TRIM('MSR RAW'!B253),9)="Location:",TRIM(MID('MSR RAW'!B253,10,999)),D252)</f>
        <v>FB 155 - SUB ISLAND NOODLES</v>
      </c>
      <c r="E253" t="str">
        <f>IF(AND(ISNUMBER(SEARCH(" - ",TRIM('MSR RAW'!C253))),RIGHT(TRIM('MSR RAW'!C253),6)="Total:"),LEFT(TRIM('MSR RAW'!C253),SEARCH(" - ",TRIM('MSR RAW'!C253))-1),"")</f>
        <v/>
      </c>
      <c r="F253" t="str">
        <f>IF(E253="","",TRIM(MID(TRIM('MSR RAW'!C253),SEARCH(" - ",TRIM('MSR RAW'!C253))+3,LEN(TRIM('MSR RAW'!C253))-SEARCH(" - ",TRIM('MSR RAW'!C253))-9)))</f>
        <v/>
      </c>
      <c r="G253" t="str">
        <f>IF(E253="","",IFERROR(VLOOKUP(E253,'CATEGORY MAP'!$A$2:$B$20,2,FALSE()),"REVIEW"))</f>
        <v/>
      </c>
      <c r="H253" t="str">
        <f>IF(E253="","",IFERROR(VALUE(SUBSTITUTE('MSR RAW'!P253,",","")),0))</f>
        <v/>
      </c>
      <c r="I253" t="str">
        <f>IF(E253="","",IFERROR(VALUE(SUBSTITUTE('MSR RAW'!S253,",","")),0))</f>
        <v/>
      </c>
    </row>
    <row r="254" spans="1:9" ht="68.650000000000006" customHeight="1" x14ac:dyDescent="0.2">
      <c r="A254">
        <v>254</v>
      </c>
      <c r="B25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54" t="str">
        <f>IF(LEFT(TRIM('MSR RAW'!A254),11)="Department:",TRIM('MSR RAW'!A254),C253)</f>
        <v>Department: 36637 - SPECIALTY CONCESSIONS (VENDING)</v>
      </c>
      <c r="D254" t="str">
        <f>IF(LEFT(TRIM('MSR RAW'!B254),9)="Location:",TRIM(MID('MSR RAW'!B254,10,999)),D253)</f>
        <v>FB 155 - SUB ISLAND NOODLES</v>
      </c>
      <c r="E254" t="str">
        <f>IF(AND(ISNUMBER(SEARCH(" - ",TRIM('MSR RAW'!C254))),RIGHT(TRIM('MSR RAW'!C254),6)="Total:"),LEFT(TRIM('MSR RAW'!C254),SEARCH(" - ",TRIM('MSR RAW'!C254))-1),"")</f>
        <v/>
      </c>
      <c r="F254" t="str">
        <f>IF(E254="","",TRIM(MID(TRIM('MSR RAW'!C254),SEARCH(" - ",TRIM('MSR RAW'!C254))+3,LEN(TRIM('MSR RAW'!C254))-SEARCH(" - ",TRIM('MSR RAW'!C254))-9)))</f>
        <v/>
      </c>
      <c r="G254" t="str">
        <f>IF(E254="","",IFERROR(VLOOKUP(E254,'CATEGORY MAP'!$A$2:$B$20,2,FALSE()),"REVIEW"))</f>
        <v/>
      </c>
      <c r="H254" t="str">
        <f>IF(E254="","",IFERROR(VALUE(SUBSTITUTE('MSR RAW'!P254,",","")),0))</f>
        <v/>
      </c>
      <c r="I254" t="str">
        <f>IF(E254="","",IFERROR(VALUE(SUBSTITUTE('MSR RAW'!S254,",","")),0))</f>
        <v/>
      </c>
    </row>
    <row r="255" spans="1:9" ht="68.650000000000006" customHeight="1" x14ac:dyDescent="0.2">
      <c r="A255">
        <v>255</v>
      </c>
      <c r="B25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55" t="str">
        <f>IF(LEFT(TRIM('MSR RAW'!A255),11)="Department:",TRIM('MSR RAW'!A255),C254)</f>
        <v>Department: 36637 - SPECIALTY CONCESSIONS (VENDING)</v>
      </c>
      <c r="D255" t="str">
        <f>IF(LEFT(TRIM('MSR RAW'!B255),9)="Location:",TRIM(MID('MSR RAW'!B255,10,999)),D254)</f>
        <v>FB 155 - SUB ISLAND NOODLES</v>
      </c>
      <c r="E255" t="str">
        <f>IF(AND(ISNUMBER(SEARCH(" - ",TRIM('MSR RAW'!C255))),RIGHT(TRIM('MSR RAW'!C255),6)="Total:"),LEFT(TRIM('MSR RAW'!C255),SEARCH(" - ",TRIM('MSR RAW'!C255))-1),"")</f>
        <v/>
      </c>
      <c r="F255" t="str">
        <f>IF(E255="","",TRIM(MID(TRIM('MSR RAW'!C255),SEARCH(" - ",TRIM('MSR RAW'!C255))+3,LEN(TRIM('MSR RAW'!C255))-SEARCH(" - ",TRIM('MSR RAW'!C255))-9)))</f>
        <v/>
      </c>
      <c r="G255" t="str">
        <f>IF(E255="","",IFERROR(VLOOKUP(E255,'CATEGORY MAP'!$A$2:$B$20,2,FALSE()),"REVIEW"))</f>
        <v/>
      </c>
      <c r="H255" t="str">
        <f>IF(E255="","",IFERROR(VALUE(SUBSTITUTE('MSR RAW'!P255,",","")),0))</f>
        <v/>
      </c>
      <c r="I255" t="str">
        <f>IF(E255="","",IFERROR(VALUE(SUBSTITUTE('MSR RAW'!S255,",","")),0))</f>
        <v/>
      </c>
    </row>
    <row r="256" spans="1:9" ht="68.650000000000006" customHeight="1" x14ac:dyDescent="0.2">
      <c r="A256">
        <v>256</v>
      </c>
      <c r="B25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56" t="str">
        <f>IF(LEFT(TRIM('MSR RAW'!A256),11)="Department:",TRIM('MSR RAW'!A256),C255)</f>
        <v>Department: 36637 - SPECIALTY CONCESSIONS (VENDING)</v>
      </c>
      <c r="D256" t="str">
        <f>IF(LEFT(TRIM('MSR RAW'!B256),9)="Location:",TRIM(MID('MSR RAW'!B256,10,999)),D255)</f>
        <v>FB 155 - SUB ISLAND NOODLES</v>
      </c>
      <c r="E256" t="str">
        <f>IF(AND(ISNUMBER(SEARCH(" - ",TRIM('MSR RAW'!C256))),RIGHT(TRIM('MSR RAW'!C256),6)="Total:"),LEFT(TRIM('MSR RAW'!C256),SEARCH(" - ",TRIM('MSR RAW'!C256))-1),"")</f>
        <v/>
      </c>
      <c r="F256" t="str">
        <f>IF(E256="","",TRIM(MID(TRIM('MSR RAW'!C256),SEARCH(" - ",TRIM('MSR RAW'!C256))+3,LEN(TRIM('MSR RAW'!C256))-SEARCH(" - ",TRIM('MSR RAW'!C256))-9)))</f>
        <v/>
      </c>
      <c r="G256" t="str">
        <f>IF(E256="","",IFERROR(VLOOKUP(E256,'CATEGORY MAP'!$A$2:$B$20,2,FALSE()),"REVIEW"))</f>
        <v/>
      </c>
      <c r="H256" t="str">
        <f>IF(E256="","",IFERROR(VALUE(SUBSTITUTE('MSR RAW'!P256,",","")),0))</f>
        <v/>
      </c>
      <c r="I256" t="str">
        <f>IF(E256="","",IFERROR(VALUE(SUBSTITUTE('MSR RAW'!S256,",","")),0))</f>
        <v/>
      </c>
    </row>
    <row r="257" spans="1:9" ht="68.650000000000006" customHeight="1" x14ac:dyDescent="0.2">
      <c r="A257">
        <v>257</v>
      </c>
      <c r="B25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57" t="str">
        <f>IF(LEFT(TRIM('MSR RAW'!A257),11)="Department:",TRIM('MSR RAW'!A257),C256)</f>
        <v>Department: 36637 - SPECIALTY CONCESSIONS (VENDING)</v>
      </c>
      <c r="D257" t="str">
        <f>IF(LEFT(TRIM('MSR RAW'!B257),9)="Location:",TRIM(MID('MSR RAW'!B257,10,999)),D256)</f>
        <v>FB 155 - SUB ISLAND NOODLES</v>
      </c>
      <c r="E257" t="str">
        <f>IF(AND(ISNUMBER(SEARCH(" - ",TRIM('MSR RAW'!C257))),RIGHT(TRIM('MSR RAW'!C257),6)="Total:"),LEFT(TRIM('MSR RAW'!C257),SEARCH(" - ",TRIM('MSR RAW'!C257))-1),"")</f>
        <v/>
      </c>
      <c r="F257" t="str">
        <f>IF(E257="","",TRIM(MID(TRIM('MSR RAW'!C257),SEARCH(" - ",TRIM('MSR RAW'!C257))+3,LEN(TRIM('MSR RAW'!C257))-SEARCH(" - ",TRIM('MSR RAW'!C257))-9)))</f>
        <v/>
      </c>
      <c r="G257" t="str">
        <f>IF(E257="","",IFERROR(VLOOKUP(E257,'CATEGORY MAP'!$A$2:$B$20,2,FALSE()),"REVIEW"))</f>
        <v/>
      </c>
      <c r="H257" t="str">
        <f>IF(E257="","",IFERROR(VALUE(SUBSTITUTE('MSR RAW'!P257,",","")),0))</f>
        <v/>
      </c>
      <c r="I257" t="str">
        <f>IF(E257="","",IFERROR(VALUE(SUBSTITUTE('MSR RAW'!S257,",","")),0))</f>
        <v/>
      </c>
    </row>
    <row r="258" spans="1:9" ht="68.650000000000006" customHeight="1" x14ac:dyDescent="0.2">
      <c r="A258">
        <v>258</v>
      </c>
      <c r="B25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58" t="str">
        <f>IF(LEFT(TRIM('MSR RAW'!A258),11)="Department:",TRIM('MSR RAW'!A258),C257)</f>
        <v>Department: 36637 - SPECIALTY CONCESSIONS (VENDING)</v>
      </c>
      <c r="D258" t="str">
        <f>IF(LEFT(TRIM('MSR RAW'!B258),9)="Location:",TRIM(MID('MSR RAW'!B258,10,999)),D257)</f>
        <v>FB 155 - SUB ISLAND NOODLES</v>
      </c>
      <c r="E258" t="str">
        <f>IF(AND(ISNUMBER(SEARCH(" - ",TRIM('MSR RAW'!C258))),RIGHT(TRIM('MSR RAW'!C258),6)="Total:"),LEFT(TRIM('MSR RAW'!C258),SEARCH(" - ",TRIM('MSR RAW'!C258))-1),"")</f>
        <v/>
      </c>
      <c r="F258" t="str">
        <f>IF(E258="","",TRIM(MID(TRIM('MSR RAW'!C258),SEARCH(" - ",TRIM('MSR RAW'!C258))+3,LEN(TRIM('MSR RAW'!C258))-SEARCH(" - ",TRIM('MSR RAW'!C258))-9)))</f>
        <v/>
      </c>
      <c r="G258" t="str">
        <f>IF(E258="","",IFERROR(VLOOKUP(E258,'CATEGORY MAP'!$A$2:$B$20,2,FALSE()),"REVIEW"))</f>
        <v/>
      </c>
      <c r="H258" t="str">
        <f>IF(E258="","",IFERROR(VALUE(SUBSTITUTE('MSR RAW'!P258,",","")),0))</f>
        <v/>
      </c>
      <c r="I258" t="str">
        <f>IF(E258="","",IFERROR(VALUE(SUBSTITUTE('MSR RAW'!S258,",","")),0))</f>
        <v/>
      </c>
    </row>
    <row r="259" spans="1:9" ht="68.650000000000006" customHeight="1" x14ac:dyDescent="0.2">
      <c r="A259">
        <v>259</v>
      </c>
      <c r="B25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59" t="str">
        <f>IF(LEFT(TRIM('MSR RAW'!A259),11)="Department:",TRIM('MSR RAW'!A259),C258)</f>
        <v>Department: 36637 - SPECIALTY CONCESSIONS (VENDING)</v>
      </c>
      <c r="D259" t="str">
        <f>IF(LEFT(TRIM('MSR RAW'!B259),9)="Location:",TRIM(MID('MSR RAW'!B259,10,999)),D258)</f>
        <v>FB 155 - SUB ISLAND NOODLES</v>
      </c>
      <c r="E259" t="str">
        <f>IF(AND(ISNUMBER(SEARCH(" - ",TRIM('MSR RAW'!C259))),RIGHT(TRIM('MSR RAW'!C259),6)="Total:"),LEFT(TRIM('MSR RAW'!C259),SEARCH(" - ",TRIM('MSR RAW'!C259))-1),"")</f>
        <v/>
      </c>
      <c r="F259" t="str">
        <f>IF(E259="","",TRIM(MID(TRIM('MSR RAW'!C259),SEARCH(" - ",TRIM('MSR RAW'!C259))+3,LEN(TRIM('MSR RAW'!C259))-SEARCH(" - ",TRIM('MSR RAW'!C259))-9)))</f>
        <v/>
      </c>
      <c r="G259" t="str">
        <f>IF(E259="","",IFERROR(VLOOKUP(E259,'CATEGORY MAP'!$A$2:$B$20,2,FALSE()),"REVIEW"))</f>
        <v/>
      </c>
      <c r="H259" t="str">
        <f>IF(E259="","",IFERROR(VALUE(SUBSTITUTE('MSR RAW'!P259,",","")),0))</f>
        <v/>
      </c>
      <c r="I259" t="str">
        <f>IF(E259="","",IFERROR(VALUE(SUBSTITUTE('MSR RAW'!S259,",","")),0))</f>
        <v/>
      </c>
    </row>
    <row r="260" spans="1:9" ht="68.650000000000006" customHeight="1" x14ac:dyDescent="0.2">
      <c r="A260">
        <v>260</v>
      </c>
      <c r="B26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60" t="str">
        <f>IF(LEFT(TRIM('MSR RAW'!A260),11)="Department:",TRIM('MSR RAW'!A260),C259)</f>
        <v>Department: 36637 - SPECIALTY CONCESSIONS (VENDING)</v>
      </c>
      <c r="D260" t="str">
        <f>IF(LEFT(TRIM('MSR RAW'!B260),9)="Location:",TRIM(MID('MSR RAW'!B260,10,999)),D259)</f>
        <v>FB 155 - SUB ISLAND NOODLES</v>
      </c>
      <c r="E260" t="str">
        <f>IF(AND(ISNUMBER(SEARCH(" - ",TRIM('MSR RAW'!C260))),RIGHT(TRIM('MSR RAW'!C260),6)="Total:"),LEFT(TRIM('MSR RAW'!C260),SEARCH(" - ",TRIM('MSR RAW'!C260))-1),"")</f>
        <v/>
      </c>
      <c r="F260" t="str">
        <f>IF(E260="","",TRIM(MID(TRIM('MSR RAW'!C260),SEARCH(" - ",TRIM('MSR RAW'!C260))+3,LEN(TRIM('MSR RAW'!C260))-SEARCH(" - ",TRIM('MSR RAW'!C260))-9)))</f>
        <v/>
      </c>
      <c r="G260" t="str">
        <f>IF(E260="","",IFERROR(VLOOKUP(E260,'CATEGORY MAP'!$A$2:$B$20,2,FALSE()),"REVIEW"))</f>
        <v/>
      </c>
      <c r="H260" t="str">
        <f>IF(E260="","",IFERROR(VALUE(SUBSTITUTE('MSR RAW'!P260,",","")),0))</f>
        <v/>
      </c>
      <c r="I260" t="str">
        <f>IF(E260="","",IFERROR(VALUE(SUBSTITUTE('MSR RAW'!S260,",","")),0))</f>
        <v/>
      </c>
    </row>
    <row r="261" spans="1:9" ht="68.650000000000006" customHeight="1" x14ac:dyDescent="0.2">
      <c r="A261">
        <v>261</v>
      </c>
      <c r="B26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61" t="str">
        <f>IF(LEFT(TRIM('MSR RAW'!A261),11)="Department:",TRIM('MSR RAW'!A261),C260)</f>
        <v>Department: 36637 - SPECIALTY CONCESSIONS (VENDING)</v>
      </c>
      <c r="D261" t="str">
        <f>IF(LEFT(TRIM('MSR RAW'!B261),9)="Location:",TRIM(MID('MSR RAW'!B261,10,999)),D260)</f>
        <v>FB 155 - SUB ISLAND NOODLES</v>
      </c>
      <c r="E261" t="str">
        <f>IF(AND(ISNUMBER(SEARCH(" - ",TRIM('MSR RAW'!C261))),RIGHT(TRIM('MSR RAW'!C261),6)="Total:"),LEFT(TRIM('MSR RAW'!C261),SEARCH(" - ",TRIM('MSR RAW'!C261))-1),"")</f>
        <v/>
      </c>
      <c r="F261" t="str">
        <f>IF(E261="","",TRIM(MID(TRIM('MSR RAW'!C261),SEARCH(" - ",TRIM('MSR RAW'!C261))+3,LEN(TRIM('MSR RAW'!C261))-SEARCH(" - ",TRIM('MSR RAW'!C261))-9)))</f>
        <v/>
      </c>
      <c r="G261" t="str">
        <f>IF(E261="","",IFERROR(VLOOKUP(E261,'CATEGORY MAP'!$A$2:$B$20,2,FALSE()),"REVIEW"))</f>
        <v/>
      </c>
      <c r="H261" t="str">
        <f>IF(E261="","",IFERROR(VALUE(SUBSTITUTE('MSR RAW'!P261,",","")),0))</f>
        <v/>
      </c>
      <c r="I261" t="str">
        <f>IF(E261="","",IFERROR(VALUE(SUBSTITUTE('MSR RAW'!S261,",","")),0))</f>
        <v/>
      </c>
    </row>
    <row r="262" spans="1:9" ht="68.650000000000006" customHeight="1" x14ac:dyDescent="0.2">
      <c r="A262">
        <v>262</v>
      </c>
      <c r="B26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62" t="str">
        <f>IF(LEFT(TRIM('MSR RAW'!A262),11)="Department:",TRIM('MSR RAW'!A262),C261)</f>
        <v>Department: 36637 - SPECIALTY CONCESSIONS (VENDING)</v>
      </c>
      <c r="D262" t="str">
        <f>IF(LEFT(TRIM('MSR RAW'!B262),9)="Location:",TRIM(MID('MSR RAW'!B262,10,999)),D261)</f>
        <v>FB 155 - SUB ISLAND NOODLES</v>
      </c>
      <c r="E262" t="str">
        <f>IF(AND(ISNUMBER(SEARCH(" - ",TRIM('MSR RAW'!C262))),RIGHT(TRIM('MSR RAW'!C262),6)="Total:"),LEFT(TRIM('MSR RAW'!C262),SEARCH(" - ",TRIM('MSR RAW'!C262))-1),"")</f>
        <v/>
      </c>
      <c r="F262" t="str">
        <f>IF(E262="","",TRIM(MID(TRIM('MSR RAW'!C262),SEARCH(" - ",TRIM('MSR RAW'!C262))+3,LEN(TRIM('MSR RAW'!C262))-SEARCH(" - ",TRIM('MSR RAW'!C262))-9)))</f>
        <v/>
      </c>
      <c r="G262" t="str">
        <f>IF(E262="","",IFERROR(VLOOKUP(E262,'CATEGORY MAP'!$A$2:$B$20,2,FALSE()),"REVIEW"))</f>
        <v/>
      </c>
      <c r="H262" t="str">
        <f>IF(E262="","",IFERROR(VALUE(SUBSTITUTE('MSR RAW'!P262,",","")),0))</f>
        <v/>
      </c>
      <c r="I262" t="str">
        <f>IF(E262="","",IFERROR(VALUE(SUBSTITUTE('MSR RAW'!S262,",","")),0))</f>
        <v/>
      </c>
    </row>
    <row r="263" spans="1:9" ht="68.650000000000006" customHeight="1" x14ac:dyDescent="0.2">
      <c r="A263">
        <v>263</v>
      </c>
      <c r="B26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63" t="str">
        <f>IF(LEFT(TRIM('MSR RAW'!A263),11)="Department:",TRIM('MSR RAW'!A263),C262)</f>
        <v>Department: 36637 - SPECIALTY CONCESSIONS (VENDING)</v>
      </c>
      <c r="D263" t="str">
        <f>IF(LEFT(TRIM('MSR RAW'!B263),9)="Location:",TRIM(MID('MSR RAW'!B263,10,999)),D262)</f>
        <v>FB 155 - SUB ISLAND NOODLES</v>
      </c>
      <c r="E263" t="str">
        <f>IF(AND(ISNUMBER(SEARCH(" - ",TRIM('MSR RAW'!C263))),RIGHT(TRIM('MSR RAW'!C263),6)="Total:"),LEFT(TRIM('MSR RAW'!C263),SEARCH(" - ",TRIM('MSR RAW'!C263))-1),"")</f>
        <v/>
      </c>
      <c r="F263" t="str">
        <f>IF(E263="","",TRIM(MID(TRIM('MSR RAW'!C263),SEARCH(" - ",TRIM('MSR RAW'!C263))+3,LEN(TRIM('MSR RAW'!C263))-SEARCH(" - ",TRIM('MSR RAW'!C263))-9)))</f>
        <v/>
      </c>
      <c r="G263" t="str">
        <f>IF(E263="","",IFERROR(VLOOKUP(E263,'CATEGORY MAP'!$A$2:$B$20,2,FALSE()),"REVIEW"))</f>
        <v/>
      </c>
      <c r="H263" t="str">
        <f>IF(E263="","",IFERROR(VALUE(SUBSTITUTE('MSR RAW'!P263,",","")),0))</f>
        <v/>
      </c>
      <c r="I263" t="str">
        <f>IF(E263="","",IFERROR(VALUE(SUBSTITUTE('MSR RAW'!S263,",","")),0))</f>
        <v/>
      </c>
    </row>
    <row r="264" spans="1:9" ht="68.650000000000006" customHeight="1" x14ac:dyDescent="0.2">
      <c r="A264">
        <v>264</v>
      </c>
      <c r="B26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64" t="str">
        <f>IF(LEFT(TRIM('MSR RAW'!A264),11)="Department:",TRIM('MSR RAW'!A264),C263)</f>
        <v>Department: 36637 - SPECIALTY CONCESSIONS (VENDING)</v>
      </c>
      <c r="D264" t="str">
        <f>IF(LEFT(TRIM('MSR RAW'!B264),9)="Location:",TRIM(MID('MSR RAW'!B264,10,999)),D263)</f>
        <v>FB 155 - SUB ISLAND NOODLES</v>
      </c>
      <c r="E264" t="str">
        <f>IF(AND(ISNUMBER(SEARCH(" - ",TRIM('MSR RAW'!C264))),RIGHT(TRIM('MSR RAW'!C264),6)="Total:"),LEFT(TRIM('MSR RAW'!C264),SEARCH(" - ",TRIM('MSR RAW'!C264))-1),"")</f>
        <v/>
      </c>
      <c r="F264" t="str">
        <f>IF(E264="","",TRIM(MID(TRIM('MSR RAW'!C264),SEARCH(" - ",TRIM('MSR RAW'!C264))+3,LEN(TRIM('MSR RAW'!C264))-SEARCH(" - ",TRIM('MSR RAW'!C264))-9)))</f>
        <v/>
      </c>
      <c r="G264" t="str">
        <f>IF(E264="","",IFERROR(VLOOKUP(E264,'CATEGORY MAP'!$A$2:$B$20,2,FALSE()),"REVIEW"))</f>
        <v/>
      </c>
      <c r="H264" t="str">
        <f>IF(E264="","",IFERROR(VALUE(SUBSTITUTE('MSR RAW'!P264,",","")),0))</f>
        <v/>
      </c>
      <c r="I264" t="str">
        <f>IF(E264="","",IFERROR(VALUE(SUBSTITUTE('MSR RAW'!S264,",","")),0))</f>
        <v/>
      </c>
    </row>
    <row r="265" spans="1:9" ht="68.650000000000006" customHeight="1" x14ac:dyDescent="0.2">
      <c r="A265">
        <v>265</v>
      </c>
      <c r="B26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65" t="str">
        <f>IF(LEFT(TRIM('MSR RAW'!A265),11)="Department:",TRIM('MSR RAW'!A265),C264)</f>
        <v>Department: 36637 - SPECIALTY CONCESSIONS (VENDING)</v>
      </c>
      <c r="D265" t="str">
        <f>IF(LEFT(TRIM('MSR RAW'!B265),9)="Location:",TRIM(MID('MSR RAW'!B265,10,999)),D264)</f>
        <v>FB 155 - SUB ISLAND NOODLES</v>
      </c>
      <c r="E265" t="str">
        <f>IF(AND(ISNUMBER(SEARCH(" - ",TRIM('MSR RAW'!C265))),RIGHT(TRIM('MSR RAW'!C265),6)="Total:"),LEFT(TRIM('MSR RAW'!C265),SEARCH(" - ",TRIM('MSR RAW'!C265))-1),"")</f>
        <v/>
      </c>
      <c r="F265" t="str">
        <f>IF(E265="","",TRIM(MID(TRIM('MSR RAW'!C265),SEARCH(" - ",TRIM('MSR RAW'!C265))+3,LEN(TRIM('MSR RAW'!C265))-SEARCH(" - ",TRIM('MSR RAW'!C265))-9)))</f>
        <v/>
      </c>
      <c r="G265" t="str">
        <f>IF(E265="","",IFERROR(VLOOKUP(E265,'CATEGORY MAP'!$A$2:$B$20,2,FALSE()),"REVIEW"))</f>
        <v/>
      </c>
      <c r="H265" t="str">
        <f>IF(E265="","",IFERROR(VALUE(SUBSTITUTE('MSR RAW'!P265,",","")),0))</f>
        <v/>
      </c>
      <c r="I265" t="str">
        <f>IF(E265="","",IFERROR(VALUE(SUBSTITUTE('MSR RAW'!S265,",","")),0))</f>
        <v/>
      </c>
    </row>
    <row r="266" spans="1:9" ht="68.650000000000006" customHeight="1" x14ac:dyDescent="0.2">
      <c r="A266">
        <v>266</v>
      </c>
      <c r="B26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66" t="str">
        <f>IF(LEFT(TRIM('MSR RAW'!A266),11)="Department:",TRIM('MSR RAW'!A266),C265)</f>
        <v>Department: 36637 - SPECIALTY CONCESSIONS (VENDING)</v>
      </c>
      <c r="D266" t="str">
        <f>IF(LEFT(TRIM('MSR RAW'!B266),9)="Location:",TRIM(MID('MSR RAW'!B266,10,999)),D265)</f>
        <v>FB 155 - SUB ISLAND NOODLES</v>
      </c>
      <c r="E266" t="str">
        <f>IF(AND(ISNUMBER(SEARCH(" - ",TRIM('MSR RAW'!C266))),RIGHT(TRIM('MSR RAW'!C266),6)="Total:"),LEFT(TRIM('MSR RAW'!C266),SEARCH(" - ",TRIM('MSR RAW'!C266))-1),"")</f>
        <v/>
      </c>
      <c r="F266" t="str">
        <f>IF(E266="","",TRIM(MID(TRIM('MSR RAW'!C266),SEARCH(" - ",TRIM('MSR RAW'!C266))+3,LEN(TRIM('MSR RAW'!C266))-SEARCH(" - ",TRIM('MSR RAW'!C266))-9)))</f>
        <v/>
      </c>
      <c r="G266" t="str">
        <f>IF(E266="","",IFERROR(VLOOKUP(E266,'CATEGORY MAP'!$A$2:$B$20,2,FALSE()),"REVIEW"))</f>
        <v/>
      </c>
      <c r="H266" t="str">
        <f>IF(E266="","",IFERROR(VALUE(SUBSTITUTE('MSR RAW'!P266,",","")),0))</f>
        <v/>
      </c>
      <c r="I266" t="str">
        <f>IF(E266="","",IFERROR(VALUE(SUBSTITUTE('MSR RAW'!S266,",","")),0))</f>
        <v/>
      </c>
    </row>
    <row r="267" spans="1:9" ht="68.650000000000006" customHeight="1" x14ac:dyDescent="0.2">
      <c r="A267">
        <v>267</v>
      </c>
      <c r="B26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67" t="str">
        <f>IF(LEFT(TRIM('MSR RAW'!A267),11)="Department:",TRIM('MSR RAW'!A267),C266)</f>
        <v>Department: 36637 - SPECIALTY CONCESSIONS (VENDING)</v>
      </c>
      <c r="D267" t="str">
        <f>IF(LEFT(TRIM('MSR RAW'!B267),9)="Location:",TRIM(MID('MSR RAW'!B267,10,999)),D266)</f>
        <v>FB 155 - SUB ISLAND NOODLES</v>
      </c>
      <c r="E267" t="str">
        <f>IF(AND(ISNUMBER(SEARCH(" - ",TRIM('MSR RAW'!C267))),RIGHT(TRIM('MSR RAW'!C267),6)="Total:"),LEFT(TRIM('MSR RAW'!C267),SEARCH(" - ",TRIM('MSR RAW'!C267))-1),"")</f>
        <v/>
      </c>
      <c r="F267" t="str">
        <f>IF(E267="","",TRIM(MID(TRIM('MSR RAW'!C267),SEARCH(" - ",TRIM('MSR RAW'!C267))+3,LEN(TRIM('MSR RAW'!C267))-SEARCH(" - ",TRIM('MSR RAW'!C267))-9)))</f>
        <v/>
      </c>
      <c r="G267" t="str">
        <f>IF(E267="","",IFERROR(VLOOKUP(E267,'CATEGORY MAP'!$A$2:$B$20,2,FALSE()),"REVIEW"))</f>
        <v/>
      </c>
      <c r="H267" t="str">
        <f>IF(E267="","",IFERROR(VALUE(SUBSTITUTE('MSR RAW'!P267,",","")),0))</f>
        <v/>
      </c>
      <c r="I267" t="str">
        <f>IF(E267="","",IFERROR(VALUE(SUBSTITUTE('MSR RAW'!S267,",","")),0))</f>
        <v/>
      </c>
    </row>
    <row r="268" spans="1:9" ht="68.650000000000006" customHeight="1" x14ac:dyDescent="0.2">
      <c r="A268">
        <v>268</v>
      </c>
      <c r="B26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68" t="str">
        <f>IF(LEFT(TRIM('MSR RAW'!A268),11)="Department:",TRIM('MSR RAW'!A268),C267)</f>
        <v>Department: 36637 - SPECIALTY CONCESSIONS (VENDING)</v>
      </c>
      <c r="D268" t="str">
        <f>IF(LEFT(TRIM('MSR RAW'!B268),9)="Location:",TRIM(MID('MSR RAW'!B268,10,999)),D267)</f>
        <v>FB 155 - SUB ISLAND NOODLES</v>
      </c>
      <c r="E268" t="str">
        <f>IF(AND(ISNUMBER(SEARCH(" - ",TRIM('MSR RAW'!C268))),RIGHT(TRIM('MSR RAW'!C268),6)="Total:"),LEFT(TRIM('MSR RAW'!C268),SEARCH(" - ",TRIM('MSR RAW'!C268))-1),"")</f>
        <v/>
      </c>
      <c r="F268" t="str">
        <f>IF(E268="","",TRIM(MID(TRIM('MSR RAW'!C268),SEARCH(" - ",TRIM('MSR RAW'!C268))+3,LEN(TRIM('MSR RAW'!C268))-SEARCH(" - ",TRIM('MSR RAW'!C268))-9)))</f>
        <v/>
      </c>
      <c r="G268" t="str">
        <f>IF(E268="","",IFERROR(VLOOKUP(E268,'CATEGORY MAP'!$A$2:$B$20,2,FALSE()),"REVIEW"))</f>
        <v/>
      </c>
      <c r="H268" t="str">
        <f>IF(E268="","",IFERROR(VALUE(SUBSTITUTE('MSR RAW'!P268,",","")),0))</f>
        <v/>
      </c>
      <c r="I268" t="str">
        <f>IF(E268="","",IFERROR(VALUE(SUBSTITUTE('MSR RAW'!S268,",","")),0))</f>
        <v/>
      </c>
    </row>
    <row r="269" spans="1:9" ht="68.650000000000006" customHeight="1" x14ac:dyDescent="0.2">
      <c r="A269">
        <v>269</v>
      </c>
      <c r="B26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69" t="str">
        <f>IF(LEFT(TRIM('MSR RAW'!A269),11)="Department:",TRIM('MSR RAW'!A269),C268)</f>
        <v>Department: 36637 - SPECIALTY CONCESSIONS (VENDING)</v>
      </c>
      <c r="D269" t="str">
        <f>IF(LEFT(TRIM('MSR RAW'!B269),9)="Location:",TRIM(MID('MSR RAW'!B269,10,999)),D268)</f>
        <v>FB 155 - SUB ISLAND NOODLES</v>
      </c>
      <c r="E269" t="str">
        <f>IF(AND(ISNUMBER(SEARCH(" - ",TRIM('MSR RAW'!C269))),RIGHT(TRIM('MSR RAW'!C269),6)="Total:"),LEFT(TRIM('MSR RAW'!C269),SEARCH(" - ",TRIM('MSR RAW'!C269))-1),"")</f>
        <v/>
      </c>
      <c r="F269" t="str">
        <f>IF(E269="","",TRIM(MID(TRIM('MSR RAW'!C269),SEARCH(" - ",TRIM('MSR RAW'!C269))+3,LEN(TRIM('MSR RAW'!C269))-SEARCH(" - ",TRIM('MSR RAW'!C269))-9)))</f>
        <v/>
      </c>
      <c r="G269" t="str">
        <f>IF(E269="","",IFERROR(VLOOKUP(E269,'CATEGORY MAP'!$A$2:$B$20,2,FALSE()),"REVIEW"))</f>
        <v/>
      </c>
      <c r="H269" t="str">
        <f>IF(E269="","",IFERROR(VALUE(SUBSTITUTE('MSR RAW'!P269,",","")),0))</f>
        <v/>
      </c>
      <c r="I269" t="str">
        <f>IF(E269="","",IFERROR(VALUE(SUBSTITUTE('MSR RAW'!S269,",","")),0))</f>
        <v/>
      </c>
    </row>
    <row r="270" spans="1:9" ht="68.650000000000006" customHeight="1" x14ac:dyDescent="0.2">
      <c r="A270">
        <v>270</v>
      </c>
      <c r="B27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70" t="str">
        <f>IF(LEFT(TRIM('MSR RAW'!A270),11)="Department:",TRIM('MSR RAW'!A270),C269)</f>
        <v>Department: 36637 - SPECIALTY CONCESSIONS (VENDING)</v>
      </c>
      <c r="D270" t="str">
        <f>IF(LEFT(TRIM('MSR RAW'!B270),9)="Location:",TRIM(MID('MSR RAW'!B270,10,999)),D269)</f>
        <v>FB 155 - SUB ISLAND NOODLES</v>
      </c>
      <c r="E270" t="str">
        <f>IF(AND(ISNUMBER(SEARCH(" - ",TRIM('MSR RAW'!C270))),RIGHT(TRIM('MSR RAW'!C270),6)="Total:"),LEFT(TRIM('MSR RAW'!C270),SEARCH(" - ",TRIM('MSR RAW'!C270))-1),"")</f>
        <v/>
      </c>
      <c r="F270" t="str">
        <f>IF(E270="","",TRIM(MID(TRIM('MSR RAW'!C270),SEARCH(" - ",TRIM('MSR RAW'!C270))+3,LEN(TRIM('MSR RAW'!C270))-SEARCH(" - ",TRIM('MSR RAW'!C270))-9)))</f>
        <v/>
      </c>
      <c r="G270" t="str">
        <f>IF(E270="","",IFERROR(VLOOKUP(E270,'CATEGORY MAP'!$A$2:$B$20,2,FALSE()),"REVIEW"))</f>
        <v/>
      </c>
      <c r="H270" t="str">
        <f>IF(E270="","",IFERROR(VALUE(SUBSTITUTE('MSR RAW'!P270,",","")),0))</f>
        <v/>
      </c>
      <c r="I270" t="str">
        <f>IF(E270="","",IFERROR(VALUE(SUBSTITUTE('MSR RAW'!S270,",","")),0))</f>
        <v/>
      </c>
    </row>
    <row r="271" spans="1:9" ht="68.650000000000006" customHeight="1" x14ac:dyDescent="0.2">
      <c r="A271">
        <v>271</v>
      </c>
      <c r="B27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71" t="str">
        <f>IF(LEFT(TRIM('MSR RAW'!A271),11)="Department:",TRIM('MSR RAW'!A271),C270)</f>
        <v>Department: 36637 - SPECIALTY CONCESSIONS (VENDING)</v>
      </c>
      <c r="D271" t="str">
        <f>IF(LEFT(TRIM('MSR RAW'!B271),9)="Location:",TRIM(MID('MSR RAW'!B271,10,999)),D270)</f>
        <v>FB 155 - SUB ISLAND NOODLES</v>
      </c>
      <c r="E271" t="str">
        <f>IF(AND(ISNUMBER(SEARCH(" - ",TRIM('MSR RAW'!C271))),RIGHT(TRIM('MSR RAW'!C271),6)="Total:"),LEFT(TRIM('MSR RAW'!C271),SEARCH(" - ",TRIM('MSR RAW'!C271))-1),"")</f>
        <v/>
      </c>
      <c r="F271" t="str">
        <f>IF(E271="","",TRIM(MID(TRIM('MSR RAW'!C271),SEARCH(" - ",TRIM('MSR RAW'!C271))+3,LEN(TRIM('MSR RAW'!C271))-SEARCH(" - ",TRIM('MSR RAW'!C271))-9)))</f>
        <v/>
      </c>
      <c r="G271" t="str">
        <f>IF(E271="","",IFERROR(VLOOKUP(E271,'CATEGORY MAP'!$A$2:$B$20,2,FALSE()),"REVIEW"))</f>
        <v/>
      </c>
      <c r="H271" t="str">
        <f>IF(E271="","",IFERROR(VALUE(SUBSTITUTE('MSR RAW'!P271,",","")),0))</f>
        <v/>
      </c>
      <c r="I271" t="str">
        <f>IF(E271="","",IFERROR(VALUE(SUBSTITUTE('MSR RAW'!S271,",","")),0))</f>
        <v/>
      </c>
    </row>
    <row r="272" spans="1:9" ht="68.650000000000006" customHeight="1" x14ac:dyDescent="0.2">
      <c r="A272">
        <v>272</v>
      </c>
      <c r="B27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72" t="str">
        <f>IF(LEFT(TRIM('MSR RAW'!A272),11)="Department:",TRIM('MSR RAW'!A272),C271)</f>
        <v>Department: 36637 - SPECIALTY CONCESSIONS (VENDING)</v>
      </c>
      <c r="D272" t="str">
        <f>IF(LEFT(TRIM('MSR RAW'!B272),9)="Location:",TRIM(MID('MSR RAW'!B272,10,999)),D271)</f>
        <v>FB 155 - SUB ISLAND NOODLES</v>
      </c>
      <c r="E272" t="str">
        <f>IF(AND(ISNUMBER(SEARCH(" - ",TRIM('MSR RAW'!C272))),RIGHT(TRIM('MSR RAW'!C272),6)="Total:"),LEFT(TRIM('MSR RAW'!C272),SEARCH(" - ",TRIM('MSR RAW'!C272))-1),"")</f>
        <v/>
      </c>
      <c r="F272" t="str">
        <f>IF(E272="","",TRIM(MID(TRIM('MSR RAW'!C272),SEARCH(" - ",TRIM('MSR RAW'!C272))+3,LEN(TRIM('MSR RAW'!C272))-SEARCH(" - ",TRIM('MSR RAW'!C272))-9)))</f>
        <v/>
      </c>
      <c r="G272" t="str">
        <f>IF(E272="","",IFERROR(VLOOKUP(E272,'CATEGORY MAP'!$A$2:$B$20,2,FALSE()),"REVIEW"))</f>
        <v/>
      </c>
      <c r="H272" t="str">
        <f>IF(E272="","",IFERROR(VALUE(SUBSTITUTE('MSR RAW'!P272,",","")),0))</f>
        <v/>
      </c>
      <c r="I272" t="str">
        <f>IF(E272="","",IFERROR(VALUE(SUBSTITUTE('MSR RAW'!S272,",","")),0))</f>
        <v/>
      </c>
    </row>
    <row r="273" spans="1:9" ht="68.650000000000006" customHeight="1" x14ac:dyDescent="0.2">
      <c r="A273">
        <v>273</v>
      </c>
      <c r="B27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73" t="str">
        <f>IF(LEFT(TRIM('MSR RAW'!A273),11)="Department:",TRIM('MSR RAW'!A273),C272)</f>
        <v>Department: 36637 - SPECIALTY CONCESSIONS (VENDING)</v>
      </c>
      <c r="D273" t="str">
        <f>IF(LEFT(TRIM('MSR RAW'!B273),9)="Location:",TRIM(MID('MSR RAW'!B273,10,999)),D272)</f>
        <v>FB 155 - SUB ISLAND NOODLES</v>
      </c>
      <c r="E273" t="str">
        <f>IF(AND(ISNUMBER(SEARCH(" - ",TRIM('MSR RAW'!C273))),RIGHT(TRIM('MSR RAW'!C273),6)="Total:"),LEFT(TRIM('MSR RAW'!C273),SEARCH(" - ",TRIM('MSR RAW'!C273))-1),"")</f>
        <v/>
      </c>
      <c r="F273" t="str">
        <f>IF(E273="","",TRIM(MID(TRIM('MSR RAW'!C273),SEARCH(" - ",TRIM('MSR RAW'!C273))+3,LEN(TRIM('MSR RAW'!C273))-SEARCH(" - ",TRIM('MSR RAW'!C273))-9)))</f>
        <v/>
      </c>
      <c r="G273" t="str">
        <f>IF(E273="","",IFERROR(VLOOKUP(E273,'CATEGORY MAP'!$A$2:$B$20,2,FALSE()),"REVIEW"))</f>
        <v/>
      </c>
      <c r="H273" t="str">
        <f>IF(E273="","",IFERROR(VALUE(SUBSTITUTE('MSR RAW'!P273,",","")),0))</f>
        <v/>
      </c>
      <c r="I273" t="str">
        <f>IF(E273="","",IFERROR(VALUE(SUBSTITUTE('MSR RAW'!S273,",","")),0))</f>
        <v/>
      </c>
    </row>
    <row r="274" spans="1:9" ht="68.650000000000006" customHeight="1" x14ac:dyDescent="0.2">
      <c r="A274">
        <v>274</v>
      </c>
      <c r="B27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74" t="str">
        <f>IF(LEFT(TRIM('MSR RAW'!A274),11)="Department:",TRIM('MSR RAW'!A274),C273)</f>
        <v>Department: 36637 - SPECIALTY CONCESSIONS (VENDING)</v>
      </c>
      <c r="D274" t="str">
        <f>IF(LEFT(TRIM('MSR RAW'!B274),9)="Location:",TRIM(MID('MSR RAW'!B274,10,999)),D273)</f>
        <v>FB 155 - SUB ISLAND NOODLES</v>
      </c>
      <c r="E274" t="str">
        <f>IF(AND(ISNUMBER(SEARCH(" - ",TRIM('MSR RAW'!C274))),RIGHT(TRIM('MSR RAW'!C274),6)="Total:"),LEFT(TRIM('MSR RAW'!C274),SEARCH(" - ",TRIM('MSR RAW'!C274))-1),"")</f>
        <v/>
      </c>
      <c r="F274" t="str">
        <f>IF(E274="","",TRIM(MID(TRIM('MSR RAW'!C274),SEARCH(" - ",TRIM('MSR RAW'!C274))+3,LEN(TRIM('MSR RAW'!C274))-SEARCH(" - ",TRIM('MSR RAW'!C274))-9)))</f>
        <v/>
      </c>
      <c r="G274" t="str">
        <f>IF(E274="","",IFERROR(VLOOKUP(E274,'CATEGORY MAP'!$A$2:$B$20,2,FALSE()),"REVIEW"))</f>
        <v/>
      </c>
      <c r="H274" t="str">
        <f>IF(E274="","",IFERROR(VALUE(SUBSTITUTE('MSR RAW'!P274,",","")),0))</f>
        <v/>
      </c>
      <c r="I274" t="str">
        <f>IF(E274="","",IFERROR(VALUE(SUBSTITUTE('MSR RAW'!S274,",","")),0))</f>
        <v/>
      </c>
    </row>
    <row r="275" spans="1:9" ht="68.650000000000006" customHeight="1" x14ac:dyDescent="0.2">
      <c r="A275">
        <v>275</v>
      </c>
      <c r="B27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75" t="str">
        <f>IF(LEFT(TRIM('MSR RAW'!A275),11)="Department:",TRIM('MSR RAW'!A275),C274)</f>
        <v>Department: 36637 - SPECIALTY CONCESSIONS (VENDING)</v>
      </c>
      <c r="D275" t="str">
        <f>IF(LEFT(TRIM('MSR RAW'!B275),9)="Location:",TRIM(MID('MSR RAW'!B275,10,999)),D274)</f>
        <v>FB 155 - SUB ISLAND NOODLES</v>
      </c>
      <c r="E275" t="str">
        <f>IF(AND(ISNUMBER(SEARCH(" - ",TRIM('MSR RAW'!C275))),RIGHT(TRIM('MSR RAW'!C275),6)="Total:"),LEFT(TRIM('MSR RAW'!C275),SEARCH(" - ",TRIM('MSR RAW'!C275))-1),"")</f>
        <v/>
      </c>
      <c r="F275" t="str">
        <f>IF(E275="","",TRIM(MID(TRIM('MSR RAW'!C275),SEARCH(" - ",TRIM('MSR RAW'!C275))+3,LEN(TRIM('MSR RAW'!C275))-SEARCH(" - ",TRIM('MSR RAW'!C275))-9)))</f>
        <v/>
      </c>
      <c r="G275" t="str">
        <f>IF(E275="","",IFERROR(VLOOKUP(E275,'CATEGORY MAP'!$A$2:$B$20,2,FALSE()),"REVIEW"))</f>
        <v/>
      </c>
      <c r="H275" t="str">
        <f>IF(E275="","",IFERROR(VALUE(SUBSTITUTE('MSR RAW'!P275,",","")),0))</f>
        <v/>
      </c>
      <c r="I275" t="str">
        <f>IF(E275="","",IFERROR(VALUE(SUBSTITUTE('MSR RAW'!S275,",","")),0))</f>
        <v/>
      </c>
    </row>
    <row r="276" spans="1:9" ht="68.650000000000006" customHeight="1" x14ac:dyDescent="0.2">
      <c r="A276">
        <v>276</v>
      </c>
      <c r="B27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76" t="str">
        <f>IF(LEFT(TRIM('MSR RAW'!A276),11)="Department:",TRIM('MSR RAW'!A276),C275)</f>
        <v>Department: 36637 - SPECIALTY CONCESSIONS (VENDING)</v>
      </c>
      <c r="D276" t="str">
        <f>IF(LEFT(TRIM('MSR RAW'!B276),9)="Location:",TRIM(MID('MSR RAW'!B276,10,999)),D275)</f>
        <v>FB 155 - SUB ISLAND NOODLES</v>
      </c>
      <c r="E276" t="str">
        <f>IF(AND(ISNUMBER(SEARCH(" - ",TRIM('MSR RAW'!C276))),RIGHT(TRIM('MSR RAW'!C276),6)="Total:"),LEFT(TRIM('MSR RAW'!C276),SEARCH(" - ",TRIM('MSR RAW'!C276))-1),"")</f>
        <v/>
      </c>
      <c r="F276" t="str">
        <f>IF(E276="","",TRIM(MID(TRIM('MSR RAW'!C276),SEARCH(" - ",TRIM('MSR RAW'!C276))+3,LEN(TRIM('MSR RAW'!C276))-SEARCH(" - ",TRIM('MSR RAW'!C276))-9)))</f>
        <v/>
      </c>
      <c r="G276" t="str">
        <f>IF(E276="","",IFERROR(VLOOKUP(E276,'CATEGORY MAP'!$A$2:$B$20,2,FALSE()),"REVIEW"))</f>
        <v/>
      </c>
      <c r="H276" t="str">
        <f>IF(E276="","",IFERROR(VALUE(SUBSTITUTE('MSR RAW'!P276,",","")),0))</f>
        <v/>
      </c>
      <c r="I276" t="str">
        <f>IF(E276="","",IFERROR(VALUE(SUBSTITUTE('MSR RAW'!S276,",","")),0))</f>
        <v/>
      </c>
    </row>
    <row r="277" spans="1:9" ht="68.650000000000006" customHeight="1" x14ac:dyDescent="0.2">
      <c r="A277">
        <v>277</v>
      </c>
      <c r="B27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77" t="str">
        <f>IF(LEFT(TRIM('MSR RAW'!A277),11)="Department:",TRIM('MSR RAW'!A277),C276)</f>
        <v>Department: 36637 - SPECIALTY CONCESSIONS (VENDING)</v>
      </c>
      <c r="D277" t="str">
        <f>IF(LEFT(TRIM('MSR RAW'!B277),9)="Location:",TRIM(MID('MSR RAW'!B277,10,999)),D276)</f>
        <v>FB 155 - SUB ISLAND NOODLES</v>
      </c>
      <c r="E277" t="str">
        <f>IF(AND(ISNUMBER(SEARCH(" - ",TRIM('MSR RAW'!C277))),RIGHT(TRIM('MSR RAW'!C277),6)="Total:"),LEFT(TRIM('MSR RAW'!C277),SEARCH(" - ",TRIM('MSR RAW'!C277))-1),"")</f>
        <v/>
      </c>
      <c r="F277" t="str">
        <f>IF(E277="","",TRIM(MID(TRIM('MSR RAW'!C277),SEARCH(" - ",TRIM('MSR RAW'!C277))+3,LEN(TRIM('MSR RAW'!C277))-SEARCH(" - ",TRIM('MSR RAW'!C277))-9)))</f>
        <v/>
      </c>
      <c r="G277" t="str">
        <f>IF(E277="","",IFERROR(VLOOKUP(E277,'CATEGORY MAP'!$A$2:$B$20,2,FALSE()),"REVIEW"))</f>
        <v/>
      </c>
      <c r="H277" t="str">
        <f>IF(E277="","",IFERROR(VALUE(SUBSTITUTE('MSR RAW'!P277,",","")),0))</f>
        <v/>
      </c>
      <c r="I277" t="str">
        <f>IF(E277="","",IFERROR(VALUE(SUBSTITUTE('MSR RAW'!S277,",","")),0))</f>
        <v/>
      </c>
    </row>
    <row r="278" spans="1:9" ht="68.650000000000006" customHeight="1" x14ac:dyDescent="0.2">
      <c r="A278">
        <v>278</v>
      </c>
      <c r="B27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78" t="str">
        <f>IF(LEFT(TRIM('MSR RAW'!A278),11)="Department:",TRIM('MSR RAW'!A278),C277)</f>
        <v>Department: 36637 - SPECIALTY CONCESSIONS (VENDING)</v>
      </c>
      <c r="D278" t="str">
        <f>IF(LEFT(TRIM('MSR RAW'!B278),9)="Location:",TRIM(MID('MSR RAW'!B278,10,999)),D277)</f>
        <v>FB 155 - SUB ISLAND NOODLES</v>
      </c>
      <c r="E278" t="str">
        <f>IF(AND(ISNUMBER(SEARCH(" - ",TRIM('MSR RAW'!C278))),RIGHT(TRIM('MSR RAW'!C278),6)="Total:"),LEFT(TRIM('MSR RAW'!C278),SEARCH(" - ",TRIM('MSR RAW'!C278))-1),"")</f>
        <v/>
      </c>
      <c r="F278" t="str">
        <f>IF(E278="","",TRIM(MID(TRIM('MSR RAW'!C278),SEARCH(" - ",TRIM('MSR RAW'!C278))+3,LEN(TRIM('MSR RAW'!C278))-SEARCH(" - ",TRIM('MSR RAW'!C278))-9)))</f>
        <v/>
      </c>
      <c r="G278" t="str">
        <f>IF(E278="","",IFERROR(VLOOKUP(E278,'CATEGORY MAP'!$A$2:$B$20,2,FALSE()),"REVIEW"))</f>
        <v/>
      </c>
      <c r="H278" t="str">
        <f>IF(E278="","",IFERROR(VALUE(SUBSTITUTE('MSR RAW'!P278,",","")),0))</f>
        <v/>
      </c>
      <c r="I278" t="str">
        <f>IF(E278="","",IFERROR(VALUE(SUBSTITUTE('MSR RAW'!S278,",","")),0))</f>
        <v/>
      </c>
    </row>
    <row r="279" spans="1:9" ht="68.650000000000006" customHeight="1" x14ac:dyDescent="0.2">
      <c r="A279">
        <v>279</v>
      </c>
      <c r="B27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79" t="str">
        <f>IF(LEFT(TRIM('MSR RAW'!A279),11)="Department:",TRIM('MSR RAW'!A279),C278)</f>
        <v>Department: 36637 - SPECIALTY CONCESSIONS (VENDING)</v>
      </c>
      <c r="D279" t="str">
        <f>IF(LEFT(TRIM('MSR RAW'!B279),9)="Location:",TRIM(MID('MSR RAW'!B279,10,999)),D278)</f>
        <v>FB 155 - SUB ISLAND NOODLES</v>
      </c>
      <c r="E279" t="str">
        <f>IF(AND(ISNUMBER(SEARCH(" - ",TRIM('MSR RAW'!C279))),RIGHT(TRIM('MSR RAW'!C279),6)="Total:"),LEFT(TRIM('MSR RAW'!C279),SEARCH(" - ",TRIM('MSR RAW'!C279))-1),"")</f>
        <v/>
      </c>
      <c r="F279" t="str">
        <f>IF(E279="","",TRIM(MID(TRIM('MSR RAW'!C279),SEARCH(" - ",TRIM('MSR RAW'!C279))+3,LEN(TRIM('MSR RAW'!C279))-SEARCH(" - ",TRIM('MSR RAW'!C279))-9)))</f>
        <v/>
      </c>
      <c r="G279" t="str">
        <f>IF(E279="","",IFERROR(VLOOKUP(E279,'CATEGORY MAP'!$A$2:$B$20,2,FALSE()),"REVIEW"))</f>
        <v/>
      </c>
      <c r="H279" t="str">
        <f>IF(E279="","",IFERROR(VALUE(SUBSTITUTE('MSR RAW'!P279,",","")),0))</f>
        <v/>
      </c>
      <c r="I279" t="str">
        <f>IF(E279="","",IFERROR(VALUE(SUBSTITUTE('MSR RAW'!S279,",","")),0))</f>
        <v/>
      </c>
    </row>
    <row r="280" spans="1:9" ht="68.650000000000006" customHeight="1" x14ac:dyDescent="0.2">
      <c r="A280">
        <v>280</v>
      </c>
      <c r="B28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80" t="str">
        <f>IF(LEFT(TRIM('MSR RAW'!A280),11)="Department:",TRIM('MSR RAW'!A280),C279)</f>
        <v>Department: 36637 - SPECIALTY CONCESSIONS (VENDING)</v>
      </c>
      <c r="D280" t="str">
        <f>IF(LEFT(TRIM('MSR RAW'!B280),9)="Location:",TRIM(MID('MSR RAW'!B280,10,999)),D279)</f>
        <v>FB 155 - SUB ISLAND NOODLES</v>
      </c>
      <c r="E280" t="str">
        <f>IF(AND(ISNUMBER(SEARCH(" - ",TRIM('MSR RAW'!C280))),RIGHT(TRIM('MSR RAW'!C280),6)="Total:"),LEFT(TRIM('MSR RAW'!C280),SEARCH(" - ",TRIM('MSR RAW'!C280))-1),"")</f>
        <v/>
      </c>
      <c r="F280" t="str">
        <f>IF(E280="","",TRIM(MID(TRIM('MSR RAW'!C280),SEARCH(" - ",TRIM('MSR RAW'!C280))+3,LEN(TRIM('MSR RAW'!C280))-SEARCH(" - ",TRIM('MSR RAW'!C280))-9)))</f>
        <v/>
      </c>
      <c r="G280" t="str">
        <f>IF(E280="","",IFERROR(VLOOKUP(E280,'CATEGORY MAP'!$A$2:$B$20,2,FALSE()),"REVIEW"))</f>
        <v/>
      </c>
      <c r="H280" t="str">
        <f>IF(E280="","",IFERROR(VALUE(SUBSTITUTE('MSR RAW'!P280,",","")),0))</f>
        <v/>
      </c>
      <c r="I280" t="str">
        <f>IF(E280="","",IFERROR(VALUE(SUBSTITUTE('MSR RAW'!S280,",","")),0))</f>
        <v/>
      </c>
    </row>
    <row r="281" spans="1:9" ht="68.650000000000006" customHeight="1" x14ac:dyDescent="0.2">
      <c r="A281">
        <v>281</v>
      </c>
      <c r="B28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81" t="str">
        <f>IF(LEFT(TRIM('MSR RAW'!A281),11)="Department:",TRIM('MSR RAW'!A281),C280)</f>
        <v>Department: 36637 - SPECIALTY CONCESSIONS (VENDING)</v>
      </c>
      <c r="D281" t="str">
        <f>IF(LEFT(TRIM('MSR RAW'!B281),9)="Location:",TRIM(MID('MSR RAW'!B281,10,999)),D280)</f>
        <v>FB 155 - SUB ISLAND NOODLES</v>
      </c>
      <c r="E281" t="str">
        <f>IF(AND(ISNUMBER(SEARCH(" - ",TRIM('MSR RAW'!C281))),RIGHT(TRIM('MSR RAW'!C281),6)="Total:"),LEFT(TRIM('MSR RAW'!C281),SEARCH(" - ",TRIM('MSR RAW'!C281))-1),"")</f>
        <v/>
      </c>
      <c r="F281" t="str">
        <f>IF(E281="","",TRIM(MID(TRIM('MSR RAW'!C281),SEARCH(" - ",TRIM('MSR RAW'!C281))+3,LEN(TRIM('MSR RAW'!C281))-SEARCH(" - ",TRIM('MSR RAW'!C281))-9)))</f>
        <v/>
      </c>
      <c r="G281" t="str">
        <f>IF(E281="","",IFERROR(VLOOKUP(E281,'CATEGORY MAP'!$A$2:$B$20,2,FALSE()),"REVIEW"))</f>
        <v/>
      </c>
      <c r="H281" t="str">
        <f>IF(E281="","",IFERROR(VALUE(SUBSTITUTE('MSR RAW'!P281,",","")),0))</f>
        <v/>
      </c>
      <c r="I281" t="str">
        <f>IF(E281="","",IFERROR(VALUE(SUBSTITUTE('MSR RAW'!S281,",","")),0))</f>
        <v/>
      </c>
    </row>
    <row r="282" spans="1:9" ht="68.650000000000006" customHeight="1" x14ac:dyDescent="0.2">
      <c r="A282">
        <v>282</v>
      </c>
      <c r="B28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82" t="str">
        <f>IF(LEFT(TRIM('MSR RAW'!A282),11)="Department:",TRIM('MSR RAW'!A282),C281)</f>
        <v>Department: 36637 - SPECIALTY CONCESSIONS (VENDING)</v>
      </c>
      <c r="D282" t="str">
        <f>IF(LEFT(TRIM('MSR RAW'!B282),9)="Location:",TRIM(MID('MSR RAW'!B282,10,999)),D281)</f>
        <v>FB 155 - SUB ISLAND NOODLES</v>
      </c>
      <c r="E282" t="str">
        <f>IF(AND(ISNUMBER(SEARCH(" - ",TRIM('MSR RAW'!C282))),RIGHT(TRIM('MSR RAW'!C282),6)="Total:"),LEFT(TRIM('MSR RAW'!C282),SEARCH(" - ",TRIM('MSR RAW'!C282))-1),"")</f>
        <v/>
      </c>
      <c r="F282" t="str">
        <f>IF(E282="","",TRIM(MID(TRIM('MSR RAW'!C282),SEARCH(" - ",TRIM('MSR RAW'!C282))+3,LEN(TRIM('MSR RAW'!C282))-SEARCH(" - ",TRIM('MSR RAW'!C282))-9)))</f>
        <v/>
      </c>
      <c r="G282" t="str">
        <f>IF(E282="","",IFERROR(VLOOKUP(E282,'CATEGORY MAP'!$A$2:$B$20,2,FALSE()),"REVIEW"))</f>
        <v/>
      </c>
      <c r="H282" t="str">
        <f>IF(E282="","",IFERROR(VALUE(SUBSTITUTE('MSR RAW'!P282,",","")),0))</f>
        <v/>
      </c>
      <c r="I282" t="str">
        <f>IF(E282="","",IFERROR(VALUE(SUBSTITUTE('MSR RAW'!S282,",","")),0))</f>
        <v/>
      </c>
    </row>
    <row r="283" spans="1:9" ht="68.650000000000006" customHeight="1" x14ac:dyDescent="0.2">
      <c r="A283">
        <v>283</v>
      </c>
      <c r="B28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83" t="str">
        <f>IF(LEFT(TRIM('MSR RAW'!A283),11)="Department:",TRIM('MSR RAW'!A283),C282)</f>
        <v>Department: 36637 - SPECIALTY CONCESSIONS (VENDING)</v>
      </c>
      <c r="D283" t="str">
        <f>IF(LEFT(TRIM('MSR RAW'!B283),9)="Location:",TRIM(MID('MSR RAW'!B283,10,999)),D282)</f>
        <v>FB 155 - SUB ISLAND NOODLES</v>
      </c>
      <c r="E283" t="str">
        <f>IF(AND(ISNUMBER(SEARCH(" - ",TRIM('MSR RAW'!C283))),RIGHT(TRIM('MSR RAW'!C283),6)="Total:"),LEFT(TRIM('MSR RAW'!C283),SEARCH(" - ",TRIM('MSR RAW'!C283))-1),"")</f>
        <v/>
      </c>
      <c r="F283" t="str">
        <f>IF(E283="","",TRIM(MID(TRIM('MSR RAW'!C283),SEARCH(" - ",TRIM('MSR RAW'!C283))+3,LEN(TRIM('MSR RAW'!C283))-SEARCH(" - ",TRIM('MSR RAW'!C283))-9)))</f>
        <v/>
      </c>
      <c r="G283" t="str">
        <f>IF(E283="","",IFERROR(VLOOKUP(E283,'CATEGORY MAP'!$A$2:$B$20,2,FALSE()),"REVIEW"))</f>
        <v/>
      </c>
      <c r="H283" t="str">
        <f>IF(E283="","",IFERROR(VALUE(SUBSTITUTE('MSR RAW'!P283,",","")),0))</f>
        <v/>
      </c>
      <c r="I283" t="str">
        <f>IF(E283="","",IFERROR(VALUE(SUBSTITUTE('MSR RAW'!S283,",","")),0))</f>
        <v/>
      </c>
    </row>
    <row r="284" spans="1:9" ht="68.650000000000006" customHeight="1" x14ac:dyDescent="0.2">
      <c r="A284">
        <v>284</v>
      </c>
      <c r="B28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84" t="str">
        <f>IF(LEFT(TRIM('MSR RAW'!A284),11)="Department:",TRIM('MSR RAW'!A284),C283)</f>
        <v>Department: 36637 - SPECIALTY CONCESSIONS (VENDING)</v>
      </c>
      <c r="D284" t="str">
        <f>IF(LEFT(TRIM('MSR RAW'!B284),9)="Location:",TRIM(MID('MSR RAW'!B284,10,999)),D283)</f>
        <v>FB 155 - SUB ISLAND NOODLES</v>
      </c>
      <c r="E284" t="str">
        <f>IF(AND(ISNUMBER(SEARCH(" - ",TRIM('MSR RAW'!C284))),RIGHT(TRIM('MSR RAW'!C284),6)="Total:"),LEFT(TRIM('MSR RAW'!C284),SEARCH(" - ",TRIM('MSR RAW'!C284))-1),"")</f>
        <v/>
      </c>
      <c r="F284" t="str">
        <f>IF(E284="","",TRIM(MID(TRIM('MSR RAW'!C284),SEARCH(" - ",TRIM('MSR RAW'!C284))+3,LEN(TRIM('MSR RAW'!C284))-SEARCH(" - ",TRIM('MSR RAW'!C284))-9)))</f>
        <v/>
      </c>
      <c r="G284" t="str">
        <f>IF(E284="","",IFERROR(VLOOKUP(E284,'CATEGORY MAP'!$A$2:$B$20,2,FALSE()),"REVIEW"))</f>
        <v/>
      </c>
      <c r="H284" t="str">
        <f>IF(E284="","",IFERROR(VALUE(SUBSTITUTE('MSR RAW'!P284,",","")),0))</f>
        <v/>
      </c>
      <c r="I284" t="str">
        <f>IF(E284="","",IFERROR(VALUE(SUBSTITUTE('MSR RAW'!S284,",","")),0))</f>
        <v/>
      </c>
    </row>
    <row r="285" spans="1:9" ht="68.650000000000006" customHeight="1" x14ac:dyDescent="0.2">
      <c r="A285">
        <v>285</v>
      </c>
      <c r="B28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85" t="str">
        <f>IF(LEFT(TRIM('MSR RAW'!A285),11)="Department:",TRIM('MSR RAW'!A285),C284)</f>
        <v>Department: 36637 - SPECIALTY CONCESSIONS (VENDING)</v>
      </c>
      <c r="D285" t="str">
        <f>IF(LEFT(TRIM('MSR RAW'!B285),9)="Location:",TRIM(MID('MSR RAW'!B285,10,999)),D284)</f>
        <v>FB 155 - SUB ISLAND NOODLES</v>
      </c>
      <c r="E285" t="str">
        <f>IF(AND(ISNUMBER(SEARCH(" - ",TRIM('MSR RAW'!C285))),RIGHT(TRIM('MSR RAW'!C285),6)="Total:"),LEFT(TRIM('MSR RAW'!C285),SEARCH(" - ",TRIM('MSR RAW'!C285))-1),"")</f>
        <v/>
      </c>
      <c r="F285" t="str">
        <f>IF(E285="","",TRIM(MID(TRIM('MSR RAW'!C285),SEARCH(" - ",TRIM('MSR RAW'!C285))+3,LEN(TRIM('MSR RAW'!C285))-SEARCH(" - ",TRIM('MSR RAW'!C285))-9)))</f>
        <v/>
      </c>
      <c r="G285" t="str">
        <f>IF(E285="","",IFERROR(VLOOKUP(E285,'CATEGORY MAP'!$A$2:$B$20,2,FALSE()),"REVIEW"))</f>
        <v/>
      </c>
      <c r="H285" t="str">
        <f>IF(E285="","",IFERROR(VALUE(SUBSTITUTE('MSR RAW'!P285,",","")),0))</f>
        <v/>
      </c>
      <c r="I285" t="str">
        <f>IF(E285="","",IFERROR(VALUE(SUBSTITUTE('MSR RAW'!S285,",","")),0))</f>
        <v/>
      </c>
    </row>
    <row r="286" spans="1:9" ht="68.650000000000006" customHeight="1" x14ac:dyDescent="0.2">
      <c r="A286">
        <v>286</v>
      </c>
      <c r="B28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86" t="str">
        <f>IF(LEFT(TRIM('MSR RAW'!A286),11)="Department:",TRIM('MSR RAW'!A286),C285)</f>
        <v>Department: 36637 - SPECIALTY CONCESSIONS (VENDING)</v>
      </c>
      <c r="D286" t="str">
        <f>IF(LEFT(TRIM('MSR RAW'!B286),9)="Location:",TRIM(MID('MSR RAW'!B286,10,999)),D285)</f>
        <v>FB 155 - SUB ISLAND NOODLES</v>
      </c>
      <c r="E286" t="str">
        <f>IF(AND(ISNUMBER(SEARCH(" - ",TRIM('MSR RAW'!C286))),RIGHT(TRIM('MSR RAW'!C286),6)="Total:"),LEFT(TRIM('MSR RAW'!C286),SEARCH(" - ",TRIM('MSR RAW'!C286))-1),"")</f>
        <v/>
      </c>
      <c r="F286" t="str">
        <f>IF(E286="","",TRIM(MID(TRIM('MSR RAW'!C286),SEARCH(" - ",TRIM('MSR RAW'!C286))+3,LEN(TRIM('MSR RAW'!C286))-SEARCH(" - ",TRIM('MSR RAW'!C286))-9)))</f>
        <v/>
      </c>
      <c r="G286" t="str">
        <f>IF(E286="","",IFERROR(VLOOKUP(E286,'CATEGORY MAP'!$A$2:$B$20,2,FALSE()),"REVIEW"))</f>
        <v/>
      </c>
      <c r="H286" t="str">
        <f>IF(E286="","",IFERROR(VALUE(SUBSTITUTE('MSR RAW'!P286,",","")),0))</f>
        <v/>
      </c>
      <c r="I286" t="str">
        <f>IF(E286="","",IFERROR(VALUE(SUBSTITUTE('MSR RAW'!S286,",","")),0))</f>
        <v/>
      </c>
    </row>
    <row r="287" spans="1:9" ht="68.650000000000006" customHeight="1" x14ac:dyDescent="0.2">
      <c r="A287">
        <v>287</v>
      </c>
      <c r="B28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87" t="str">
        <f>IF(LEFT(TRIM('MSR RAW'!A287),11)="Department:",TRIM('MSR RAW'!A287),C286)</f>
        <v>Department: 36637 - SPECIALTY CONCESSIONS (VENDING)</v>
      </c>
      <c r="D287" t="str">
        <f>IF(LEFT(TRIM('MSR RAW'!B287),9)="Location:",TRIM(MID('MSR RAW'!B287,10,999)),D286)</f>
        <v>FB 155 - SUB ISLAND NOODLES</v>
      </c>
      <c r="E287" t="str">
        <f>IF(AND(ISNUMBER(SEARCH(" - ",TRIM('MSR RAW'!C287))),RIGHT(TRIM('MSR RAW'!C287),6)="Total:"),LEFT(TRIM('MSR RAW'!C287),SEARCH(" - ",TRIM('MSR RAW'!C287))-1),"")</f>
        <v/>
      </c>
      <c r="F287" t="str">
        <f>IF(E287="","",TRIM(MID(TRIM('MSR RAW'!C287),SEARCH(" - ",TRIM('MSR RAW'!C287))+3,LEN(TRIM('MSR RAW'!C287))-SEARCH(" - ",TRIM('MSR RAW'!C287))-9)))</f>
        <v/>
      </c>
      <c r="G287" t="str">
        <f>IF(E287="","",IFERROR(VLOOKUP(E287,'CATEGORY MAP'!$A$2:$B$20,2,FALSE()),"REVIEW"))</f>
        <v/>
      </c>
      <c r="H287" t="str">
        <f>IF(E287="","",IFERROR(VALUE(SUBSTITUTE('MSR RAW'!P287,",","")),0))</f>
        <v/>
      </c>
      <c r="I287" t="str">
        <f>IF(E287="","",IFERROR(VALUE(SUBSTITUTE('MSR RAW'!S287,",","")),0))</f>
        <v/>
      </c>
    </row>
    <row r="288" spans="1:9" ht="68.650000000000006" customHeight="1" x14ac:dyDescent="0.2">
      <c r="A288">
        <v>288</v>
      </c>
      <c r="B28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88" t="str">
        <f>IF(LEFT(TRIM('MSR RAW'!A288),11)="Department:",TRIM('MSR RAW'!A288),C287)</f>
        <v>Department: 36637 - SPECIALTY CONCESSIONS (VENDING)</v>
      </c>
      <c r="D288" t="str">
        <f>IF(LEFT(TRIM('MSR RAW'!B288),9)="Location:",TRIM(MID('MSR RAW'!B288,10,999)),D287)</f>
        <v>FB 155 - SUB ISLAND NOODLES</v>
      </c>
      <c r="E288" t="str">
        <f>IF(AND(ISNUMBER(SEARCH(" - ",TRIM('MSR RAW'!C288))),RIGHT(TRIM('MSR RAW'!C288),6)="Total:"),LEFT(TRIM('MSR RAW'!C288),SEARCH(" - ",TRIM('MSR RAW'!C288))-1),"")</f>
        <v/>
      </c>
      <c r="F288" t="str">
        <f>IF(E288="","",TRIM(MID(TRIM('MSR RAW'!C288),SEARCH(" - ",TRIM('MSR RAW'!C288))+3,LEN(TRIM('MSR RAW'!C288))-SEARCH(" - ",TRIM('MSR RAW'!C288))-9)))</f>
        <v/>
      </c>
      <c r="G288" t="str">
        <f>IF(E288="","",IFERROR(VLOOKUP(E288,'CATEGORY MAP'!$A$2:$B$20,2,FALSE()),"REVIEW"))</f>
        <v/>
      </c>
      <c r="H288" t="str">
        <f>IF(E288="","",IFERROR(VALUE(SUBSTITUTE('MSR RAW'!P288,",","")),0))</f>
        <v/>
      </c>
      <c r="I288" t="str">
        <f>IF(E288="","",IFERROR(VALUE(SUBSTITUTE('MSR RAW'!S288,",","")),0))</f>
        <v/>
      </c>
    </row>
    <row r="289" spans="1:9" ht="68.650000000000006" customHeight="1" x14ac:dyDescent="0.2">
      <c r="A289">
        <v>289</v>
      </c>
      <c r="B28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89" t="str">
        <f>IF(LEFT(TRIM('MSR RAW'!A289),11)="Department:",TRIM('MSR RAW'!A289),C288)</f>
        <v>Department: 36637 - SPECIALTY CONCESSIONS (VENDING)</v>
      </c>
      <c r="D289" t="str">
        <f>IF(LEFT(TRIM('MSR RAW'!B289),9)="Location:",TRIM(MID('MSR RAW'!B289,10,999)),D288)</f>
        <v>FB 155 - SUB ISLAND NOODLES</v>
      </c>
      <c r="E289" t="str">
        <f>IF(AND(ISNUMBER(SEARCH(" - ",TRIM('MSR RAW'!C289))),RIGHT(TRIM('MSR RAW'!C289),6)="Total:"),LEFT(TRIM('MSR RAW'!C289),SEARCH(" - ",TRIM('MSR RAW'!C289))-1),"")</f>
        <v/>
      </c>
      <c r="F289" t="str">
        <f>IF(E289="","",TRIM(MID(TRIM('MSR RAW'!C289),SEARCH(" - ",TRIM('MSR RAW'!C289))+3,LEN(TRIM('MSR RAW'!C289))-SEARCH(" - ",TRIM('MSR RAW'!C289))-9)))</f>
        <v/>
      </c>
      <c r="G289" t="str">
        <f>IF(E289="","",IFERROR(VLOOKUP(E289,'CATEGORY MAP'!$A$2:$B$20,2,FALSE()),"REVIEW"))</f>
        <v/>
      </c>
      <c r="H289" t="str">
        <f>IF(E289="","",IFERROR(VALUE(SUBSTITUTE('MSR RAW'!P289,",","")),0))</f>
        <v/>
      </c>
      <c r="I289" t="str">
        <f>IF(E289="","",IFERROR(VALUE(SUBSTITUTE('MSR RAW'!S289,",","")),0))</f>
        <v/>
      </c>
    </row>
    <row r="290" spans="1:9" ht="68.650000000000006" customHeight="1" x14ac:dyDescent="0.2">
      <c r="A290">
        <v>290</v>
      </c>
      <c r="B29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90" t="str">
        <f>IF(LEFT(TRIM('MSR RAW'!A290),11)="Department:",TRIM('MSR RAW'!A290),C289)</f>
        <v>Department: 36637 - SPECIALTY CONCESSIONS (VENDING)</v>
      </c>
      <c r="D290" t="str">
        <f>IF(LEFT(TRIM('MSR RAW'!B290),9)="Location:",TRIM(MID('MSR RAW'!B290,10,999)),D289)</f>
        <v>FB 155 - SUB ISLAND NOODLES</v>
      </c>
      <c r="E290" t="str">
        <f>IF(AND(ISNUMBER(SEARCH(" - ",TRIM('MSR RAW'!C290))),RIGHT(TRIM('MSR RAW'!C290),6)="Total:"),LEFT(TRIM('MSR RAW'!C290),SEARCH(" - ",TRIM('MSR RAW'!C290))-1),"")</f>
        <v/>
      </c>
      <c r="F290" t="str">
        <f>IF(E290="","",TRIM(MID(TRIM('MSR RAW'!C290),SEARCH(" - ",TRIM('MSR RAW'!C290))+3,LEN(TRIM('MSR RAW'!C290))-SEARCH(" - ",TRIM('MSR RAW'!C290))-9)))</f>
        <v/>
      </c>
      <c r="G290" t="str">
        <f>IF(E290="","",IFERROR(VLOOKUP(E290,'CATEGORY MAP'!$A$2:$B$20,2,FALSE()),"REVIEW"))</f>
        <v/>
      </c>
      <c r="H290" t="str">
        <f>IF(E290="","",IFERROR(VALUE(SUBSTITUTE('MSR RAW'!P290,",","")),0))</f>
        <v/>
      </c>
      <c r="I290" t="str">
        <f>IF(E290="","",IFERROR(VALUE(SUBSTITUTE('MSR RAW'!S290,",","")),0))</f>
        <v/>
      </c>
    </row>
    <row r="291" spans="1:9" ht="68.650000000000006" customHeight="1" x14ac:dyDescent="0.2">
      <c r="A291">
        <v>291</v>
      </c>
      <c r="B29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91" t="str">
        <f>IF(LEFT(TRIM('MSR RAW'!A291),11)="Department:",TRIM('MSR RAW'!A291),C290)</f>
        <v>Department: 36637 - SPECIALTY CONCESSIONS (VENDING)</v>
      </c>
      <c r="D291" t="str">
        <f>IF(LEFT(TRIM('MSR RAW'!B291),9)="Location:",TRIM(MID('MSR RAW'!B291,10,999)),D290)</f>
        <v>FB 155 - SUB ISLAND NOODLES</v>
      </c>
      <c r="E291" t="str">
        <f>IF(AND(ISNUMBER(SEARCH(" - ",TRIM('MSR RAW'!C291))),RIGHT(TRIM('MSR RAW'!C291),6)="Total:"),LEFT(TRIM('MSR RAW'!C291),SEARCH(" - ",TRIM('MSR RAW'!C291))-1),"")</f>
        <v/>
      </c>
      <c r="F291" t="str">
        <f>IF(E291="","",TRIM(MID(TRIM('MSR RAW'!C291),SEARCH(" - ",TRIM('MSR RAW'!C291))+3,LEN(TRIM('MSR RAW'!C291))-SEARCH(" - ",TRIM('MSR RAW'!C291))-9)))</f>
        <v/>
      </c>
      <c r="G291" t="str">
        <f>IF(E291="","",IFERROR(VLOOKUP(E291,'CATEGORY MAP'!$A$2:$B$20,2,FALSE()),"REVIEW"))</f>
        <v/>
      </c>
      <c r="H291" t="str">
        <f>IF(E291="","",IFERROR(VALUE(SUBSTITUTE('MSR RAW'!P291,",","")),0))</f>
        <v/>
      </c>
      <c r="I291" t="str">
        <f>IF(E291="","",IFERROR(VALUE(SUBSTITUTE('MSR RAW'!S291,",","")),0))</f>
        <v/>
      </c>
    </row>
    <row r="292" spans="1:9" ht="68.650000000000006" customHeight="1" x14ac:dyDescent="0.2">
      <c r="A292">
        <v>292</v>
      </c>
      <c r="B29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92" t="str">
        <f>IF(LEFT(TRIM('MSR RAW'!A292),11)="Department:",TRIM('MSR RAW'!A292),C291)</f>
        <v>Department: 36637 - SPECIALTY CONCESSIONS (VENDING)</v>
      </c>
      <c r="D292" t="str">
        <f>IF(LEFT(TRIM('MSR RAW'!B292),9)="Location:",TRIM(MID('MSR RAW'!B292,10,999)),D291)</f>
        <v>FB 155 - SUB ISLAND NOODLES</v>
      </c>
      <c r="E292" t="str">
        <f>IF(AND(ISNUMBER(SEARCH(" - ",TRIM('MSR RAW'!C292))),RIGHT(TRIM('MSR RAW'!C292),6)="Total:"),LEFT(TRIM('MSR RAW'!C292),SEARCH(" - ",TRIM('MSR RAW'!C292))-1),"")</f>
        <v/>
      </c>
      <c r="F292" t="str">
        <f>IF(E292="","",TRIM(MID(TRIM('MSR RAW'!C292),SEARCH(" - ",TRIM('MSR RAW'!C292))+3,LEN(TRIM('MSR RAW'!C292))-SEARCH(" - ",TRIM('MSR RAW'!C292))-9)))</f>
        <v/>
      </c>
      <c r="G292" t="str">
        <f>IF(E292="","",IFERROR(VLOOKUP(E292,'CATEGORY MAP'!$A$2:$B$20,2,FALSE()),"REVIEW"))</f>
        <v/>
      </c>
      <c r="H292" t="str">
        <f>IF(E292="","",IFERROR(VALUE(SUBSTITUTE('MSR RAW'!P292,",","")),0))</f>
        <v/>
      </c>
      <c r="I292" t="str">
        <f>IF(E292="","",IFERROR(VALUE(SUBSTITUTE('MSR RAW'!S292,",","")),0))</f>
        <v/>
      </c>
    </row>
    <row r="293" spans="1:9" ht="68.650000000000006" customHeight="1" x14ac:dyDescent="0.2">
      <c r="A293">
        <v>293</v>
      </c>
      <c r="B29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93" t="str">
        <f>IF(LEFT(TRIM('MSR RAW'!A293),11)="Department:",TRIM('MSR RAW'!A293),C292)</f>
        <v>Department: 36637 - SPECIALTY CONCESSIONS (VENDING)</v>
      </c>
      <c r="D293" t="str">
        <f>IF(LEFT(TRIM('MSR RAW'!B293),9)="Location:",TRIM(MID('MSR RAW'!B293,10,999)),D292)</f>
        <v>FB 155 - SUB ISLAND NOODLES</v>
      </c>
      <c r="E293" t="str">
        <f>IF(AND(ISNUMBER(SEARCH(" - ",TRIM('MSR RAW'!C293))),RIGHT(TRIM('MSR RAW'!C293),6)="Total:"),LEFT(TRIM('MSR RAW'!C293),SEARCH(" - ",TRIM('MSR RAW'!C293))-1),"")</f>
        <v/>
      </c>
      <c r="F293" t="str">
        <f>IF(E293="","",TRIM(MID(TRIM('MSR RAW'!C293),SEARCH(" - ",TRIM('MSR RAW'!C293))+3,LEN(TRIM('MSR RAW'!C293))-SEARCH(" - ",TRIM('MSR RAW'!C293))-9)))</f>
        <v/>
      </c>
      <c r="G293" t="str">
        <f>IF(E293="","",IFERROR(VLOOKUP(E293,'CATEGORY MAP'!$A$2:$B$20,2,FALSE()),"REVIEW"))</f>
        <v/>
      </c>
      <c r="H293" t="str">
        <f>IF(E293="","",IFERROR(VALUE(SUBSTITUTE('MSR RAW'!P293,",","")),0))</f>
        <v/>
      </c>
      <c r="I293" t="str">
        <f>IF(E293="","",IFERROR(VALUE(SUBSTITUTE('MSR RAW'!S293,",","")),0))</f>
        <v/>
      </c>
    </row>
    <row r="294" spans="1:9" ht="68.650000000000006" customHeight="1" x14ac:dyDescent="0.2">
      <c r="A294">
        <v>294</v>
      </c>
      <c r="B29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94" t="str">
        <f>IF(LEFT(TRIM('MSR RAW'!A294),11)="Department:",TRIM('MSR RAW'!A294),C293)</f>
        <v>Department: 36637 - SPECIALTY CONCESSIONS (VENDING)</v>
      </c>
      <c r="D294" t="str">
        <f>IF(LEFT(TRIM('MSR RAW'!B294),9)="Location:",TRIM(MID('MSR RAW'!B294,10,999)),D293)</f>
        <v>FB 155 - SUB ISLAND NOODLES</v>
      </c>
      <c r="E294" t="str">
        <f>IF(AND(ISNUMBER(SEARCH(" - ",TRIM('MSR RAW'!C294))),RIGHT(TRIM('MSR RAW'!C294),6)="Total:"),LEFT(TRIM('MSR RAW'!C294),SEARCH(" - ",TRIM('MSR RAW'!C294))-1),"")</f>
        <v/>
      </c>
      <c r="F294" t="str">
        <f>IF(E294="","",TRIM(MID(TRIM('MSR RAW'!C294),SEARCH(" - ",TRIM('MSR RAW'!C294))+3,LEN(TRIM('MSR RAW'!C294))-SEARCH(" - ",TRIM('MSR RAW'!C294))-9)))</f>
        <v/>
      </c>
      <c r="G294" t="str">
        <f>IF(E294="","",IFERROR(VLOOKUP(E294,'CATEGORY MAP'!$A$2:$B$20,2,FALSE()),"REVIEW"))</f>
        <v/>
      </c>
      <c r="H294" t="str">
        <f>IF(E294="","",IFERROR(VALUE(SUBSTITUTE('MSR RAW'!P294,",","")),0))</f>
        <v/>
      </c>
      <c r="I294" t="str">
        <f>IF(E294="","",IFERROR(VALUE(SUBSTITUTE('MSR RAW'!S294,",","")),0))</f>
        <v/>
      </c>
    </row>
    <row r="295" spans="1:9" ht="68.650000000000006" customHeight="1" x14ac:dyDescent="0.2">
      <c r="A295">
        <v>295</v>
      </c>
      <c r="B29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95" t="str">
        <f>IF(LEFT(TRIM('MSR RAW'!A295),11)="Department:",TRIM('MSR RAW'!A295),C294)</f>
        <v>Department: 36637 - SPECIALTY CONCESSIONS (VENDING)</v>
      </c>
      <c r="D295" t="str">
        <f>IF(LEFT(TRIM('MSR RAW'!B295),9)="Location:",TRIM(MID('MSR RAW'!B295,10,999)),D294)</f>
        <v>FB 155 - SUB ISLAND NOODLES</v>
      </c>
      <c r="E295" t="str">
        <f>IF(AND(ISNUMBER(SEARCH(" - ",TRIM('MSR RAW'!C295))),RIGHT(TRIM('MSR RAW'!C295),6)="Total:"),LEFT(TRIM('MSR RAW'!C295),SEARCH(" - ",TRIM('MSR RAW'!C295))-1),"")</f>
        <v/>
      </c>
      <c r="F295" t="str">
        <f>IF(E295="","",TRIM(MID(TRIM('MSR RAW'!C295),SEARCH(" - ",TRIM('MSR RAW'!C295))+3,LEN(TRIM('MSR RAW'!C295))-SEARCH(" - ",TRIM('MSR RAW'!C295))-9)))</f>
        <v/>
      </c>
      <c r="G295" t="str">
        <f>IF(E295="","",IFERROR(VLOOKUP(E295,'CATEGORY MAP'!$A$2:$B$20,2,FALSE()),"REVIEW"))</f>
        <v/>
      </c>
      <c r="H295" t="str">
        <f>IF(E295="","",IFERROR(VALUE(SUBSTITUTE('MSR RAW'!P295,",","")),0))</f>
        <v/>
      </c>
      <c r="I295" t="str">
        <f>IF(E295="","",IFERROR(VALUE(SUBSTITUTE('MSR RAW'!S295,",","")),0))</f>
        <v/>
      </c>
    </row>
    <row r="296" spans="1:9" ht="68.650000000000006" customHeight="1" x14ac:dyDescent="0.2">
      <c r="A296">
        <v>296</v>
      </c>
      <c r="B29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96" t="str">
        <f>IF(LEFT(TRIM('MSR RAW'!A296),11)="Department:",TRIM('MSR RAW'!A296),C295)</f>
        <v>Department: 36637 - SPECIALTY CONCESSIONS (VENDING)</v>
      </c>
      <c r="D296" t="str">
        <f>IF(LEFT(TRIM('MSR RAW'!B296),9)="Location:",TRIM(MID('MSR RAW'!B296,10,999)),D295)</f>
        <v>FB 155 - SUB ISLAND NOODLES</v>
      </c>
      <c r="E296" t="str">
        <f>IF(AND(ISNUMBER(SEARCH(" - ",TRIM('MSR RAW'!C296))),RIGHT(TRIM('MSR RAW'!C296),6)="Total:"),LEFT(TRIM('MSR RAW'!C296),SEARCH(" - ",TRIM('MSR RAW'!C296))-1),"")</f>
        <v/>
      </c>
      <c r="F296" t="str">
        <f>IF(E296="","",TRIM(MID(TRIM('MSR RAW'!C296),SEARCH(" - ",TRIM('MSR RAW'!C296))+3,LEN(TRIM('MSR RAW'!C296))-SEARCH(" - ",TRIM('MSR RAW'!C296))-9)))</f>
        <v/>
      </c>
      <c r="G296" t="str">
        <f>IF(E296="","",IFERROR(VLOOKUP(E296,'CATEGORY MAP'!$A$2:$B$20,2,FALSE()),"REVIEW"))</f>
        <v/>
      </c>
      <c r="H296" t="str">
        <f>IF(E296="","",IFERROR(VALUE(SUBSTITUTE('MSR RAW'!P296,",","")),0))</f>
        <v/>
      </c>
      <c r="I296" t="str">
        <f>IF(E296="","",IFERROR(VALUE(SUBSTITUTE('MSR RAW'!S296,",","")),0))</f>
        <v/>
      </c>
    </row>
    <row r="297" spans="1:9" ht="68.650000000000006" customHeight="1" x14ac:dyDescent="0.2">
      <c r="A297">
        <v>297</v>
      </c>
      <c r="B29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97" t="str">
        <f>IF(LEFT(TRIM('MSR RAW'!A297),11)="Department:",TRIM('MSR RAW'!A297),C296)</f>
        <v>Department: 36637 - SPECIALTY CONCESSIONS (VENDING)</v>
      </c>
      <c r="D297" t="str">
        <f>IF(LEFT(TRIM('MSR RAW'!B297),9)="Location:",TRIM(MID('MSR RAW'!B297,10,999)),D296)</f>
        <v>FB 155 - SUB ISLAND NOODLES</v>
      </c>
      <c r="E297" t="str">
        <f>IF(AND(ISNUMBER(SEARCH(" - ",TRIM('MSR RAW'!C297))),RIGHT(TRIM('MSR RAW'!C297),6)="Total:"),LEFT(TRIM('MSR RAW'!C297),SEARCH(" - ",TRIM('MSR RAW'!C297))-1),"")</f>
        <v/>
      </c>
      <c r="F297" t="str">
        <f>IF(E297="","",TRIM(MID(TRIM('MSR RAW'!C297),SEARCH(" - ",TRIM('MSR RAW'!C297))+3,LEN(TRIM('MSR RAW'!C297))-SEARCH(" - ",TRIM('MSR RAW'!C297))-9)))</f>
        <v/>
      </c>
      <c r="G297" t="str">
        <f>IF(E297="","",IFERROR(VLOOKUP(E297,'CATEGORY MAP'!$A$2:$B$20,2,FALSE()),"REVIEW"))</f>
        <v/>
      </c>
      <c r="H297" t="str">
        <f>IF(E297="","",IFERROR(VALUE(SUBSTITUTE('MSR RAW'!P297,",","")),0))</f>
        <v/>
      </c>
      <c r="I297" t="str">
        <f>IF(E297="","",IFERROR(VALUE(SUBSTITUTE('MSR RAW'!S297,",","")),0))</f>
        <v/>
      </c>
    </row>
    <row r="298" spans="1:9" ht="68.650000000000006" customHeight="1" x14ac:dyDescent="0.2">
      <c r="A298">
        <v>298</v>
      </c>
      <c r="B29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98" t="str">
        <f>IF(LEFT(TRIM('MSR RAW'!A298),11)="Department:",TRIM('MSR RAW'!A298),C297)</f>
        <v>Department: 36637 - SPECIALTY CONCESSIONS (VENDING)</v>
      </c>
      <c r="D298" t="str">
        <f>IF(LEFT(TRIM('MSR RAW'!B298),9)="Location:",TRIM(MID('MSR RAW'!B298,10,999)),D297)</f>
        <v>FB 155 - SUB ISLAND NOODLES</v>
      </c>
      <c r="E298" t="str">
        <f>IF(AND(ISNUMBER(SEARCH(" - ",TRIM('MSR RAW'!C298))),RIGHT(TRIM('MSR RAW'!C298),6)="Total:"),LEFT(TRIM('MSR RAW'!C298),SEARCH(" - ",TRIM('MSR RAW'!C298))-1),"")</f>
        <v/>
      </c>
      <c r="F298" t="str">
        <f>IF(E298="","",TRIM(MID(TRIM('MSR RAW'!C298),SEARCH(" - ",TRIM('MSR RAW'!C298))+3,LEN(TRIM('MSR RAW'!C298))-SEARCH(" - ",TRIM('MSR RAW'!C298))-9)))</f>
        <v/>
      </c>
      <c r="G298" t="str">
        <f>IF(E298="","",IFERROR(VLOOKUP(E298,'CATEGORY MAP'!$A$2:$B$20,2,FALSE()),"REVIEW"))</f>
        <v/>
      </c>
      <c r="H298" t="str">
        <f>IF(E298="","",IFERROR(VALUE(SUBSTITUTE('MSR RAW'!P298,",","")),0))</f>
        <v/>
      </c>
      <c r="I298" t="str">
        <f>IF(E298="","",IFERROR(VALUE(SUBSTITUTE('MSR RAW'!S298,",","")),0))</f>
        <v/>
      </c>
    </row>
    <row r="299" spans="1:9" ht="68.650000000000006" customHeight="1" x14ac:dyDescent="0.2">
      <c r="A299">
        <v>299</v>
      </c>
      <c r="B29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99" t="str">
        <f>IF(LEFT(TRIM('MSR RAW'!A299),11)="Department:",TRIM('MSR RAW'!A299),C298)</f>
        <v>Department: 36637 - SPECIALTY CONCESSIONS (VENDING)</v>
      </c>
      <c r="D299" t="str">
        <f>IF(LEFT(TRIM('MSR RAW'!B299),9)="Location:",TRIM(MID('MSR RAW'!B299,10,999)),D298)</f>
        <v>FB 155 - SUB ISLAND NOODLES</v>
      </c>
      <c r="E299" t="str">
        <f>IF(AND(ISNUMBER(SEARCH(" - ",TRIM('MSR RAW'!C299))),RIGHT(TRIM('MSR RAW'!C299),6)="Total:"),LEFT(TRIM('MSR RAW'!C299),SEARCH(" - ",TRIM('MSR RAW'!C299))-1),"")</f>
        <v/>
      </c>
      <c r="F299" t="str">
        <f>IF(E299="","",TRIM(MID(TRIM('MSR RAW'!C299),SEARCH(" - ",TRIM('MSR RAW'!C299))+3,LEN(TRIM('MSR RAW'!C299))-SEARCH(" - ",TRIM('MSR RAW'!C299))-9)))</f>
        <v/>
      </c>
      <c r="G299" t="str">
        <f>IF(E299="","",IFERROR(VLOOKUP(E299,'CATEGORY MAP'!$A$2:$B$20,2,FALSE()),"REVIEW"))</f>
        <v/>
      </c>
      <c r="H299" t="str">
        <f>IF(E299="","",IFERROR(VALUE(SUBSTITUTE('MSR RAW'!P299,",","")),0))</f>
        <v/>
      </c>
      <c r="I299" t="str">
        <f>IF(E299="","",IFERROR(VALUE(SUBSTITUTE('MSR RAW'!S299,",","")),0))</f>
        <v/>
      </c>
    </row>
    <row r="300" spans="1:9" ht="68.650000000000006" customHeight="1" x14ac:dyDescent="0.2">
      <c r="A300">
        <v>300</v>
      </c>
      <c r="B30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00" t="str">
        <f>IF(LEFT(TRIM('MSR RAW'!A300),11)="Department:",TRIM('MSR RAW'!A300),C299)</f>
        <v>Department: 36637 - SPECIALTY CONCESSIONS (VENDING)</v>
      </c>
      <c r="D300" t="str">
        <f>IF(LEFT(TRIM('MSR RAW'!B300),9)="Location:",TRIM(MID('MSR RAW'!B300,10,999)),D299)</f>
        <v>FB 155 - SUB ISLAND NOODLES</v>
      </c>
      <c r="E300" t="str">
        <f>IF(AND(ISNUMBER(SEARCH(" - ",TRIM('MSR RAW'!C300))),RIGHT(TRIM('MSR RAW'!C300),6)="Total:"),LEFT(TRIM('MSR RAW'!C300),SEARCH(" - ",TRIM('MSR RAW'!C300))-1),"")</f>
        <v/>
      </c>
      <c r="F300" t="str">
        <f>IF(E300="","",TRIM(MID(TRIM('MSR RAW'!C300),SEARCH(" - ",TRIM('MSR RAW'!C300))+3,LEN(TRIM('MSR RAW'!C300))-SEARCH(" - ",TRIM('MSR RAW'!C300))-9)))</f>
        <v/>
      </c>
      <c r="G300" t="str">
        <f>IF(E300="","",IFERROR(VLOOKUP(E300,'CATEGORY MAP'!$A$2:$B$20,2,FALSE()),"REVIEW"))</f>
        <v/>
      </c>
      <c r="H300" t="str">
        <f>IF(E300="","",IFERROR(VALUE(SUBSTITUTE('MSR RAW'!P300,",","")),0))</f>
        <v/>
      </c>
      <c r="I300" t="str">
        <f>IF(E300="","",IFERROR(VALUE(SUBSTITUTE('MSR RAW'!S300,",","")),0))</f>
        <v/>
      </c>
    </row>
    <row r="301" spans="1:9" ht="68.650000000000006" customHeight="1" x14ac:dyDescent="0.2">
      <c r="A301">
        <v>301</v>
      </c>
      <c r="B30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01" t="str">
        <f>IF(LEFT(TRIM('MSR RAW'!A301),11)="Department:",TRIM('MSR RAW'!A301),C300)</f>
        <v>Department: 36637 - SPECIALTY CONCESSIONS (VENDING)</v>
      </c>
      <c r="D301" t="str">
        <f>IF(LEFT(TRIM('MSR RAW'!B301),9)="Location:",TRIM(MID('MSR RAW'!B301,10,999)),D300)</f>
        <v>FB 155 - SUB ISLAND NOODLES</v>
      </c>
      <c r="E301" t="str">
        <f>IF(AND(ISNUMBER(SEARCH(" - ",TRIM('MSR RAW'!C301))),RIGHT(TRIM('MSR RAW'!C301),6)="Total:"),LEFT(TRIM('MSR RAW'!C301),SEARCH(" - ",TRIM('MSR RAW'!C301))-1),"")</f>
        <v/>
      </c>
      <c r="F301" t="str">
        <f>IF(E301="","",TRIM(MID(TRIM('MSR RAW'!C301),SEARCH(" - ",TRIM('MSR RAW'!C301))+3,LEN(TRIM('MSR RAW'!C301))-SEARCH(" - ",TRIM('MSR RAW'!C301))-9)))</f>
        <v/>
      </c>
      <c r="G301" t="str">
        <f>IF(E301="","",IFERROR(VLOOKUP(E301,'CATEGORY MAP'!$A$2:$B$20,2,FALSE()),"REVIEW"))</f>
        <v/>
      </c>
      <c r="H301" t="str">
        <f>IF(E301="","",IFERROR(VALUE(SUBSTITUTE('MSR RAW'!P301,",","")),0))</f>
        <v/>
      </c>
      <c r="I301" t="str">
        <f>IF(E301="","",IFERROR(VALUE(SUBSTITUTE('MSR RAW'!S301,",","")),0))</f>
        <v/>
      </c>
    </row>
    <row r="302" spans="1:9" ht="68.650000000000006" customHeight="1" x14ac:dyDescent="0.2">
      <c r="A302">
        <v>302</v>
      </c>
      <c r="B30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02" t="str">
        <f>IF(LEFT(TRIM('MSR RAW'!A302),11)="Department:",TRIM('MSR RAW'!A302),C301)</f>
        <v>Department: 36637 - SPECIALTY CONCESSIONS (VENDING)</v>
      </c>
      <c r="D302" t="str">
        <f>IF(LEFT(TRIM('MSR RAW'!B302),9)="Location:",TRIM(MID('MSR RAW'!B302,10,999)),D301)</f>
        <v>FB 155 - SUB ISLAND NOODLES</v>
      </c>
      <c r="E302" t="str">
        <f>IF(AND(ISNUMBER(SEARCH(" - ",TRIM('MSR RAW'!C302))),RIGHT(TRIM('MSR RAW'!C302),6)="Total:"),LEFT(TRIM('MSR RAW'!C302),SEARCH(" - ",TRIM('MSR RAW'!C302))-1),"")</f>
        <v/>
      </c>
      <c r="F302" t="str">
        <f>IF(E302="","",TRIM(MID(TRIM('MSR RAW'!C302),SEARCH(" - ",TRIM('MSR RAW'!C302))+3,LEN(TRIM('MSR RAW'!C302))-SEARCH(" - ",TRIM('MSR RAW'!C302))-9)))</f>
        <v/>
      </c>
      <c r="G302" t="str">
        <f>IF(E302="","",IFERROR(VLOOKUP(E302,'CATEGORY MAP'!$A$2:$B$20,2,FALSE()),"REVIEW"))</f>
        <v/>
      </c>
      <c r="H302" t="str">
        <f>IF(E302="","",IFERROR(VALUE(SUBSTITUTE('MSR RAW'!P302,",","")),0))</f>
        <v/>
      </c>
      <c r="I302" t="str">
        <f>IF(E302="","",IFERROR(VALUE(SUBSTITUTE('MSR RAW'!S302,",","")),0))</f>
        <v/>
      </c>
    </row>
    <row r="303" spans="1:9" ht="68.650000000000006" customHeight="1" x14ac:dyDescent="0.2">
      <c r="A303">
        <v>303</v>
      </c>
      <c r="B30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03" t="str">
        <f>IF(LEFT(TRIM('MSR RAW'!A303),11)="Department:",TRIM('MSR RAW'!A303),C302)</f>
        <v>Department: 36637 - SPECIALTY CONCESSIONS (VENDING)</v>
      </c>
      <c r="D303" t="str">
        <f>IF(LEFT(TRIM('MSR RAW'!B303),9)="Location:",TRIM(MID('MSR RAW'!B303,10,999)),D302)</f>
        <v>FB 155 - SUB ISLAND NOODLES</v>
      </c>
      <c r="E303" t="str">
        <f>IF(AND(ISNUMBER(SEARCH(" - ",TRIM('MSR RAW'!C303))),RIGHT(TRIM('MSR RAW'!C303),6)="Total:"),LEFT(TRIM('MSR RAW'!C303),SEARCH(" - ",TRIM('MSR RAW'!C303))-1),"")</f>
        <v/>
      </c>
      <c r="F303" t="str">
        <f>IF(E303="","",TRIM(MID(TRIM('MSR RAW'!C303),SEARCH(" - ",TRIM('MSR RAW'!C303))+3,LEN(TRIM('MSR RAW'!C303))-SEARCH(" - ",TRIM('MSR RAW'!C303))-9)))</f>
        <v/>
      </c>
      <c r="G303" t="str">
        <f>IF(E303="","",IFERROR(VLOOKUP(E303,'CATEGORY MAP'!$A$2:$B$20,2,FALSE()),"REVIEW"))</f>
        <v/>
      </c>
      <c r="H303" t="str">
        <f>IF(E303="","",IFERROR(VALUE(SUBSTITUTE('MSR RAW'!P303,",","")),0))</f>
        <v/>
      </c>
      <c r="I303" t="str">
        <f>IF(E303="","",IFERROR(VALUE(SUBSTITUTE('MSR RAW'!S303,",","")),0))</f>
        <v/>
      </c>
    </row>
    <row r="304" spans="1:9" ht="68.650000000000006" customHeight="1" x14ac:dyDescent="0.2">
      <c r="A304">
        <v>304</v>
      </c>
      <c r="B30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04" t="str">
        <f>IF(LEFT(TRIM('MSR RAW'!A304),11)="Department:",TRIM('MSR RAW'!A304),C303)</f>
        <v>Department: 36637 - SPECIALTY CONCESSIONS (VENDING)</v>
      </c>
      <c r="D304" t="str">
        <f>IF(LEFT(TRIM('MSR RAW'!B304),9)="Location:",TRIM(MID('MSR RAW'!B304,10,999)),D303)</f>
        <v>FB 155 - SUB ISLAND NOODLES</v>
      </c>
      <c r="E304" t="str">
        <f>IF(AND(ISNUMBER(SEARCH(" - ",TRIM('MSR RAW'!C304))),RIGHT(TRIM('MSR RAW'!C304),6)="Total:"),LEFT(TRIM('MSR RAW'!C304),SEARCH(" - ",TRIM('MSR RAW'!C304))-1),"")</f>
        <v/>
      </c>
      <c r="F304" t="str">
        <f>IF(E304="","",TRIM(MID(TRIM('MSR RAW'!C304),SEARCH(" - ",TRIM('MSR RAW'!C304))+3,LEN(TRIM('MSR RAW'!C304))-SEARCH(" - ",TRIM('MSR RAW'!C304))-9)))</f>
        <v/>
      </c>
      <c r="G304" t="str">
        <f>IF(E304="","",IFERROR(VLOOKUP(E304,'CATEGORY MAP'!$A$2:$B$20,2,FALSE()),"REVIEW"))</f>
        <v/>
      </c>
      <c r="H304" t="str">
        <f>IF(E304="","",IFERROR(VALUE(SUBSTITUTE('MSR RAW'!P304,",","")),0))</f>
        <v/>
      </c>
      <c r="I304" t="str">
        <f>IF(E304="","",IFERROR(VALUE(SUBSTITUTE('MSR RAW'!S304,",","")),0))</f>
        <v/>
      </c>
    </row>
    <row r="305" spans="1:9" ht="68.650000000000006" customHeight="1" x14ac:dyDescent="0.2">
      <c r="A305">
        <v>305</v>
      </c>
      <c r="B30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05" t="str">
        <f>IF(LEFT(TRIM('MSR RAW'!A305),11)="Department:",TRIM('MSR RAW'!A305),C304)</f>
        <v>Department: 36637 - SPECIALTY CONCESSIONS (VENDING)</v>
      </c>
      <c r="D305" t="str">
        <f>IF(LEFT(TRIM('MSR RAW'!B305),9)="Location:",TRIM(MID('MSR RAW'!B305,10,999)),D304)</f>
        <v>FB 155 - SUB ISLAND NOODLES</v>
      </c>
      <c r="E305" t="str">
        <f>IF(AND(ISNUMBER(SEARCH(" - ",TRIM('MSR RAW'!C305))),RIGHT(TRIM('MSR RAW'!C305),6)="Total:"),LEFT(TRIM('MSR RAW'!C305),SEARCH(" - ",TRIM('MSR RAW'!C305))-1),"")</f>
        <v/>
      </c>
      <c r="F305" t="str">
        <f>IF(E305="","",TRIM(MID(TRIM('MSR RAW'!C305),SEARCH(" - ",TRIM('MSR RAW'!C305))+3,LEN(TRIM('MSR RAW'!C305))-SEARCH(" - ",TRIM('MSR RAW'!C305))-9)))</f>
        <v/>
      </c>
      <c r="G305" t="str">
        <f>IF(E305="","",IFERROR(VLOOKUP(E305,'CATEGORY MAP'!$A$2:$B$20,2,FALSE()),"REVIEW"))</f>
        <v/>
      </c>
      <c r="H305" t="str">
        <f>IF(E305="","",IFERROR(VALUE(SUBSTITUTE('MSR RAW'!P305,",","")),0))</f>
        <v/>
      </c>
      <c r="I305" t="str">
        <f>IF(E305="","",IFERROR(VALUE(SUBSTITUTE('MSR RAW'!S305,",","")),0))</f>
        <v/>
      </c>
    </row>
    <row r="306" spans="1:9" ht="68.650000000000006" customHeight="1" x14ac:dyDescent="0.2">
      <c r="A306">
        <v>306</v>
      </c>
      <c r="B30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06" t="str">
        <f>IF(LEFT(TRIM('MSR RAW'!A306),11)="Department:",TRIM('MSR RAW'!A306),C305)</f>
        <v>Department: 36637 - SPECIALTY CONCESSIONS (VENDING)</v>
      </c>
      <c r="D306" t="str">
        <f>IF(LEFT(TRIM('MSR RAW'!B306),9)="Location:",TRIM(MID('MSR RAW'!B306,10,999)),D305)</f>
        <v>FB 155 - SUB ISLAND NOODLES</v>
      </c>
      <c r="E306" t="str">
        <f>IF(AND(ISNUMBER(SEARCH(" - ",TRIM('MSR RAW'!C306))),RIGHT(TRIM('MSR RAW'!C306),6)="Total:"),LEFT(TRIM('MSR RAW'!C306),SEARCH(" - ",TRIM('MSR RAW'!C306))-1),"")</f>
        <v/>
      </c>
      <c r="F306" t="str">
        <f>IF(E306="","",TRIM(MID(TRIM('MSR RAW'!C306),SEARCH(" - ",TRIM('MSR RAW'!C306))+3,LEN(TRIM('MSR RAW'!C306))-SEARCH(" - ",TRIM('MSR RAW'!C306))-9)))</f>
        <v/>
      </c>
      <c r="G306" t="str">
        <f>IF(E306="","",IFERROR(VLOOKUP(E306,'CATEGORY MAP'!$A$2:$B$20,2,FALSE()),"REVIEW"))</f>
        <v/>
      </c>
      <c r="H306" t="str">
        <f>IF(E306="","",IFERROR(VALUE(SUBSTITUTE('MSR RAW'!P306,",","")),0))</f>
        <v/>
      </c>
      <c r="I306" t="str">
        <f>IF(E306="","",IFERROR(VALUE(SUBSTITUTE('MSR RAW'!S306,",","")),0))</f>
        <v/>
      </c>
    </row>
    <row r="307" spans="1:9" ht="68.650000000000006" customHeight="1" x14ac:dyDescent="0.2">
      <c r="A307">
        <v>307</v>
      </c>
      <c r="B30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07" t="str">
        <f>IF(LEFT(TRIM('MSR RAW'!A307),11)="Department:",TRIM('MSR RAW'!A307),C306)</f>
        <v>Department: 36637 - SPECIALTY CONCESSIONS (VENDING)</v>
      </c>
      <c r="D307" t="str">
        <f>IF(LEFT(TRIM('MSR RAW'!B307),9)="Location:",TRIM(MID('MSR RAW'!B307,10,999)),D306)</f>
        <v>FB 155 - SUB ISLAND NOODLES</v>
      </c>
      <c r="E307" t="str">
        <f>IF(AND(ISNUMBER(SEARCH(" - ",TRIM('MSR RAW'!C307))),RIGHT(TRIM('MSR RAW'!C307),6)="Total:"),LEFT(TRIM('MSR RAW'!C307),SEARCH(" - ",TRIM('MSR RAW'!C307))-1),"")</f>
        <v/>
      </c>
      <c r="F307" t="str">
        <f>IF(E307="","",TRIM(MID(TRIM('MSR RAW'!C307),SEARCH(" - ",TRIM('MSR RAW'!C307))+3,LEN(TRIM('MSR RAW'!C307))-SEARCH(" - ",TRIM('MSR RAW'!C307))-9)))</f>
        <v/>
      </c>
      <c r="G307" t="str">
        <f>IF(E307="","",IFERROR(VLOOKUP(E307,'CATEGORY MAP'!$A$2:$B$20,2,FALSE()),"REVIEW"))</f>
        <v/>
      </c>
      <c r="H307" t="str">
        <f>IF(E307="","",IFERROR(VALUE(SUBSTITUTE('MSR RAW'!P307,",","")),0))</f>
        <v/>
      </c>
      <c r="I307" t="str">
        <f>IF(E307="","",IFERROR(VALUE(SUBSTITUTE('MSR RAW'!S307,",","")),0))</f>
        <v/>
      </c>
    </row>
    <row r="308" spans="1:9" ht="68.650000000000006" customHeight="1" x14ac:dyDescent="0.2">
      <c r="A308">
        <v>308</v>
      </c>
      <c r="B30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08" t="str">
        <f>IF(LEFT(TRIM('MSR RAW'!A308),11)="Department:",TRIM('MSR RAW'!A308),C307)</f>
        <v>Department: 36637 - SPECIALTY CONCESSIONS (VENDING)</v>
      </c>
      <c r="D308" t="str">
        <f>IF(LEFT(TRIM('MSR RAW'!B308),9)="Location:",TRIM(MID('MSR RAW'!B308,10,999)),D307)</f>
        <v>FB 155 - SUB ISLAND NOODLES</v>
      </c>
      <c r="E308" t="str">
        <f>IF(AND(ISNUMBER(SEARCH(" - ",TRIM('MSR RAW'!C308))),RIGHT(TRIM('MSR RAW'!C308),6)="Total:"),LEFT(TRIM('MSR RAW'!C308),SEARCH(" - ",TRIM('MSR RAW'!C308))-1),"")</f>
        <v/>
      </c>
      <c r="F308" t="str">
        <f>IF(E308="","",TRIM(MID(TRIM('MSR RAW'!C308),SEARCH(" - ",TRIM('MSR RAW'!C308))+3,LEN(TRIM('MSR RAW'!C308))-SEARCH(" - ",TRIM('MSR RAW'!C308))-9)))</f>
        <v/>
      </c>
      <c r="G308" t="str">
        <f>IF(E308="","",IFERROR(VLOOKUP(E308,'CATEGORY MAP'!$A$2:$B$20,2,FALSE()),"REVIEW"))</f>
        <v/>
      </c>
      <c r="H308" t="str">
        <f>IF(E308="","",IFERROR(VALUE(SUBSTITUTE('MSR RAW'!P308,",","")),0))</f>
        <v/>
      </c>
      <c r="I308" t="str">
        <f>IF(E308="","",IFERROR(VALUE(SUBSTITUTE('MSR RAW'!S308,",","")),0))</f>
        <v/>
      </c>
    </row>
    <row r="309" spans="1:9" ht="68.650000000000006" customHeight="1" x14ac:dyDescent="0.2">
      <c r="A309">
        <v>309</v>
      </c>
      <c r="B30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09" t="str">
        <f>IF(LEFT(TRIM('MSR RAW'!A309),11)="Department:",TRIM('MSR RAW'!A309),C308)</f>
        <v>Department: 36637 - SPECIALTY CONCESSIONS (VENDING)</v>
      </c>
      <c r="D309" t="str">
        <f>IF(LEFT(TRIM('MSR RAW'!B309),9)="Location:",TRIM(MID('MSR RAW'!B309,10,999)),D308)</f>
        <v>FB 155 - SUB ISLAND NOODLES</v>
      </c>
      <c r="E309" t="str">
        <f>IF(AND(ISNUMBER(SEARCH(" - ",TRIM('MSR RAW'!C309))),RIGHT(TRIM('MSR RAW'!C309),6)="Total:"),LEFT(TRIM('MSR RAW'!C309),SEARCH(" - ",TRIM('MSR RAW'!C309))-1),"")</f>
        <v/>
      </c>
      <c r="F309" t="str">
        <f>IF(E309="","",TRIM(MID(TRIM('MSR RAW'!C309),SEARCH(" - ",TRIM('MSR RAW'!C309))+3,LEN(TRIM('MSR RAW'!C309))-SEARCH(" - ",TRIM('MSR RAW'!C309))-9)))</f>
        <v/>
      </c>
      <c r="G309" t="str">
        <f>IF(E309="","",IFERROR(VLOOKUP(E309,'CATEGORY MAP'!$A$2:$B$20,2,FALSE()),"REVIEW"))</f>
        <v/>
      </c>
      <c r="H309" t="str">
        <f>IF(E309="","",IFERROR(VALUE(SUBSTITUTE('MSR RAW'!P309,",","")),0))</f>
        <v/>
      </c>
      <c r="I309" t="str">
        <f>IF(E309="","",IFERROR(VALUE(SUBSTITUTE('MSR RAW'!S309,",","")),0))</f>
        <v/>
      </c>
    </row>
    <row r="310" spans="1:9" ht="68.650000000000006" customHeight="1" x14ac:dyDescent="0.2">
      <c r="A310">
        <v>310</v>
      </c>
      <c r="B31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10" t="str">
        <f>IF(LEFT(TRIM('MSR RAW'!A310),11)="Department:",TRIM('MSR RAW'!A310),C309)</f>
        <v>Department: 36637 - SPECIALTY CONCESSIONS (VENDING)</v>
      </c>
      <c r="D310" t="str">
        <f>IF(LEFT(TRIM('MSR RAW'!B310),9)="Location:",TRIM(MID('MSR RAW'!B310,10,999)),D309)</f>
        <v>FB 155 - SUB ISLAND NOODLES</v>
      </c>
      <c r="E310" t="str">
        <f>IF(AND(ISNUMBER(SEARCH(" - ",TRIM('MSR RAW'!C310))),RIGHT(TRIM('MSR RAW'!C310),6)="Total:"),LEFT(TRIM('MSR RAW'!C310),SEARCH(" - ",TRIM('MSR RAW'!C310))-1),"")</f>
        <v/>
      </c>
      <c r="F310" t="str">
        <f>IF(E310="","",TRIM(MID(TRIM('MSR RAW'!C310),SEARCH(" - ",TRIM('MSR RAW'!C310))+3,LEN(TRIM('MSR RAW'!C310))-SEARCH(" - ",TRIM('MSR RAW'!C310))-9)))</f>
        <v/>
      </c>
      <c r="G310" t="str">
        <f>IF(E310="","",IFERROR(VLOOKUP(E310,'CATEGORY MAP'!$A$2:$B$20,2,FALSE()),"REVIEW"))</f>
        <v/>
      </c>
      <c r="H310" t="str">
        <f>IF(E310="","",IFERROR(VALUE(SUBSTITUTE('MSR RAW'!P310,",","")),0))</f>
        <v/>
      </c>
      <c r="I310" t="str">
        <f>IF(E310="","",IFERROR(VALUE(SUBSTITUTE('MSR RAW'!S310,",","")),0))</f>
        <v/>
      </c>
    </row>
    <row r="311" spans="1:9" ht="68.650000000000006" customHeight="1" x14ac:dyDescent="0.2">
      <c r="A311">
        <v>311</v>
      </c>
      <c r="B31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11" t="str">
        <f>IF(LEFT(TRIM('MSR RAW'!A311),11)="Department:",TRIM('MSR RAW'!A311),C310)</f>
        <v>Department: 36637 - SPECIALTY CONCESSIONS (VENDING)</v>
      </c>
      <c r="D311" t="str">
        <f>IF(LEFT(TRIM('MSR RAW'!B311),9)="Location:",TRIM(MID('MSR RAW'!B311,10,999)),D310)</f>
        <v>FB 155 - SUB ISLAND NOODLES</v>
      </c>
      <c r="E311" t="str">
        <f>IF(AND(ISNUMBER(SEARCH(" - ",TRIM('MSR RAW'!C311))),RIGHT(TRIM('MSR RAW'!C311),6)="Total:"),LEFT(TRIM('MSR RAW'!C311),SEARCH(" - ",TRIM('MSR RAW'!C311))-1),"")</f>
        <v/>
      </c>
      <c r="F311" t="str">
        <f>IF(E311="","",TRIM(MID(TRIM('MSR RAW'!C311),SEARCH(" - ",TRIM('MSR RAW'!C311))+3,LEN(TRIM('MSR RAW'!C311))-SEARCH(" - ",TRIM('MSR RAW'!C311))-9)))</f>
        <v/>
      </c>
      <c r="G311" t="str">
        <f>IF(E311="","",IFERROR(VLOOKUP(E311,'CATEGORY MAP'!$A$2:$B$20,2,FALSE()),"REVIEW"))</f>
        <v/>
      </c>
      <c r="H311" t="str">
        <f>IF(E311="","",IFERROR(VALUE(SUBSTITUTE('MSR RAW'!P311,",","")),0))</f>
        <v/>
      </c>
      <c r="I311" t="str">
        <f>IF(E311="","",IFERROR(VALUE(SUBSTITUTE('MSR RAW'!S311,",","")),0))</f>
        <v/>
      </c>
    </row>
    <row r="312" spans="1:9" ht="68.650000000000006" customHeight="1" x14ac:dyDescent="0.2">
      <c r="A312">
        <v>312</v>
      </c>
      <c r="B31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12" t="str">
        <f>IF(LEFT(TRIM('MSR RAW'!A312),11)="Department:",TRIM('MSR RAW'!A312),C311)</f>
        <v>Department: 36637 - SPECIALTY CONCESSIONS (VENDING)</v>
      </c>
      <c r="D312" t="str">
        <f>IF(LEFT(TRIM('MSR RAW'!B312),9)="Location:",TRIM(MID('MSR RAW'!B312,10,999)),D311)</f>
        <v>FB 155 - SUB ISLAND NOODLES</v>
      </c>
      <c r="E312" t="str">
        <f>IF(AND(ISNUMBER(SEARCH(" - ",TRIM('MSR RAW'!C312))),RIGHT(TRIM('MSR RAW'!C312),6)="Total:"),LEFT(TRIM('MSR RAW'!C312),SEARCH(" - ",TRIM('MSR RAW'!C312))-1),"")</f>
        <v/>
      </c>
      <c r="F312" t="str">
        <f>IF(E312="","",TRIM(MID(TRIM('MSR RAW'!C312),SEARCH(" - ",TRIM('MSR RAW'!C312))+3,LEN(TRIM('MSR RAW'!C312))-SEARCH(" - ",TRIM('MSR RAW'!C312))-9)))</f>
        <v/>
      </c>
      <c r="G312" t="str">
        <f>IF(E312="","",IFERROR(VLOOKUP(E312,'CATEGORY MAP'!$A$2:$B$20,2,FALSE()),"REVIEW"))</f>
        <v/>
      </c>
      <c r="H312" t="str">
        <f>IF(E312="","",IFERROR(VALUE(SUBSTITUTE('MSR RAW'!P312,",","")),0))</f>
        <v/>
      </c>
      <c r="I312" t="str">
        <f>IF(E312="","",IFERROR(VALUE(SUBSTITUTE('MSR RAW'!S312,",","")),0))</f>
        <v/>
      </c>
    </row>
    <row r="313" spans="1:9" ht="68.650000000000006" customHeight="1" x14ac:dyDescent="0.2">
      <c r="A313">
        <v>313</v>
      </c>
      <c r="B31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13" t="str">
        <f>IF(LEFT(TRIM('MSR RAW'!A313),11)="Department:",TRIM('MSR RAW'!A313),C312)</f>
        <v>Department: 36637 - SPECIALTY CONCESSIONS (VENDING)</v>
      </c>
      <c r="D313" t="str">
        <f>IF(LEFT(TRIM('MSR RAW'!B313),9)="Location:",TRIM(MID('MSR RAW'!B313,10,999)),D312)</f>
        <v>FB 155 - SUB ISLAND NOODLES</v>
      </c>
      <c r="E313" t="str">
        <f>IF(AND(ISNUMBER(SEARCH(" - ",TRIM('MSR RAW'!C313))),RIGHT(TRIM('MSR RAW'!C313),6)="Total:"),LEFT(TRIM('MSR RAW'!C313),SEARCH(" - ",TRIM('MSR RAW'!C313))-1),"")</f>
        <v/>
      </c>
      <c r="F313" t="str">
        <f>IF(E313="","",TRIM(MID(TRIM('MSR RAW'!C313),SEARCH(" - ",TRIM('MSR RAW'!C313))+3,LEN(TRIM('MSR RAW'!C313))-SEARCH(" - ",TRIM('MSR RAW'!C313))-9)))</f>
        <v/>
      </c>
      <c r="G313" t="str">
        <f>IF(E313="","",IFERROR(VLOOKUP(E313,'CATEGORY MAP'!$A$2:$B$20,2,FALSE()),"REVIEW"))</f>
        <v/>
      </c>
      <c r="H313" t="str">
        <f>IF(E313="","",IFERROR(VALUE(SUBSTITUTE('MSR RAW'!P313,",","")),0))</f>
        <v/>
      </c>
      <c r="I313" t="str">
        <f>IF(E313="","",IFERROR(VALUE(SUBSTITUTE('MSR RAW'!S313,",","")),0))</f>
        <v/>
      </c>
    </row>
    <row r="314" spans="1:9" ht="68.650000000000006" customHeight="1" x14ac:dyDescent="0.2">
      <c r="A314">
        <v>314</v>
      </c>
      <c r="B31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14" t="str">
        <f>IF(LEFT(TRIM('MSR RAW'!A314),11)="Department:",TRIM('MSR RAW'!A314),C313)</f>
        <v>Department: 36637 - SPECIALTY CONCESSIONS (VENDING)</v>
      </c>
      <c r="D314" t="str">
        <f>IF(LEFT(TRIM('MSR RAW'!B314),9)="Location:",TRIM(MID('MSR RAW'!B314,10,999)),D313)</f>
        <v>FB 155 - SUB ISLAND NOODLES</v>
      </c>
      <c r="E314" t="str">
        <f>IF(AND(ISNUMBER(SEARCH(" - ",TRIM('MSR RAW'!C314))),RIGHT(TRIM('MSR RAW'!C314),6)="Total:"),LEFT(TRIM('MSR RAW'!C314),SEARCH(" - ",TRIM('MSR RAW'!C314))-1),"")</f>
        <v/>
      </c>
      <c r="F314" t="str">
        <f>IF(E314="","",TRIM(MID(TRIM('MSR RAW'!C314),SEARCH(" - ",TRIM('MSR RAW'!C314))+3,LEN(TRIM('MSR RAW'!C314))-SEARCH(" - ",TRIM('MSR RAW'!C314))-9)))</f>
        <v/>
      </c>
      <c r="G314" t="str">
        <f>IF(E314="","",IFERROR(VLOOKUP(E314,'CATEGORY MAP'!$A$2:$B$20,2,FALSE()),"REVIEW"))</f>
        <v/>
      </c>
      <c r="H314" t="str">
        <f>IF(E314="","",IFERROR(VALUE(SUBSTITUTE('MSR RAW'!P314,",","")),0))</f>
        <v/>
      </c>
      <c r="I314" t="str">
        <f>IF(E314="","",IFERROR(VALUE(SUBSTITUTE('MSR RAW'!S314,",","")),0))</f>
        <v/>
      </c>
    </row>
    <row r="315" spans="1:9" ht="68.650000000000006" customHeight="1" x14ac:dyDescent="0.2">
      <c r="A315">
        <v>315</v>
      </c>
      <c r="B31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15" t="str">
        <f>IF(LEFT(TRIM('MSR RAW'!A315),11)="Department:",TRIM('MSR RAW'!A315),C314)</f>
        <v>Department: 36637 - SPECIALTY CONCESSIONS (VENDING)</v>
      </c>
      <c r="D315" t="str">
        <f>IF(LEFT(TRIM('MSR RAW'!B315),9)="Location:",TRIM(MID('MSR RAW'!B315,10,999)),D314)</f>
        <v>FB 155 - SUB ISLAND NOODLES</v>
      </c>
      <c r="E315" t="str">
        <f>IF(AND(ISNUMBER(SEARCH(" - ",TRIM('MSR RAW'!C315))),RIGHT(TRIM('MSR RAW'!C315),6)="Total:"),LEFT(TRIM('MSR RAW'!C315),SEARCH(" - ",TRIM('MSR RAW'!C315))-1),"")</f>
        <v/>
      </c>
      <c r="F315" t="str">
        <f>IF(E315="","",TRIM(MID(TRIM('MSR RAW'!C315),SEARCH(" - ",TRIM('MSR RAW'!C315))+3,LEN(TRIM('MSR RAW'!C315))-SEARCH(" - ",TRIM('MSR RAW'!C315))-9)))</f>
        <v/>
      </c>
      <c r="G315" t="str">
        <f>IF(E315="","",IFERROR(VLOOKUP(E315,'CATEGORY MAP'!$A$2:$B$20,2,FALSE()),"REVIEW"))</f>
        <v/>
      </c>
      <c r="H315" t="str">
        <f>IF(E315="","",IFERROR(VALUE(SUBSTITUTE('MSR RAW'!P315,",","")),0))</f>
        <v/>
      </c>
      <c r="I315" t="str">
        <f>IF(E315="","",IFERROR(VALUE(SUBSTITUTE('MSR RAW'!S315,",","")),0))</f>
        <v/>
      </c>
    </row>
    <row r="316" spans="1:9" ht="68.650000000000006" customHeight="1" x14ac:dyDescent="0.2">
      <c r="A316">
        <v>316</v>
      </c>
      <c r="B31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16" t="str">
        <f>IF(LEFT(TRIM('MSR RAW'!A316),11)="Department:",TRIM('MSR RAW'!A316),C315)</f>
        <v>Department: 36637 - SPECIALTY CONCESSIONS (VENDING)</v>
      </c>
      <c r="D316" t="str">
        <f>IF(LEFT(TRIM('MSR RAW'!B316),9)="Location:",TRIM(MID('MSR RAW'!B316,10,999)),D315)</f>
        <v>FB 155 - SUB ISLAND NOODLES</v>
      </c>
      <c r="E316" t="str">
        <f>IF(AND(ISNUMBER(SEARCH(" - ",TRIM('MSR RAW'!C316))),RIGHT(TRIM('MSR RAW'!C316),6)="Total:"),LEFT(TRIM('MSR RAW'!C316),SEARCH(" - ",TRIM('MSR RAW'!C316))-1),"")</f>
        <v/>
      </c>
      <c r="F316" t="str">
        <f>IF(E316="","",TRIM(MID(TRIM('MSR RAW'!C316),SEARCH(" - ",TRIM('MSR RAW'!C316))+3,LEN(TRIM('MSR RAW'!C316))-SEARCH(" - ",TRIM('MSR RAW'!C316))-9)))</f>
        <v/>
      </c>
      <c r="G316" t="str">
        <f>IF(E316="","",IFERROR(VLOOKUP(E316,'CATEGORY MAP'!$A$2:$B$20,2,FALSE()),"REVIEW"))</f>
        <v/>
      </c>
      <c r="H316" t="str">
        <f>IF(E316="","",IFERROR(VALUE(SUBSTITUTE('MSR RAW'!P316,",","")),0))</f>
        <v/>
      </c>
      <c r="I316" t="str">
        <f>IF(E316="","",IFERROR(VALUE(SUBSTITUTE('MSR RAW'!S316,",","")),0))</f>
        <v/>
      </c>
    </row>
    <row r="317" spans="1:9" ht="68.650000000000006" customHeight="1" x14ac:dyDescent="0.2">
      <c r="A317">
        <v>317</v>
      </c>
      <c r="B31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17" t="str">
        <f>IF(LEFT(TRIM('MSR RAW'!A317),11)="Department:",TRIM('MSR RAW'!A317),C316)</f>
        <v>Department: 36637 - SPECIALTY CONCESSIONS (VENDING)</v>
      </c>
      <c r="D317" t="str">
        <f>IF(LEFT(TRIM('MSR RAW'!B317),9)="Location:",TRIM(MID('MSR RAW'!B317,10,999)),D316)</f>
        <v>FB 155 - SUB ISLAND NOODLES</v>
      </c>
      <c r="E317" t="str">
        <f>IF(AND(ISNUMBER(SEARCH(" - ",TRIM('MSR RAW'!C317))),RIGHT(TRIM('MSR RAW'!C317),6)="Total:"),LEFT(TRIM('MSR RAW'!C317),SEARCH(" - ",TRIM('MSR RAW'!C317))-1),"")</f>
        <v/>
      </c>
      <c r="F317" t="str">
        <f>IF(E317="","",TRIM(MID(TRIM('MSR RAW'!C317),SEARCH(" - ",TRIM('MSR RAW'!C317))+3,LEN(TRIM('MSR RAW'!C317))-SEARCH(" - ",TRIM('MSR RAW'!C317))-9)))</f>
        <v/>
      </c>
      <c r="G317" t="str">
        <f>IF(E317="","",IFERROR(VLOOKUP(E317,'CATEGORY MAP'!$A$2:$B$20,2,FALSE()),"REVIEW"))</f>
        <v/>
      </c>
      <c r="H317" t="str">
        <f>IF(E317="","",IFERROR(VALUE(SUBSTITUTE('MSR RAW'!P317,",","")),0))</f>
        <v/>
      </c>
      <c r="I317" t="str">
        <f>IF(E317="","",IFERROR(VALUE(SUBSTITUTE('MSR RAW'!S317,",","")),0))</f>
        <v/>
      </c>
    </row>
    <row r="318" spans="1:9" ht="68.650000000000006" customHeight="1" x14ac:dyDescent="0.2">
      <c r="A318">
        <v>318</v>
      </c>
      <c r="B31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18" t="str">
        <f>IF(LEFT(TRIM('MSR RAW'!A318),11)="Department:",TRIM('MSR RAW'!A318),C317)</f>
        <v>Department: 36637 - SPECIALTY CONCESSIONS (VENDING)</v>
      </c>
      <c r="D318" t="str">
        <f>IF(LEFT(TRIM('MSR RAW'!B318),9)="Location:",TRIM(MID('MSR RAW'!B318,10,999)),D317)</f>
        <v>FB 155 - SUB ISLAND NOODLES</v>
      </c>
      <c r="E318" t="str">
        <f>IF(AND(ISNUMBER(SEARCH(" - ",TRIM('MSR RAW'!C318))),RIGHT(TRIM('MSR RAW'!C318),6)="Total:"),LEFT(TRIM('MSR RAW'!C318),SEARCH(" - ",TRIM('MSR RAW'!C318))-1),"")</f>
        <v/>
      </c>
      <c r="F318" t="str">
        <f>IF(E318="","",TRIM(MID(TRIM('MSR RAW'!C318),SEARCH(" - ",TRIM('MSR RAW'!C318))+3,LEN(TRIM('MSR RAW'!C318))-SEARCH(" - ",TRIM('MSR RAW'!C318))-9)))</f>
        <v/>
      </c>
      <c r="G318" t="str">
        <f>IF(E318="","",IFERROR(VLOOKUP(E318,'CATEGORY MAP'!$A$2:$B$20,2,FALSE()),"REVIEW"))</f>
        <v/>
      </c>
      <c r="H318" t="str">
        <f>IF(E318="","",IFERROR(VALUE(SUBSTITUTE('MSR RAW'!P318,",","")),0))</f>
        <v/>
      </c>
      <c r="I318" t="str">
        <f>IF(E318="","",IFERROR(VALUE(SUBSTITUTE('MSR RAW'!S318,",","")),0))</f>
        <v/>
      </c>
    </row>
    <row r="319" spans="1:9" ht="68.650000000000006" customHeight="1" x14ac:dyDescent="0.2">
      <c r="A319">
        <v>319</v>
      </c>
      <c r="B31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19" t="str">
        <f>IF(LEFT(TRIM('MSR RAW'!A319),11)="Department:",TRIM('MSR RAW'!A319),C318)</f>
        <v>Department: 36637 - SPECIALTY CONCESSIONS (VENDING)</v>
      </c>
      <c r="D319" t="str">
        <f>IF(LEFT(TRIM('MSR RAW'!B319),9)="Location:",TRIM(MID('MSR RAW'!B319,10,999)),D318)</f>
        <v>FB 155 - SUB ISLAND NOODLES</v>
      </c>
      <c r="E319" t="str">
        <f>IF(AND(ISNUMBER(SEARCH(" - ",TRIM('MSR RAW'!C319))),RIGHT(TRIM('MSR RAW'!C319),6)="Total:"),LEFT(TRIM('MSR RAW'!C319),SEARCH(" - ",TRIM('MSR RAW'!C319))-1),"")</f>
        <v/>
      </c>
      <c r="F319" t="str">
        <f>IF(E319="","",TRIM(MID(TRIM('MSR RAW'!C319),SEARCH(" - ",TRIM('MSR RAW'!C319))+3,LEN(TRIM('MSR RAW'!C319))-SEARCH(" - ",TRIM('MSR RAW'!C319))-9)))</f>
        <v/>
      </c>
      <c r="G319" t="str">
        <f>IF(E319="","",IFERROR(VLOOKUP(E319,'CATEGORY MAP'!$A$2:$B$20,2,FALSE()),"REVIEW"))</f>
        <v/>
      </c>
      <c r="H319" t="str">
        <f>IF(E319="","",IFERROR(VALUE(SUBSTITUTE('MSR RAW'!P319,",","")),0))</f>
        <v/>
      </c>
      <c r="I319" t="str">
        <f>IF(E319="","",IFERROR(VALUE(SUBSTITUTE('MSR RAW'!S319,",","")),0))</f>
        <v/>
      </c>
    </row>
    <row r="320" spans="1:9" ht="68.650000000000006" customHeight="1" x14ac:dyDescent="0.2">
      <c r="A320">
        <v>320</v>
      </c>
      <c r="B32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20" t="str">
        <f>IF(LEFT(TRIM('MSR RAW'!A320),11)="Department:",TRIM('MSR RAW'!A320),C319)</f>
        <v>Department: 36637 - SPECIALTY CONCESSIONS (VENDING)</v>
      </c>
      <c r="D320" t="str">
        <f>IF(LEFT(TRIM('MSR RAW'!B320),9)="Location:",TRIM(MID('MSR RAW'!B320,10,999)),D319)</f>
        <v>FB 155 - SUB ISLAND NOODLES</v>
      </c>
      <c r="E320" t="str">
        <f>IF(AND(ISNUMBER(SEARCH(" - ",TRIM('MSR RAW'!C320))),RIGHT(TRIM('MSR RAW'!C320),6)="Total:"),LEFT(TRIM('MSR RAW'!C320),SEARCH(" - ",TRIM('MSR RAW'!C320))-1),"")</f>
        <v/>
      </c>
      <c r="F320" t="str">
        <f>IF(E320="","",TRIM(MID(TRIM('MSR RAW'!C320),SEARCH(" - ",TRIM('MSR RAW'!C320))+3,LEN(TRIM('MSR RAW'!C320))-SEARCH(" - ",TRIM('MSR RAW'!C320))-9)))</f>
        <v/>
      </c>
      <c r="G320" t="str">
        <f>IF(E320="","",IFERROR(VLOOKUP(E320,'CATEGORY MAP'!$A$2:$B$20,2,FALSE()),"REVIEW"))</f>
        <v/>
      </c>
      <c r="H320" t="str">
        <f>IF(E320="","",IFERROR(VALUE(SUBSTITUTE('MSR RAW'!P320,",","")),0))</f>
        <v/>
      </c>
      <c r="I320" t="str">
        <f>IF(E320="","",IFERROR(VALUE(SUBSTITUTE('MSR RAW'!S320,",","")),0))</f>
        <v/>
      </c>
    </row>
    <row r="321" spans="1:9" ht="68.650000000000006" customHeight="1" x14ac:dyDescent="0.2">
      <c r="A321">
        <v>321</v>
      </c>
      <c r="B32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21" t="str">
        <f>IF(LEFT(TRIM('MSR RAW'!A321),11)="Department:",TRIM('MSR RAW'!A321),C320)</f>
        <v>Department: 36637 - SPECIALTY CONCESSIONS (VENDING)</v>
      </c>
      <c r="D321" t="str">
        <f>IF(LEFT(TRIM('MSR RAW'!B321),9)="Location:",TRIM(MID('MSR RAW'!B321,10,999)),D320)</f>
        <v>FB 155 - SUB ISLAND NOODLES</v>
      </c>
      <c r="E321" t="str">
        <f>IF(AND(ISNUMBER(SEARCH(" - ",TRIM('MSR RAW'!C321))),RIGHT(TRIM('MSR RAW'!C321),6)="Total:"),LEFT(TRIM('MSR RAW'!C321),SEARCH(" - ",TRIM('MSR RAW'!C321))-1),"")</f>
        <v/>
      </c>
      <c r="F321" t="str">
        <f>IF(E321="","",TRIM(MID(TRIM('MSR RAW'!C321),SEARCH(" - ",TRIM('MSR RAW'!C321))+3,LEN(TRIM('MSR RAW'!C321))-SEARCH(" - ",TRIM('MSR RAW'!C321))-9)))</f>
        <v/>
      </c>
      <c r="G321" t="str">
        <f>IF(E321="","",IFERROR(VLOOKUP(E321,'CATEGORY MAP'!$A$2:$B$20,2,FALSE()),"REVIEW"))</f>
        <v/>
      </c>
      <c r="H321" t="str">
        <f>IF(E321="","",IFERROR(VALUE(SUBSTITUTE('MSR RAW'!P321,",","")),0))</f>
        <v/>
      </c>
      <c r="I321" t="str">
        <f>IF(E321="","",IFERROR(VALUE(SUBSTITUTE('MSR RAW'!S321,",","")),0))</f>
        <v/>
      </c>
    </row>
    <row r="322" spans="1:9" ht="68.650000000000006" customHeight="1" x14ac:dyDescent="0.2">
      <c r="A322">
        <v>322</v>
      </c>
      <c r="B32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22" t="str">
        <f>IF(LEFT(TRIM('MSR RAW'!A322),11)="Department:",TRIM('MSR RAW'!A322),C321)</f>
        <v>Department: 36637 - SPECIALTY CONCESSIONS (VENDING)</v>
      </c>
      <c r="D322" t="str">
        <f>IF(LEFT(TRIM('MSR RAW'!B322),9)="Location:",TRIM(MID('MSR RAW'!B322,10,999)),D321)</f>
        <v>FB 155 - SUB ISLAND NOODLES</v>
      </c>
      <c r="E322" t="str">
        <f>IF(AND(ISNUMBER(SEARCH(" - ",TRIM('MSR RAW'!C322))),RIGHT(TRIM('MSR RAW'!C322),6)="Total:"),LEFT(TRIM('MSR RAW'!C322),SEARCH(" - ",TRIM('MSR RAW'!C322))-1),"")</f>
        <v/>
      </c>
      <c r="F322" t="str">
        <f>IF(E322="","",TRIM(MID(TRIM('MSR RAW'!C322),SEARCH(" - ",TRIM('MSR RAW'!C322))+3,LEN(TRIM('MSR RAW'!C322))-SEARCH(" - ",TRIM('MSR RAW'!C322))-9)))</f>
        <v/>
      </c>
      <c r="G322" t="str">
        <f>IF(E322="","",IFERROR(VLOOKUP(E322,'CATEGORY MAP'!$A$2:$B$20,2,FALSE()),"REVIEW"))</f>
        <v/>
      </c>
      <c r="H322" t="str">
        <f>IF(E322="","",IFERROR(VALUE(SUBSTITUTE('MSR RAW'!P322,",","")),0))</f>
        <v/>
      </c>
      <c r="I322" t="str">
        <f>IF(E322="","",IFERROR(VALUE(SUBSTITUTE('MSR RAW'!S322,",","")),0))</f>
        <v/>
      </c>
    </row>
    <row r="323" spans="1:9" ht="68.650000000000006" customHeight="1" x14ac:dyDescent="0.2">
      <c r="A323">
        <v>323</v>
      </c>
      <c r="B32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23" t="str">
        <f>IF(LEFT(TRIM('MSR RAW'!A323),11)="Department:",TRIM('MSR RAW'!A323),C322)</f>
        <v>Department: 36637 - SPECIALTY CONCESSIONS (VENDING)</v>
      </c>
      <c r="D323" t="str">
        <f>IF(LEFT(TRIM('MSR RAW'!B323),9)="Location:",TRIM(MID('MSR RAW'!B323,10,999)),D322)</f>
        <v>FB 155 - SUB ISLAND NOODLES</v>
      </c>
      <c r="E323" t="str">
        <f>IF(AND(ISNUMBER(SEARCH(" - ",TRIM('MSR RAW'!C323))),RIGHT(TRIM('MSR RAW'!C323),6)="Total:"),LEFT(TRIM('MSR RAW'!C323),SEARCH(" - ",TRIM('MSR RAW'!C323))-1),"")</f>
        <v/>
      </c>
      <c r="F323" t="str">
        <f>IF(E323="","",TRIM(MID(TRIM('MSR RAW'!C323),SEARCH(" - ",TRIM('MSR RAW'!C323))+3,LEN(TRIM('MSR RAW'!C323))-SEARCH(" - ",TRIM('MSR RAW'!C323))-9)))</f>
        <v/>
      </c>
      <c r="G323" t="str">
        <f>IF(E323="","",IFERROR(VLOOKUP(E323,'CATEGORY MAP'!$A$2:$B$20,2,FALSE()),"REVIEW"))</f>
        <v/>
      </c>
      <c r="H323" t="str">
        <f>IF(E323="","",IFERROR(VALUE(SUBSTITUTE('MSR RAW'!P323,",","")),0))</f>
        <v/>
      </c>
      <c r="I323" t="str">
        <f>IF(E323="","",IFERROR(VALUE(SUBSTITUTE('MSR RAW'!S323,",","")),0))</f>
        <v/>
      </c>
    </row>
    <row r="324" spans="1:9" ht="68.650000000000006" customHeight="1" x14ac:dyDescent="0.2">
      <c r="A324">
        <v>324</v>
      </c>
      <c r="B32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24" t="str">
        <f>IF(LEFT(TRIM('MSR RAW'!A324),11)="Department:",TRIM('MSR RAW'!A324),C323)</f>
        <v>Department: 36637 - SPECIALTY CONCESSIONS (VENDING)</v>
      </c>
      <c r="D324" t="str">
        <f>IF(LEFT(TRIM('MSR RAW'!B324),9)="Location:",TRIM(MID('MSR RAW'!B324,10,999)),D323)</f>
        <v>FB 155 - SUB ISLAND NOODLES</v>
      </c>
      <c r="E324" t="str">
        <f>IF(AND(ISNUMBER(SEARCH(" - ",TRIM('MSR RAW'!C324))),RIGHT(TRIM('MSR RAW'!C324),6)="Total:"),LEFT(TRIM('MSR RAW'!C324),SEARCH(" - ",TRIM('MSR RAW'!C324))-1),"")</f>
        <v/>
      </c>
      <c r="F324" t="str">
        <f>IF(E324="","",TRIM(MID(TRIM('MSR RAW'!C324),SEARCH(" - ",TRIM('MSR RAW'!C324))+3,LEN(TRIM('MSR RAW'!C324))-SEARCH(" - ",TRIM('MSR RAW'!C324))-9)))</f>
        <v/>
      </c>
      <c r="G324" t="str">
        <f>IF(E324="","",IFERROR(VLOOKUP(E324,'CATEGORY MAP'!$A$2:$B$20,2,FALSE()),"REVIEW"))</f>
        <v/>
      </c>
      <c r="H324" t="str">
        <f>IF(E324="","",IFERROR(VALUE(SUBSTITUTE('MSR RAW'!P324,",","")),0))</f>
        <v/>
      </c>
      <c r="I324" t="str">
        <f>IF(E324="","",IFERROR(VALUE(SUBSTITUTE('MSR RAW'!S324,",","")),0))</f>
        <v/>
      </c>
    </row>
    <row r="325" spans="1:9" ht="68.650000000000006" customHeight="1" x14ac:dyDescent="0.2">
      <c r="A325">
        <v>325</v>
      </c>
      <c r="B32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25" t="str">
        <f>IF(LEFT(TRIM('MSR RAW'!A325),11)="Department:",TRIM('MSR RAW'!A325),C324)</f>
        <v>Department: 36637 - SPECIALTY CONCESSIONS (VENDING)</v>
      </c>
      <c r="D325" t="str">
        <f>IF(LEFT(TRIM('MSR RAW'!B325),9)="Location:",TRIM(MID('MSR RAW'!B325,10,999)),D324)</f>
        <v>FB 155 - SUB ISLAND NOODLES</v>
      </c>
      <c r="E325" t="str">
        <f>IF(AND(ISNUMBER(SEARCH(" - ",TRIM('MSR RAW'!C325))),RIGHT(TRIM('MSR RAW'!C325),6)="Total:"),LEFT(TRIM('MSR RAW'!C325),SEARCH(" - ",TRIM('MSR RAW'!C325))-1),"")</f>
        <v/>
      </c>
      <c r="F325" t="str">
        <f>IF(E325="","",TRIM(MID(TRIM('MSR RAW'!C325),SEARCH(" - ",TRIM('MSR RAW'!C325))+3,LEN(TRIM('MSR RAW'!C325))-SEARCH(" - ",TRIM('MSR RAW'!C325))-9)))</f>
        <v/>
      </c>
      <c r="G325" t="str">
        <f>IF(E325="","",IFERROR(VLOOKUP(E325,'CATEGORY MAP'!$A$2:$B$20,2,FALSE()),"REVIEW"))</f>
        <v/>
      </c>
      <c r="H325" t="str">
        <f>IF(E325="","",IFERROR(VALUE(SUBSTITUTE('MSR RAW'!P325,",","")),0))</f>
        <v/>
      </c>
      <c r="I325" t="str">
        <f>IF(E325="","",IFERROR(VALUE(SUBSTITUTE('MSR RAW'!S325,",","")),0))</f>
        <v/>
      </c>
    </row>
    <row r="326" spans="1:9" ht="68.650000000000006" customHeight="1" x14ac:dyDescent="0.2">
      <c r="A326">
        <v>326</v>
      </c>
      <c r="B32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26" t="str">
        <f>IF(LEFT(TRIM('MSR RAW'!A326),11)="Department:",TRIM('MSR RAW'!A326),C325)</f>
        <v>Department: 36637 - SPECIALTY CONCESSIONS (VENDING)</v>
      </c>
      <c r="D326" t="str">
        <f>IF(LEFT(TRIM('MSR RAW'!B326),9)="Location:",TRIM(MID('MSR RAW'!B326,10,999)),D325)</f>
        <v>FB 155 - SUB ISLAND NOODLES</v>
      </c>
      <c r="E326" t="str">
        <f>IF(AND(ISNUMBER(SEARCH(" - ",TRIM('MSR RAW'!C326))),RIGHT(TRIM('MSR RAW'!C326),6)="Total:"),LEFT(TRIM('MSR RAW'!C326),SEARCH(" - ",TRIM('MSR RAW'!C326))-1),"")</f>
        <v/>
      </c>
      <c r="F326" t="str">
        <f>IF(E326="","",TRIM(MID(TRIM('MSR RAW'!C326),SEARCH(" - ",TRIM('MSR RAW'!C326))+3,LEN(TRIM('MSR RAW'!C326))-SEARCH(" - ",TRIM('MSR RAW'!C326))-9)))</f>
        <v/>
      </c>
      <c r="G326" t="str">
        <f>IF(E326="","",IFERROR(VLOOKUP(E326,'CATEGORY MAP'!$A$2:$B$20,2,FALSE()),"REVIEW"))</f>
        <v/>
      </c>
      <c r="H326" t="str">
        <f>IF(E326="","",IFERROR(VALUE(SUBSTITUTE('MSR RAW'!P326,",","")),0))</f>
        <v/>
      </c>
      <c r="I326" t="str">
        <f>IF(E326="","",IFERROR(VALUE(SUBSTITUTE('MSR RAW'!S326,",","")),0))</f>
        <v/>
      </c>
    </row>
    <row r="327" spans="1:9" ht="68.650000000000006" customHeight="1" x14ac:dyDescent="0.2">
      <c r="A327">
        <v>327</v>
      </c>
      <c r="B32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27" t="str">
        <f>IF(LEFT(TRIM('MSR RAW'!A327),11)="Department:",TRIM('MSR RAW'!A327),C326)</f>
        <v>Department: 36637 - SPECIALTY CONCESSIONS (VENDING)</v>
      </c>
      <c r="D327" t="str">
        <f>IF(LEFT(TRIM('MSR RAW'!B327),9)="Location:",TRIM(MID('MSR RAW'!B327,10,999)),D326)</f>
        <v>FB 155 - SUB ISLAND NOODLES</v>
      </c>
      <c r="E327" t="str">
        <f>IF(AND(ISNUMBER(SEARCH(" - ",TRIM('MSR RAW'!C327))),RIGHT(TRIM('MSR RAW'!C327),6)="Total:"),LEFT(TRIM('MSR RAW'!C327),SEARCH(" - ",TRIM('MSR RAW'!C327))-1),"")</f>
        <v/>
      </c>
      <c r="F327" t="str">
        <f>IF(E327="","",TRIM(MID(TRIM('MSR RAW'!C327),SEARCH(" - ",TRIM('MSR RAW'!C327))+3,LEN(TRIM('MSR RAW'!C327))-SEARCH(" - ",TRIM('MSR RAW'!C327))-9)))</f>
        <v/>
      </c>
      <c r="G327" t="str">
        <f>IF(E327="","",IFERROR(VLOOKUP(E327,'CATEGORY MAP'!$A$2:$B$20,2,FALSE()),"REVIEW"))</f>
        <v/>
      </c>
      <c r="H327" t="str">
        <f>IF(E327="","",IFERROR(VALUE(SUBSTITUTE('MSR RAW'!P327,",","")),0))</f>
        <v/>
      </c>
      <c r="I327" t="str">
        <f>IF(E327="","",IFERROR(VALUE(SUBSTITUTE('MSR RAW'!S327,",","")),0))</f>
        <v/>
      </c>
    </row>
    <row r="328" spans="1:9" ht="68.650000000000006" customHeight="1" x14ac:dyDescent="0.2">
      <c r="A328">
        <v>328</v>
      </c>
      <c r="B32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28" t="str">
        <f>IF(LEFT(TRIM('MSR RAW'!A328),11)="Department:",TRIM('MSR RAW'!A328),C327)</f>
        <v>Department: 36637 - SPECIALTY CONCESSIONS (VENDING)</v>
      </c>
      <c r="D328" t="str">
        <f>IF(LEFT(TRIM('MSR RAW'!B328),9)="Location:",TRIM(MID('MSR RAW'!B328,10,999)),D327)</f>
        <v>FB 155 - SUB ISLAND NOODLES</v>
      </c>
      <c r="E328" t="str">
        <f>IF(AND(ISNUMBER(SEARCH(" - ",TRIM('MSR RAW'!C328))),RIGHT(TRIM('MSR RAW'!C328),6)="Total:"),LEFT(TRIM('MSR RAW'!C328),SEARCH(" - ",TRIM('MSR RAW'!C328))-1),"")</f>
        <v/>
      </c>
      <c r="F328" t="str">
        <f>IF(E328="","",TRIM(MID(TRIM('MSR RAW'!C328),SEARCH(" - ",TRIM('MSR RAW'!C328))+3,LEN(TRIM('MSR RAW'!C328))-SEARCH(" - ",TRIM('MSR RAW'!C328))-9)))</f>
        <v/>
      </c>
      <c r="G328" t="str">
        <f>IF(E328="","",IFERROR(VLOOKUP(E328,'CATEGORY MAP'!$A$2:$B$20,2,FALSE()),"REVIEW"))</f>
        <v/>
      </c>
      <c r="H328" t="str">
        <f>IF(E328="","",IFERROR(VALUE(SUBSTITUTE('MSR RAW'!P328,",","")),0))</f>
        <v/>
      </c>
      <c r="I328" t="str">
        <f>IF(E328="","",IFERROR(VALUE(SUBSTITUTE('MSR RAW'!S328,",","")),0))</f>
        <v/>
      </c>
    </row>
    <row r="329" spans="1:9" ht="68.650000000000006" customHeight="1" x14ac:dyDescent="0.2">
      <c r="A329">
        <v>329</v>
      </c>
      <c r="B32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29" t="str">
        <f>IF(LEFT(TRIM('MSR RAW'!A329),11)="Department:",TRIM('MSR RAW'!A329),C328)</f>
        <v>Department: 36637 - SPECIALTY CONCESSIONS (VENDING)</v>
      </c>
      <c r="D329" t="str">
        <f>IF(LEFT(TRIM('MSR RAW'!B329),9)="Location:",TRIM(MID('MSR RAW'!B329,10,999)),D328)</f>
        <v>FB 155 - SUB ISLAND NOODLES</v>
      </c>
      <c r="E329" t="str">
        <f>IF(AND(ISNUMBER(SEARCH(" - ",TRIM('MSR RAW'!C329))),RIGHT(TRIM('MSR RAW'!C329),6)="Total:"),LEFT(TRIM('MSR RAW'!C329),SEARCH(" - ",TRIM('MSR RAW'!C329))-1),"")</f>
        <v/>
      </c>
      <c r="F329" t="str">
        <f>IF(E329="","",TRIM(MID(TRIM('MSR RAW'!C329),SEARCH(" - ",TRIM('MSR RAW'!C329))+3,LEN(TRIM('MSR RAW'!C329))-SEARCH(" - ",TRIM('MSR RAW'!C329))-9)))</f>
        <v/>
      </c>
      <c r="G329" t="str">
        <f>IF(E329="","",IFERROR(VLOOKUP(E329,'CATEGORY MAP'!$A$2:$B$20,2,FALSE()),"REVIEW"))</f>
        <v/>
      </c>
      <c r="H329" t="str">
        <f>IF(E329="","",IFERROR(VALUE(SUBSTITUTE('MSR RAW'!P329,",","")),0))</f>
        <v/>
      </c>
      <c r="I329" t="str">
        <f>IF(E329="","",IFERROR(VALUE(SUBSTITUTE('MSR RAW'!S329,",","")),0))</f>
        <v/>
      </c>
    </row>
    <row r="330" spans="1:9" ht="68.650000000000006" customHeight="1" x14ac:dyDescent="0.2">
      <c r="A330">
        <v>330</v>
      </c>
      <c r="B33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30" t="str">
        <f>IF(LEFT(TRIM('MSR RAW'!A330),11)="Department:",TRIM('MSR RAW'!A330),C329)</f>
        <v>Department: 36637 - SPECIALTY CONCESSIONS (VENDING)</v>
      </c>
      <c r="D330" t="str">
        <f>IF(LEFT(TRIM('MSR RAW'!B330),9)="Location:",TRIM(MID('MSR RAW'!B330,10,999)),D329)</f>
        <v>FB 155 - SUB ISLAND NOODLES</v>
      </c>
      <c r="E330" t="str">
        <f>IF(AND(ISNUMBER(SEARCH(" - ",TRIM('MSR RAW'!C330))),RIGHT(TRIM('MSR RAW'!C330),6)="Total:"),LEFT(TRIM('MSR RAW'!C330),SEARCH(" - ",TRIM('MSR RAW'!C330))-1),"")</f>
        <v/>
      </c>
      <c r="F330" t="str">
        <f>IF(E330="","",TRIM(MID(TRIM('MSR RAW'!C330),SEARCH(" - ",TRIM('MSR RAW'!C330))+3,LEN(TRIM('MSR RAW'!C330))-SEARCH(" - ",TRIM('MSR RAW'!C330))-9)))</f>
        <v/>
      </c>
      <c r="G330" t="str">
        <f>IF(E330="","",IFERROR(VLOOKUP(E330,'CATEGORY MAP'!$A$2:$B$20,2,FALSE()),"REVIEW"))</f>
        <v/>
      </c>
      <c r="H330" t="str">
        <f>IF(E330="","",IFERROR(VALUE(SUBSTITUTE('MSR RAW'!P330,",","")),0))</f>
        <v/>
      </c>
      <c r="I330" t="str">
        <f>IF(E330="","",IFERROR(VALUE(SUBSTITUTE('MSR RAW'!S330,",","")),0))</f>
        <v/>
      </c>
    </row>
    <row r="331" spans="1:9" ht="68.650000000000006" customHeight="1" x14ac:dyDescent="0.2">
      <c r="A331">
        <v>331</v>
      </c>
      <c r="B33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31" t="str">
        <f>IF(LEFT(TRIM('MSR RAW'!A331),11)="Department:",TRIM('MSR RAW'!A331),C330)</f>
        <v>Department: 36637 - SPECIALTY CONCESSIONS (VENDING)</v>
      </c>
      <c r="D331" t="str">
        <f>IF(LEFT(TRIM('MSR RAW'!B331),9)="Location:",TRIM(MID('MSR RAW'!B331,10,999)),D330)</f>
        <v>FB 155 - SUB ISLAND NOODLES</v>
      </c>
      <c r="E331" t="str">
        <f>IF(AND(ISNUMBER(SEARCH(" - ",TRIM('MSR RAW'!C331))),RIGHT(TRIM('MSR RAW'!C331),6)="Total:"),LEFT(TRIM('MSR RAW'!C331),SEARCH(" - ",TRIM('MSR RAW'!C331))-1),"")</f>
        <v/>
      </c>
      <c r="F331" t="str">
        <f>IF(E331="","",TRIM(MID(TRIM('MSR RAW'!C331),SEARCH(" - ",TRIM('MSR RAW'!C331))+3,LEN(TRIM('MSR RAW'!C331))-SEARCH(" - ",TRIM('MSR RAW'!C331))-9)))</f>
        <v/>
      </c>
      <c r="G331" t="str">
        <f>IF(E331="","",IFERROR(VLOOKUP(E331,'CATEGORY MAP'!$A$2:$B$20,2,FALSE()),"REVIEW"))</f>
        <v/>
      </c>
      <c r="H331" t="str">
        <f>IF(E331="","",IFERROR(VALUE(SUBSTITUTE('MSR RAW'!P331,",","")),0))</f>
        <v/>
      </c>
      <c r="I331" t="str">
        <f>IF(E331="","",IFERROR(VALUE(SUBSTITUTE('MSR RAW'!S331,",","")),0))</f>
        <v/>
      </c>
    </row>
    <row r="332" spans="1:9" ht="68.650000000000006" customHeight="1" x14ac:dyDescent="0.2">
      <c r="A332">
        <v>332</v>
      </c>
      <c r="B33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32" t="str">
        <f>IF(LEFT(TRIM('MSR RAW'!A332),11)="Department:",TRIM('MSR RAW'!A332),C331)</f>
        <v>Department: 36637 - SPECIALTY CONCESSIONS (VENDING)</v>
      </c>
      <c r="D332" t="str">
        <f>IF(LEFT(TRIM('MSR RAW'!B332),9)="Location:",TRIM(MID('MSR RAW'!B332,10,999)),D331)</f>
        <v>FB 155 - SUB ISLAND NOODLES</v>
      </c>
      <c r="E332" t="str">
        <f>IF(AND(ISNUMBER(SEARCH(" - ",TRIM('MSR RAW'!C332))),RIGHT(TRIM('MSR RAW'!C332),6)="Total:"),LEFT(TRIM('MSR RAW'!C332),SEARCH(" - ",TRIM('MSR RAW'!C332))-1),"")</f>
        <v/>
      </c>
      <c r="F332" t="str">
        <f>IF(E332="","",TRIM(MID(TRIM('MSR RAW'!C332),SEARCH(" - ",TRIM('MSR RAW'!C332))+3,LEN(TRIM('MSR RAW'!C332))-SEARCH(" - ",TRIM('MSR RAW'!C332))-9)))</f>
        <v/>
      </c>
      <c r="G332" t="str">
        <f>IF(E332="","",IFERROR(VLOOKUP(E332,'CATEGORY MAP'!$A$2:$B$20,2,FALSE()),"REVIEW"))</f>
        <v/>
      </c>
      <c r="H332" t="str">
        <f>IF(E332="","",IFERROR(VALUE(SUBSTITUTE('MSR RAW'!P332,",","")),0))</f>
        <v/>
      </c>
      <c r="I332" t="str">
        <f>IF(E332="","",IFERROR(VALUE(SUBSTITUTE('MSR RAW'!S332,",","")),0))</f>
        <v/>
      </c>
    </row>
    <row r="333" spans="1:9" ht="68.650000000000006" customHeight="1" x14ac:dyDescent="0.2">
      <c r="A333">
        <v>333</v>
      </c>
      <c r="B33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33" t="str">
        <f>IF(LEFT(TRIM('MSR RAW'!A333),11)="Department:",TRIM('MSR RAW'!A333),C332)</f>
        <v>Department: 36637 - SPECIALTY CONCESSIONS (VENDING)</v>
      </c>
      <c r="D333" t="str">
        <f>IF(LEFT(TRIM('MSR RAW'!B333),9)="Location:",TRIM(MID('MSR RAW'!B333,10,999)),D332)</f>
        <v>FB 155 - SUB ISLAND NOODLES</v>
      </c>
      <c r="E333" t="str">
        <f>IF(AND(ISNUMBER(SEARCH(" - ",TRIM('MSR RAW'!C333))),RIGHT(TRIM('MSR RAW'!C333),6)="Total:"),LEFT(TRIM('MSR RAW'!C333),SEARCH(" - ",TRIM('MSR RAW'!C333))-1),"")</f>
        <v/>
      </c>
      <c r="F333" t="str">
        <f>IF(E333="","",TRIM(MID(TRIM('MSR RAW'!C333),SEARCH(" - ",TRIM('MSR RAW'!C333))+3,LEN(TRIM('MSR RAW'!C333))-SEARCH(" - ",TRIM('MSR RAW'!C333))-9)))</f>
        <v/>
      </c>
      <c r="G333" t="str">
        <f>IF(E333="","",IFERROR(VLOOKUP(E333,'CATEGORY MAP'!$A$2:$B$20,2,FALSE()),"REVIEW"))</f>
        <v/>
      </c>
      <c r="H333" t="str">
        <f>IF(E333="","",IFERROR(VALUE(SUBSTITUTE('MSR RAW'!P333,",","")),0))</f>
        <v/>
      </c>
      <c r="I333" t="str">
        <f>IF(E333="","",IFERROR(VALUE(SUBSTITUTE('MSR RAW'!S333,",","")),0))</f>
        <v/>
      </c>
    </row>
    <row r="334" spans="1:9" ht="68.650000000000006" customHeight="1" x14ac:dyDescent="0.2">
      <c r="A334">
        <v>334</v>
      </c>
      <c r="B33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34" t="str">
        <f>IF(LEFT(TRIM('MSR RAW'!A334),11)="Department:",TRIM('MSR RAW'!A334),C333)</f>
        <v>Department: 36637 - SPECIALTY CONCESSIONS (VENDING)</v>
      </c>
      <c r="D334" t="str">
        <f>IF(LEFT(TRIM('MSR RAW'!B334),9)="Location:",TRIM(MID('MSR RAW'!B334,10,999)),D333)</f>
        <v>FB 155 - SUB ISLAND NOODLES</v>
      </c>
      <c r="E334" t="str">
        <f>IF(AND(ISNUMBER(SEARCH(" - ",TRIM('MSR RAW'!C334))),RIGHT(TRIM('MSR RAW'!C334),6)="Total:"),LEFT(TRIM('MSR RAW'!C334),SEARCH(" - ",TRIM('MSR RAW'!C334))-1),"")</f>
        <v/>
      </c>
      <c r="F334" t="str">
        <f>IF(E334="","",TRIM(MID(TRIM('MSR RAW'!C334),SEARCH(" - ",TRIM('MSR RAW'!C334))+3,LEN(TRIM('MSR RAW'!C334))-SEARCH(" - ",TRIM('MSR RAW'!C334))-9)))</f>
        <v/>
      </c>
      <c r="G334" t="str">
        <f>IF(E334="","",IFERROR(VLOOKUP(E334,'CATEGORY MAP'!$A$2:$B$20,2,FALSE()),"REVIEW"))</f>
        <v/>
      </c>
      <c r="H334" t="str">
        <f>IF(E334="","",IFERROR(VALUE(SUBSTITUTE('MSR RAW'!P334,",","")),0))</f>
        <v/>
      </c>
      <c r="I334" t="str">
        <f>IF(E334="","",IFERROR(VALUE(SUBSTITUTE('MSR RAW'!S334,",","")),0))</f>
        <v/>
      </c>
    </row>
    <row r="335" spans="1:9" ht="68.650000000000006" customHeight="1" x14ac:dyDescent="0.2">
      <c r="A335">
        <v>335</v>
      </c>
      <c r="B33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35" t="str">
        <f>IF(LEFT(TRIM('MSR RAW'!A335),11)="Department:",TRIM('MSR RAW'!A335),C334)</f>
        <v>Department: 36637 - SPECIALTY CONCESSIONS (VENDING)</v>
      </c>
      <c r="D335" t="str">
        <f>IF(LEFT(TRIM('MSR RAW'!B335),9)="Location:",TRIM(MID('MSR RAW'!B335,10,999)),D334)</f>
        <v>FB 155 - SUB ISLAND NOODLES</v>
      </c>
      <c r="E335" t="str">
        <f>IF(AND(ISNUMBER(SEARCH(" - ",TRIM('MSR RAW'!C335))),RIGHT(TRIM('MSR RAW'!C335),6)="Total:"),LEFT(TRIM('MSR RAW'!C335),SEARCH(" - ",TRIM('MSR RAW'!C335))-1),"")</f>
        <v/>
      </c>
      <c r="F335" t="str">
        <f>IF(E335="","",TRIM(MID(TRIM('MSR RAW'!C335),SEARCH(" - ",TRIM('MSR RAW'!C335))+3,LEN(TRIM('MSR RAW'!C335))-SEARCH(" - ",TRIM('MSR RAW'!C335))-9)))</f>
        <v/>
      </c>
      <c r="G335" t="str">
        <f>IF(E335="","",IFERROR(VLOOKUP(E335,'CATEGORY MAP'!$A$2:$B$20,2,FALSE()),"REVIEW"))</f>
        <v/>
      </c>
      <c r="H335" t="str">
        <f>IF(E335="","",IFERROR(VALUE(SUBSTITUTE('MSR RAW'!P335,",","")),0))</f>
        <v/>
      </c>
      <c r="I335" t="str">
        <f>IF(E335="","",IFERROR(VALUE(SUBSTITUTE('MSR RAW'!S335,",","")),0))</f>
        <v/>
      </c>
    </row>
    <row r="336" spans="1:9" ht="68.650000000000006" customHeight="1" x14ac:dyDescent="0.2">
      <c r="A336">
        <v>336</v>
      </c>
      <c r="B33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36" t="str">
        <f>IF(LEFT(TRIM('MSR RAW'!A336),11)="Department:",TRIM('MSR RAW'!A336),C335)</f>
        <v>Department: 36637 - SPECIALTY CONCESSIONS (VENDING)</v>
      </c>
      <c r="D336" t="str">
        <f>IF(LEFT(TRIM('MSR RAW'!B336),9)="Location:",TRIM(MID('MSR RAW'!B336,10,999)),D335)</f>
        <v>FB 155 - SUB ISLAND NOODLES</v>
      </c>
      <c r="E336" t="str">
        <f>IF(AND(ISNUMBER(SEARCH(" - ",TRIM('MSR RAW'!C336))),RIGHT(TRIM('MSR RAW'!C336),6)="Total:"),LEFT(TRIM('MSR RAW'!C336),SEARCH(" - ",TRIM('MSR RAW'!C336))-1),"")</f>
        <v/>
      </c>
      <c r="F336" t="str">
        <f>IF(E336="","",TRIM(MID(TRIM('MSR RAW'!C336),SEARCH(" - ",TRIM('MSR RAW'!C336))+3,LEN(TRIM('MSR RAW'!C336))-SEARCH(" - ",TRIM('MSR RAW'!C336))-9)))</f>
        <v/>
      </c>
      <c r="G336" t="str">
        <f>IF(E336="","",IFERROR(VLOOKUP(E336,'CATEGORY MAP'!$A$2:$B$20,2,FALSE()),"REVIEW"))</f>
        <v/>
      </c>
      <c r="H336" t="str">
        <f>IF(E336="","",IFERROR(VALUE(SUBSTITUTE('MSR RAW'!P336,",","")),0))</f>
        <v/>
      </c>
      <c r="I336" t="str">
        <f>IF(E336="","",IFERROR(VALUE(SUBSTITUTE('MSR RAW'!S336,",","")),0))</f>
        <v/>
      </c>
    </row>
    <row r="337" spans="1:9" ht="68.650000000000006" customHeight="1" x14ac:dyDescent="0.2">
      <c r="A337">
        <v>337</v>
      </c>
      <c r="B33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37" t="str">
        <f>IF(LEFT(TRIM('MSR RAW'!A337),11)="Department:",TRIM('MSR RAW'!A337),C336)</f>
        <v>Department: 36637 - SPECIALTY CONCESSIONS (VENDING)</v>
      </c>
      <c r="D337" t="str">
        <f>IF(LEFT(TRIM('MSR RAW'!B337),9)="Location:",TRIM(MID('MSR RAW'!B337,10,999)),D336)</f>
        <v>FB 155 - SUB ISLAND NOODLES</v>
      </c>
      <c r="E337" t="str">
        <f>IF(AND(ISNUMBER(SEARCH(" - ",TRIM('MSR RAW'!C337))),RIGHT(TRIM('MSR RAW'!C337),6)="Total:"),LEFT(TRIM('MSR RAW'!C337),SEARCH(" - ",TRIM('MSR RAW'!C337))-1),"")</f>
        <v/>
      </c>
      <c r="F337" t="str">
        <f>IF(E337="","",TRIM(MID(TRIM('MSR RAW'!C337),SEARCH(" - ",TRIM('MSR RAW'!C337))+3,LEN(TRIM('MSR RAW'!C337))-SEARCH(" - ",TRIM('MSR RAW'!C337))-9)))</f>
        <v/>
      </c>
      <c r="G337" t="str">
        <f>IF(E337="","",IFERROR(VLOOKUP(E337,'CATEGORY MAP'!$A$2:$B$20,2,FALSE()),"REVIEW"))</f>
        <v/>
      </c>
      <c r="H337" t="str">
        <f>IF(E337="","",IFERROR(VALUE(SUBSTITUTE('MSR RAW'!P337,",","")),0))</f>
        <v/>
      </c>
      <c r="I337" t="str">
        <f>IF(E337="","",IFERROR(VALUE(SUBSTITUTE('MSR RAW'!S337,",","")),0))</f>
        <v/>
      </c>
    </row>
    <row r="338" spans="1:9" ht="68.650000000000006" customHeight="1" x14ac:dyDescent="0.2">
      <c r="A338">
        <v>338</v>
      </c>
      <c r="B33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38" t="str">
        <f>IF(LEFT(TRIM('MSR RAW'!A338),11)="Department:",TRIM('MSR RAW'!A338),C337)</f>
        <v>Department: 36637 - SPECIALTY CONCESSIONS (VENDING)</v>
      </c>
      <c r="D338" t="str">
        <f>IF(LEFT(TRIM('MSR RAW'!B338),9)="Location:",TRIM(MID('MSR RAW'!B338,10,999)),D337)</f>
        <v>FB 155 - SUB ISLAND NOODLES</v>
      </c>
      <c r="E338" t="str">
        <f>IF(AND(ISNUMBER(SEARCH(" - ",TRIM('MSR RAW'!C338))),RIGHT(TRIM('MSR RAW'!C338),6)="Total:"),LEFT(TRIM('MSR RAW'!C338),SEARCH(" - ",TRIM('MSR RAW'!C338))-1),"")</f>
        <v/>
      </c>
      <c r="F338" t="str">
        <f>IF(E338="","",TRIM(MID(TRIM('MSR RAW'!C338),SEARCH(" - ",TRIM('MSR RAW'!C338))+3,LEN(TRIM('MSR RAW'!C338))-SEARCH(" - ",TRIM('MSR RAW'!C338))-9)))</f>
        <v/>
      </c>
      <c r="G338" t="str">
        <f>IF(E338="","",IFERROR(VLOOKUP(E338,'CATEGORY MAP'!$A$2:$B$20,2,FALSE()),"REVIEW"))</f>
        <v/>
      </c>
      <c r="H338" t="str">
        <f>IF(E338="","",IFERROR(VALUE(SUBSTITUTE('MSR RAW'!P338,",","")),0))</f>
        <v/>
      </c>
      <c r="I338" t="str">
        <f>IF(E338="","",IFERROR(VALUE(SUBSTITUTE('MSR RAW'!S338,",","")),0))</f>
        <v/>
      </c>
    </row>
    <row r="339" spans="1:9" ht="68.650000000000006" customHeight="1" x14ac:dyDescent="0.2">
      <c r="A339">
        <v>339</v>
      </c>
      <c r="B33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39" t="str">
        <f>IF(LEFT(TRIM('MSR RAW'!A339),11)="Department:",TRIM('MSR RAW'!A339),C338)</f>
        <v>Department: 36637 - SPECIALTY CONCESSIONS (VENDING)</v>
      </c>
      <c r="D339" t="str">
        <f>IF(LEFT(TRIM('MSR RAW'!B339),9)="Location:",TRIM(MID('MSR RAW'!B339,10,999)),D338)</f>
        <v>FB 155 - SUB ISLAND NOODLES</v>
      </c>
      <c r="E339" t="str">
        <f>IF(AND(ISNUMBER(SEARCH(" - ",TRIM('MSR RAW'!C339))),RIGHT(TRIM('MSR RAW'!C339),6)="Total:"),LEFT(TRIM('MSR RAW'!C339),SEARCH(" - ",TRIM('MSR RAW'!C339))-1),"")</f>
        <v/>
      </c>
      <c r="F339" t="str">
        <f>IF(E339="","",TRIM(MID(TRIM('MSR RAW'!C339),SEARCH(" - ",TRIM('MSR RAW'!C339))+3,LEN(TRIM('MSR RAW'!C339))-SEARCH(" - ",TRIM('MSR RAW'!C339))-9)))</f>
        <v/>
      </c>
      <c r="G339" t="str">
        <f>IF(E339="","",IFERROR(VLOOKUP(E339,'CATEGORY MAP'!$A$2:$B$20,2,FALSE()),"REVIEW"))</f>
        <v/>
      </c>
      <c r="H339" t="str">
        <f>IF(E339="","",IFERROR(VALUE(SUBSTITUTE('MSR RAW'!P339,",","")),0))</f>
        <v/>
      </c>
      <c r="I339" t="str">
        <f>IF(E339="","",IFERROR(VALUE(SUBSTITUTE('MSR RAW'!S339,",","")),0))</f>
        <v/>
      </c>
    </row>
    <row r="340" spans="1:9" ht="68.650000000000006" customHeight="1" x14ac:dyDescent="0.2">
      <c r="A340">
        <v>340</v>
      </c>
      <c r="B34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40" t="str">
        <f>IF(LEFT(TRIM('MSR RAW'!A340),11)="Department:",TRIM('MSR RAW'!A340),C339)</f>
        <v>Department: 36637 - SPECIALTY CONCESSIONS (VENDING)</v>
      </c>
      <c r="D340" t="str">
        <f>IF(LEFT(TRIM('MSR RAW'!B340),9)="Location:",TRIM(MID('MSR RAW'!B340,10,999)),D339)</f>
        <v>FB 155 - SUB ISLAND NOODLES</v>
      </c>
      <c r="E340" t="str">
        <f>IF(AND(ISNUMBER(SEARCH(" - ",TRIM('MSR RAW'!C340))),RIGHT(TRIM('MSR RAW'!C340),6)="Total:"),LEFT(TRIM('MSR RAW'!C340),SEARCH(" - ",TRIM('MSR RAW'!C340))-1),"")</f>
        <v/>
      </c>
      <c r="F340" t="str">
        <f>IF(E340="","",TRIM(MID(TRIM('MSR RAW'!C340),SEARCH(" - ",TRIM('MSR RAW'!C340))+3,LEN(TRIM('MSR RAW'!C340))-SEARCH(" - ",TRIM('MSR RAW'!C340))-9)))</f>
        <v/>
      </c>
      <c r="G340" t="str">
        <f>IF(E340="","",IFERROR(VLOOKUP(E340,'CATEGORY MAP'!$A$2:$B$20,2,FALSE()),"REVIEW"))</f>
        <v/>
      </c>
      <c r="H340" t="str">
        <f>IF(E340="","",IFERROR(VALUE(SUBSTITUTE('MSR RAW'!P340,",","")),0))</f>
        <v/>
      </c>
      <c r="I340" t="str">
        <f>IF(E340="","",IFERROR(VALUE(SUBSTITUTE('MSR RAW'!S340,",","")),0))</f>
        <v/>
      </c>
    </row>
    <row r="341" spans="1:9" ht="68.650000000000006" customHeight="1" x14ac:dyDescent="0.2">
      <c r="A341">
        <v>341</v>
      </c>
      <c r="B34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41" t="str">
        <f>IF(LEFT(TRIM('MSR RAW'!A341),11)="Department:",TRIM('MSR RAW'!A341),C340)</f>
        <v>Department: 36637 - SPECIALTY CONCESSIONS (VENDING)</v>
      </c>
      <c r="D341" t="str">
        <f>IF(LEFT(TRIM('MSR RAW'!B341),9)="Location:",TRIM(MID('MSR RAW'!B341,10,999)),D340)</f>
        <v>FB 155 - SUB ISLAND NOODLES</v>
      </c>
      <c r="E341" t="str">
        <f>IF(AND(ISNUMBER(SEARCH(" - ",TRIM('MSR RAW'!C341))),RIGHT(TRIM('MSR RAW'!C341),6)="Total:"),LEFT(TRIM('MSR RAW'!C341),SEARCH(" - ",TRIM('MSR RAW'!C341))-1),"")</f>
        <v/>
      </c>
      <c r="F341" t="str">
        <f>IF(E341="","",TRIM(MID(TRIM('MSR RAW'!C341),SEARCH(" - ",TRIM('MSR RAW'!C341))+3,LEN(TRIM('MSR RAW'!C341))-SEARCH(" - ",TRIM('MSR RAW'!C341))-9)))</f>
        <v/>
      </c>
      <c r="G341" t="str">
        <f>IF(E341="","",IFERROR(VLOOKUP(E341,'CATEGORY MAP'!$A$2:$B$20,2,FALSE()),"REVIEW"))</f>
        <v/>
      </c>
      <c r="H341" t="str">
        <f>IF(E341="","",IFERROR(VALUE(SUBSTITUTE('MSR RAW'!P341,",","")),0))</f>
        <v/>
      </c>
      <c r="I341" t="str">
        <f>IF(E341="","",IFERROR(VALUE(SUBSTITUTE('MSR RAW'!S341,",","")),0))</f>
        <v/>
      </c>
    </row>
    <row r="342" spans="1:9" ht="68.650000000000006" customHeight="1" x14ac:dyDescent="0.2">
      <c r="A342">
        <v>342</v>
      </c>
      <c r="B34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42" t="str">
        <f>IF(LEFT(TRIM('MSR RAW'!A342),11)="Department:",TRIM('MSR RAW'!A342),C341)</f>
        <v>Department: 36637 - SPECIALTY CONCESSIONS (VENDING)</v>
      </c>
      <c r="D342" t="str">
        <f>IF(LEFT(TRIM('MSR RAW'!B342),9)="Location:",TRIM(MID('MSR RAW'!B342,10,999)),D341)</f>
        <v>FB 155 - SUB ISLAND NOODLES</v>
      </c>
      <c r="E342" t="str">
        <f>IF(AND(ISNUMBER(SEARCH(" - ",TRIM('MSR RAW'!C342))),RIGHT(TRIM('MSR RAW'!C342),6)="Total:"),LEFT(TRIM('MSR RAW'!C342),SEARCH(" - ",TRIM('MSR RAW'!C342))-1),"")</f>
        <v/>
      </c>
      <c r="F342" t="str">
        <f>IF(E342="","",TRIM(MID(TRIM('MSR RAW'!C342),SEARCH(" - ",TRIM('MSR RAW'!C342))+3,LEN(TRIM('MSR RAW'!C342))-SEARCH(" - ",TRIM('MSR RAW'!C342))-9)))</f>
        <v/>
      </c>
      <c r="G342" t="str">
        <f>IF(E342="","",IFERROR(VLOOKUP(E342,'CATEGORY MAP'!$A$2:$B$20,2,FALSE()),"REVIEW"))</f>
        <v/>
      </c>
      <c r="H342" t="str">
        <f>IF(E342="","",IFERROR(VALUE(SUBSTITUTE('MSR RAW'!P342,",","")),0))</f>
        <v/>
      </c>
      <c r="I342" t="str">
        <f>IF(E342="","",IFERROR(VALUE(SUBSTITUTE('MSR RAW'!S342,",","")),0))</f>
        <v/>
      </c>
    </row>
    <row r="343" spans="1:9" ht="68.650000000000006" customHeight="1" x14ac:dyDescent="0.2">
      <c r="A343">
        <v>343</v>
      </c>
      <c r="B34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43" t="str">
        <f>IF(LEFT(TRIM('MSR RAW'!A343),11)="Department:",TRIM('MSR RAW'!A343),C342)</f>
        <v>Department: 36637 - SPECIALTY CONCESSIONS (VENDING)</v>
      </c>
      <c r="D343" t="str">
        <f>IF(LEFT(TRIM('MSR RAW'!B343),9)="Location:",TRIM(MID('MSR RAW'!B343,10,999)),D342)</f>
        <v>FB 155 - SUB ISLAND NOODLES</v>
      </c>
      <c r="E343" t="str">
        <f>IF(AND(ISNUMBER(SEARCH(" - ",TRIM('MSR RAW'!C343))),RIGHT(TRIM('MSR RAW'!C343),6)="Total:"),LEFT(TRIM('MSR RAW'!C343),SEARCH(" - ",TRIM('MSR RAW'!C343))-1),"")</f>
        <v/>
      </c>
      <c r="F343" t="str">
        <f>IF(E343="","",TRIM(MID(TRIM('MSR RAW'!C343),SEARCH(" - ",TRIM('MSR RAW'!C343))+3,LEN(TRIM('MSR RAW'!C343))-SEARCH(" - ",TRIM('MSR RAW'!C343))-9)))</f>
        <v/>
      </c>
      <c r="G343" t="str">
        <f>IF(E343="","",IFERROR(VLOOKUP(E343,'CATEGORY MAP'!$A$2:$B$20,2,FALSE()),"REVIEW"))</f>
        <v/>
      </c>
      <c r="H343" t="str">
        <f>IF(E343="","",IFERROR(VALUE(SUBSTITUTE('MSR RAW'!P343,",","")),0))</f>
        <v/>
      </c>
      <c r="I343" t="str">
        <f>IF(E343="","",IFERROR(VALUE(SUBSTITUTE('MSR RAW'!S343,",","")),0))</f>
        <v/>
      </c>
    </row>
    <row r="344" spans="1:9" ht="68.650000000000006" customHeight="1" x14ac:dyDescent="0.2">
      <c r="A344">
        <v>344</v>
      </c>
      <c r="B34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44" t="str">
        <f>IF(LEFT(TRIM('MSR RAW'!A344),11)="Department:",TRIM('MSR RAW'!A344),C343)</f>
        <v>Department: 36637 - SPECIALTY CONCESSIONS (VENDING)</v>
      </c>
      <c r="D344" t="str">
        <f>IF(LEFT(TRIM('MSR RAW'!B344),9)="Location:",TRIM(MID('MSR RAW'!B344,10,999)),D343)</f>
        <v>FB 155 - SUB ISLAND NOODLES</v>
      </c>
      <c r="E344" t="str">
        <f>IF(AND(ISNUMBER(SEARCH(" - ",TRIM('MSR RAW'!C344))),RIGHT(TRIM('MSR RAW'!C344),6)="Total:"),LEFT(TRIM('MSR RAW'!C344),SEARCH(" - ",TRIM('MSR RAW'!C344))-1),"")</f>
        <v/>
      </c>
      <c r="F344" t="str">
        <f>IF(E344="","",TRIM(MID(TRIM('MSR RAW'!C344),SEARCH(" - ",TRIM('MSR RAW'!C344))+3,LEN(TRIM('MSR RAW'!C344))-SEARCH(" - ",TRIM('MSR RAW'!C344))-9)))</f>
        <v/>
      </c>
      <c r="G344" t="str">
        <f>IF(E344="","",IFERROR(VLOOKUP(E344,'CATEGORY MAP'!$A$2:$B$20,2,FALSE()),"REVIEW"))</f>
        <v/>
      </c>
      <c r="H344" t="str">
        <f>IF(E344="","",IFERROR(VALUE(SUBSTITUTE('MSR RAW'!P344,",","")),0))</f>
        <v/>
      </c>
      <c r="I344" t="str">
        <f>IF(E344="","",IFERROR(VALUE(SUBSTITUTE('MSR RAW'!S344,",","")),0))</f>
        <v/>
      </c>
    </row>
    <row r="345" spans="1:9" ht="68.650000000000006" customHeight="1" x14ac:dyDescent="0.2">
      <c r="A345">
        <v>345</v>
      </c>
      <c r="B34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45" t="str">
        <f>IF(LEFT(TRIM('MSR RAW'!A345),11)="Department:",TRIM('MSR RAW'!A345),C344)</f>
        <v>Department: 36637 - SPECIALTY CONCESSIONS (VENDING)</v>
      </c>
      <c r="D345" t="str">
        <f>IF(LEFT(TRIM('MSR RAW'!B345),9)="Location:",TRIM(MID('MSR RAW'!B345,10,999)),D344)</f>
        <v>FB 155 - SUB ISLAND NOODLES</v>
      </c>
      <c r="E345" t="str">
        <f>IF(AND(ISNUMBER(SEARCH(" - ",TRIM('MSR RAW'!C345))),RIGHT(TRIM('MSR RAW'!C345),6)="Total:"),LEFT(TRIM('MSR RAW'!C345),SEARCH(" - ",TRIM('MSR RAW'!C345))-1),"")</f>
        <v/>
      </c>
      <c r="F345" t="str">
        <f>IF(E345="","",TRIM(MID(TRIM('MSR RAW'!C345),SEARCH(" - ",TRIM('MSR RAW'!C345))+3,LEN(TRIM('MSR RAW'!C345))-SEARCH(" - ",TRIM('MSR RAW'!C345))-9)))</f>
        <v/>
      </c>
      <c r="G345" t="str">
        <f>IF(E345="","",IFERROR(VLOOKUP(E345,'CATEGORY MAP'!$A$2:$B$20,2,FALSE()),"REVIEW"))</f>
        <v/>
      </c>
      <c r="H345" t="str">
        <f>IF(E345="","",IFERROR(VALUE(SUBSTITUTE('MSR RAW'!P345,",","")),0))</f>
        <v/>
      </c>
      <c r="I345" t="str">
        <f>IF(E345="","",IFERROR(VALUE(SUBSTITUTE('MSR RAW'!S345,",","")),0))</f>
        <v/>
      </c>
    </row>
    <row r="346" spans="1:9" ht="68.650000000000006" customHeight="1" x14ac:dyDescent="0.2">
      <c r="A346">
        <v>346</v>
      </c>
      <c r="B34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46" t="str">
        <f>IF(LEFT(TRIM('MSR RAW'!A346),11)="Department:",TRIM('MSR RAW'!A346),C345)</f>
        <v>Department: 36637 - SPECIALTY CONCESSIONS (VENDING)</v>
      </c>
      <c r="D346" t="str">
        <f>IF(LEFT(TRIM('MSR RAW'!B346),9)="Location:",TRIM(MID('MSR RAW'!B346,10,999)),D345)</f>
        <v>FB 155 - SUB ISLAND NOODLES</v>
      </c>
      <c r="E346" t="str">
        <f>IF(AND(ISNUMBER(SEARCH(" - ",TRIM('MSR RAW'!C346))),RIGHT(TRIM('MSR RAW'!C346),6)="Total:"),LEFT(TRIM('MSR RAW'!C346),SEARCH(" - ",TRIM('MSR RAW'!C346))-1),"")</f>
        <v/>
      </c>
      <c r="F346" t="str">
        <f>IF(E346="","",TRIM(MID(TRIM('MSR RAW'!C346),SEARCH(" - ",TRIM('MSR RAW'!C346))+3,LEN(TRIM('MSR RAW'!C346))-SEARCH(" - ",TRIM('MSR RAW'!C346))-9)))</f>
        <v/>
      </c>
      <c r="G346" t="str">
        <f>IF(E346="","",IFERROR(VLOOKUP(E346,'CATEGORY MAP'!$A$2:$B$20,2,FALSE()),"REVIEW"))</f>
        <v/>
      </c>
      <c r="H346" t="str">
        <f>IF(E346="","",IFERROR(VALUE(SUBSTITUTE('MSR RAW'!P346,",","")),0))</f>
        <v/>
      </c>
      <c r="I346" t="str">
        <f>IF(E346="","",IFERROR(VALUE(SUBSTITUTE('MSR RAW'!S346,",","")),0))</f>
        <v/>
      </c>
    </row>
    <row r="347" spans="1:9" ht="68.650000000000006" customHeight="1" x14ac:dyDescent="0.2">
      <c r="A347">
        <v>347</v>
      </c>
      <c r="B34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47" t="str">
        <f>IF(LEFT(TRIM('MSR RAW'!A347),11)="Department:",TRIM('MSR RAW'!A347),C346)</f>
        <v>Department: 36637 - SPECIALTY CONCESSIONS (VENDING)</v>
      </c>
      <c r="D347" t="str">
        <f>IF(LEFT(TRIM('MSR RAW'!B347),9)="Location:",TRIM(MID('MSR RAW'!B347,10,999)),D346)</f>
        <v>FB 155 - SUB ISLAND NOODLES</v>
      </c>
      <c r="E347" t="str">
        <f>IF(AND(ISNUMBER(SEARCH(" - ",TRIM('MSR RAW'!C347))),RIGHT(TRIM('MSR RAW'!C347),6)="Total:"),LEFT(TRIM('MSR RAW'!C347),SEARCH(" - ",TRIM('MSR RAW'!C347))-1),"")</f>
        <v/>
      </c>
      <c r="F347" t="str">
        <f>IF(E347="","",TRIM(MID(TRIM('MSR RAW'!C347),SEARCH(" - ",TRIM('MSR RAW'!C347))+3,LEN(TRIM('MSR RAW'!C347))-SEARCH(" - ",TRIM('MSR RAW'!C347))-9)))</f>
        <v/>
      </c>
      <c r="G347" t="str">
        <f>IF(E347="","",IFERROR(VLOOKUP(E347,'CATEGORY MAP'!$A$2:$B$20,2,FALSE()),"REVIEW"))</f>
        <v/>
      </c>
      <c r="H347" t="str">
        <f>IF(E347="","",IFERROR(VALUE(SUBSTITUTE('MSR RAW'!P347,",","")),0))</f>
        <v/>
      </c>
      <c r="I347" t="str">
        <f>IF(E347="","",IFERROR(VALUE(SUBSTITUTE('MSR RAW'!S347,",","")),0))</f>
        <v/>
      </c>
    </row>
    <row r="348" spans="1:9" ht="68.650000000000006" customHeight="1" x14ac:dyDescent="0.2">
      <c r="A348">
        <v>348</v>
      </c>
      <c r="B34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48" t="str">
        <f>IF(LEFT(TRIM('MSR RAW'!A348),11)="Department:",TRIM('MSR RAW'!A348),C347)</f>
        <v>Department: 36637 - SPECIALTY CONCESSIONS (VENDING)</v>
      </c>
      <c r="D348" t="str">
        <f>IF(LEFT(TRIM('MSR RAW'!B348),9)="Location:",TRIM(MID('MSR RAW'!B348,10,999)),D347)</f>
        <v>FB 155 - SUB ISLAND NOODLES</v>
      </c>
      <c r="E348" t="str">
        <f>IF(AND(ISNUMBER(SEARCH(" - ",TRIM('MSR RAW'!C348))),RIGHT(TRIM('MSR RAW'!C348),6)="Total:"),LEFT(TRIM('MSR RAW'!C348),SEARCH(" - ",TRIM('MSR RAW'!C348))-1),"")</f>
        <v/>
      </c>
      <c r="F348" t="str">
        <f>IF(E348="","",TRIM(MID(TRIM('MSR RAW'!C348),SEARCH(" - ",TRIM('MSR RAW'!C348))+3,LEN(TRIM('MSR RAW'!C348))-SEARCH(" - ",TRIM('MSR RAW'!C348))-9)))</f>
        <v/>
      </c>
      <c r="G348" t="str">
        <f>IF(E348="","",IFERROR(VLOOKUP(E348,'CATEGORY MAP'!$A$2:$B$20,2,FALSE()),"REVIEW"))</f>
        <v/>
      </c>
      <c r="H348" t="str">
        <f>IF(E348="","",IFERROR(VALUE(SUBSTITUTE('MSR RAW'!P348,",","")),0))</f>
        <v/>
      </c>
      <c r="I348" t="str">
        <f>IF(E348="","",IFERROR(VALUE(SUBSTITUTE('MSR RAW'!S348,",","")),0))</f>
        <v/>
      </c>
    </row>
    <row r="349" spans="1:9" ht="68.650000000000006" customHeight="1" x14ac:dyDescent="0.2">
      <c r="A349">
        <v>349</v>
      </c>
      <c r="B34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49" t="str">
        <f>IF(LEFT(TRIM('MSR RAW'!A349),11)="Department:",TRIM('MSR RAW'!A349),C348)</f>
        <v>Department: 36637 - SPECIALTY CONCESSIONS (VENDING)</v>
      </c>
      <c r="D349" t="str">
        <f>IF(LEFT(TRIM('MSR RAW'!B349),9)="Location:",TRIM(MID('MSR RAW'!B349,10,999)),D348)</f>
        <v>FB 155 - SUB ISLAND NOODLES</v>
      </c>
      <c r="E349" t="str">
        <f>IF(AND(ISNUMBER(SEARCH(" - ",TRIM('MSR RAW'!C349))),RIGHT(TRIM('MSR RAW'!C349),6)="Total:"),LEFT(TRIM('MSR RAW'!C349),SEARCH(" - ",TRIM('MSR RAW'!C349))-1),"")</f>
        <v/>
      </c>
      <c r="F349" t="str">
        <f>IF(E349="","",TRIM(MID(TRIM('MSR RAW'!C349),SEARCH(" - ",TRIM('MSR RAW'!C349))+3,LEN(TRIM('MSR RAW'!C349))-SEARCH(" - ",TRIM('MSR RAW'!C349))-9)))</f>
        <v/>
      </c>
      <c r="G349" t="str">
        <f>IF(E349="","",IFERROR(VLOOKUP(E349,'CATEGORY MAP'!$A$2:$B$20,2,FALSE()),"REVIEW"))</f>
        <v/>
      </c>
      <c r="H349" t="str">
        <f>IF(E349="","",IFERROR(VALUE(SUBSTITUTE('MSR RAW'!P349,",","")),0))</f>
        <v/>
      </c>
      <c r="I349" t="str">
        <f>IF(E349="","",IFERROR(VALUE(SUBSTITUTE('MSR RAW'!S349,",","")),0))</f>
        <v/>
      </c>
    </row>
    <row r="350" spans="1:9" ht="68.650000000000006" customHeight="1" x14ac:dyDescent="0.2">
      <c r="A350">
        <v>350</v>
      </c>
      <c r="B35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50" t="str">
        <f>IF(LEFT(TRIM('MSR RAW'!A350),11)="Department:",TRIM('MSR RAW'!A350),C349)</f>
        <v>Department: 36637 - SPECIALTY CONCESSIONS (VENDING)</v>
      </c>
      <c r="D350" t="str">
        <f>IF(LEFT(TRIM('MSR RAW'!B350),9)="Location:",TRIM(MID('MSR RAW'!B350,10,999)),D349)</f>
        <v>FB 155 - SUB ISLAND NOODLES</v>
      </c>
      <c r="E350" t="str">
        <f>IF(AND(ISNUMBER(SEARCH(" - ",TRIM('MSR RAW'!C350))),RIGHT(TRIM('MSR RAW'!C350),6)="Total:"),LEFT(TRIM('MSR RAW'!C350),SEARCH(" - ",TRIM('MSR RAW'!C350))-1),"")</f>
        <v/>
      </c>
      <c r="F350" t="str">
        <f>IF(E350="","",TRIM(MID(TRIM('MSR RAW'!C350),SEARCH(" - ",TRIM('MSR RAW'!C350))+3,LEN(TRIM('MSR RAW'!C350))-SEARCH(" - ",TRIM('MSR RAW'!C350))-9)))</f>
        <v/>
      </c>
      <c r="G350" t="str">
        <f>IF(E350="","",IFERROR(VLOOKUP(E350,'CATEGORY MAP'!$A$2:$B$20,2,FALSE()),"REVIEW"))</f>
        <v/>
      </c>
      <c r="H350" t="str">
        <f>IF(E350="","",IFERROR(VALUE(SUBSTITUTE('MSR RAW'!P350,",","")),0))</f>
        <v/>
      </c>
      <c r="I350" t="str">
        <f>IF(E350="","",IFERROR(VALUE(SUBSTITUTE('MSR RAW'!S350,",","")),0))</f>
        <v/>
      </c>
    </row>
    <row r="351" spans="1:9" ht="68.650000000000006" customHeight="1" x14ac:dyDescent="0.2">
      <c r="A351">
        <v>351</v>
      </c>
      <c r="B35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51" t="str">
        <f>IF(LEFT(TRIM('MSR RAW'!A351),11)="Department:",TRIM('MSR RAW'!A351),C350)</f>
        <v>Department: 36637 - SPECIALTY CONCESSIONS (VENDING)</v>
      </c>
      <c r="D351" t="str">
        <f>IF(LEFT(TRIM('MSR RAW'!B351),9)="Location:",TRIM(MID('MSR RAW'!B351,10,999)),D350)</f>
        <v>FB 155 - SUB ISLAND NOODLES</v>
      </c>
      <c r="E351" t="str">
        <f>IF(AND(ISNUMBER(SEARCH(" - ",TRIM('MSR RAW'!C351))),RIGHT(TRIM('MSR RAW'!C351),6)="Total:"),LEFT(TRIM('MSR RAW'!C351),SEARCH(" - ",TRIM('MSR RAW'!C351))-1),"")</f>
        <v/>
      </c>
      <c r="F351" t="str">
        <f>IF(E351="","",TRIM(MID(TRIM('MSR RAW'!C351),SEARCH(" - ",TRIM('MSR RAW'!C351))+3,LEN(TRIM('MSR RAW'!C351))-SEARCH(" - ",TRIM('MSR RAW'!C351))-9)))</f>
        <v/>
      </c>
      <c r="G351" t="str">
        <f>IF(E351="","",IFERROR(VLOOKUP(E351,'CATEGORY MAP'!$A$2:$B$20,2,FALSE()),"REVIEW"))</f>
        <v/>
      </c>
      <c r="H351" t="str">
        <f>IF(E351="","",IFERROR(VALUE(SUBSTITUTE('MSR RAW'!P351,",","")),0))</f>
        <v/>
      </c>
      <c r="I351" t="str">
        <f>IF(E351="","",IFERROR(VALUE(SUBSTITUTE('MSR RAW'!S351,",","")),0))</f>
        <v/>
      </c>
    </row>
    <row r="352" spans="1:9" ht="68.650000000000006" customHeight="1" x14ac:dyDescent="0.2">
      <c r="A352">
        <v>352</v>
      </c>
      <c r="B35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52" t="str">
        <f>IF(LEFT(TRIM('MSR RAW'!A352),11)="Department:",TRIM('MSR RAW'!A352),C351)</f>
        <v>Department: 36637 - SPECIALTY CONCESSIONS (VENDING)</v>
      </c>
      <c r="D352" t="str">
        <f>IF(LEFT(TRIM('MSR RAW'!B352),9)="Location:",TRIM(MID('MSR RAW'!B352,10,999)),D351)</f>
        <v>FB 155 - SUB ISLAND NOODLES</v>
      </c>
      <c r="E352" t="str">
        <f>IF(AND(ISNUMBER(SEARCH(" - ",TRIM('MSR RAW'!C352))),RIGHT(TRIM('MSR RAW'!C352),6)="Total:"),LEFT(TRIM('MSR RAW'!C352),SEARCH(" - ",TRIM('MSR RAW'!C352))-1),"")</f>
        <v/>
      </c>
      <c r="F352" t="str">
        <f>IF(E352="","",TRIM(MID(TRIM('MSR RAW'!C352),SEARCH(" - ",TRIM('MSR RAW'!C352))+3,LEN(TRIM('MSR RAW'!C352))-SEARCH(" - ",TRIM('MSR RAW'!C352))-9)))</f>
        <v/>
      </c>
      <c r="G352" t="str">
        <f>IF(E352="","",IFERROR(VLOOKUP(E352,'CATEGORY MAP'!$A$2:$B$20,2,FALSE()),"REVIEW"))</f>
        <v/>
      </c>
      <c r="H352" t="str">
        <f>IF(E352="","",IFERROR(VALUE(SUBSTITUTE('MSR RAW'!P352,",","")),0))</f>
        <v/>
      </c>
      <c r="I352" t="str">
        <f>IF(E352="","",IFERROR(VALUE(SUBSTITUTE('MSR RAW'!S352,",","")),0))</f>
        <v/>
      </c>
    </row>
    <row r="353" spans="1:9" ht="68.650000000000006" customHeight="1" x14ac:dyDescent="0.2">
      <c r="A353">
        <v>353</v>
      </c>
      <c r="B35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53" t="str">
        <f>IF(LEFT(TRIM('MSR RAW'!A353),11)="Department:",TRIM('MSR RAW'!A353),C352)</f>
        <v>Department: 36637 - SPECIALTY CONCESSIONS (VENDING)</v>
      </c>
      <c r="D353" t="str">
        <f>IF(LEFT(TRIM('MSR RAW'!B353),9)="Location:",TRIM(MID('MSR RAW'!B353,10,999)),D352)</f>
        <v>FB 155 - SUB ISLAND NOODLES</v>
      </c>
      <c r="E353" t="str">
        <f>IF(AND(ISNUMBER(SEARCH(" - ",TRIM('MSR RAW'!C353))),RIGHT(TRIM('MSR RAW'!C353),6)="Total:"),LEFT(TRIM('MSR RAW'!C353),SEARCH(" - ",TRIM('MSR RAW'!C353))-1),"")</f>
        <v/>
      </c>
      <c r="F353" t="str">
        <f>IF(E353="","",TRIM(MID(TRIM('MSR RAW'!C353),SEARCH(" - ",TRIM('MSR RAW'!C353))+3,LEN(TRIM('MSR RAW'!C353))-SEARCH(" - ",TRIM('MSR RAW'!C353))-9)))</f>
        <v/>
      </c>
      <c r="G353" t="str">
        <f>IF(E353="","",IFERROR(VLOOKUP(E353,'CATEGORY MAP'!$A$2:$B$20,2,FALSE()),"REVIEW"))</f>
        <v/>
      </c>
      <c r="H353" t="str">
        <f>IF(E353="","",IFERROR(VALUE(SUBSTITUTE('MSR RAW'!P353,",","")),0))</f>
        <v/>
      </c>
      <c r="I353" t="str">
        <f>IF(E353="","",IFERROR(VALUE(SUBSTITUTE('MSR RAW'!S353,",","")),0))</f>
        <v/>
      </c>
    </row>
    <row r="354" spans="1:9" ht="68.650000000000006" customHeight="1" x14ac:dyDescent="0.2">
      <c r="A354">
        <v>354</v>
      </c>
      <c r="B35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54" t="str">
        <f>IF(LEFT(TRIM('MSR RAW'!A354),11)="Department:",TRIM('MSR RAW'!A354),C353)</f>
        <v>Department: 36637 - SPECIALTY CONCESSIONS (VENDING)</v>
      </c>
      <c r="D354" t="str">
        <f>IF(LEFT(TRIM('MSR RAW'!B354),9)="Location:",TRIM(MID('MSR RAW'!B354,10,999)),D353)</f>
        <v>FB 155 - SUB ISLAND NOODLES</v>
      </c>
      <c r="E354" t="str">
        <f>IF(AND(ISNUMBER(SEARCH(" - ",TRIM('MSR RAW'!C354))),RIGHT(TRIM('MSR RAW'!C354),6)="Total:"),LEFT(TRIM('MSR RAW'!C354),SEARCH(" - ",TRIM('MSR RAW'!C354))-1),"")</f>
        <v/>
      </c>
      <c r="F354" t="str">
        <f>IF(E354="","",TRIM(MID(TRIM('MSR RAW'!C354),SEARCH(" - ",TRIM('MSR RAW'!C354))+3,LEN(TRIM('MSR RAW'!C354))-SEARCH(" - ",TRIM('MSR RAW'!C354))-9)))</f>
        <v/>
      </c>
      <c r="G354" t="str">
        <f>IF(E354="","",IFERROR(VLOOKUP(E354,'CATEGORY MAP'!$A$2:$B$20,2,FALSE()),"REVIEW"))</f>
        <v/>
      </c>
      <c r="H354" t="str">
        <f>IF(E354="","",IFERROR(VALUE(SUBSTITUTE('MSR RAW'!P354,",","")),0))</f>
        <v/>
      </c>
      <c r="I354" t="str">
        <f>IF(E354="","",IFERROR(VALUE(SUBSTITUTE('MSR RAW'!S354,",","")),0))</f>
        <v/>
      </c>
    </row>
    <row r="355" spans="1:9" ht="68.650000000000006" customHeight="1" x14ac:dyDescent="0.2">
      <c r="A355">
        <v>355</v>
      </c>
      <c r="B35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55" t="str">
        <f>IF(LEFT(TRIM('MSR RAW'!A355),11)="Department:",TRIM('MSR RAW'!A355),C354)</f>
        <v>Department: 36637 - SPECIALTY CONCESSIONS (VENDING)</v>
      </c>
      <c r="D355" t="str">
        <f>IF(LEFT(TRIM('MSR RAW'!B355),9)="Location:",TRIM(MID('MSR RAW'!B355,10,999)),D354)</f>
        <v>FB 155 - SUB ISLAND NOODLES</v>
      </c>
      <c r="E355" t="str">
        <f>IF(AND(ISNUMBER(SEARCH(" - ",TRIM('MSR RAW'!C355))),RIGHT(TRIM('MSR RAW'!C355),6)="Total:"),LEFT(TRIM('MSR RAW'!C355),SEARCH(" - ",TRIM('MSR RAW'!C355))-1),"")</f>
        <v/>
      </c>
      <c r="F355" t="str">
        <f>IF(E355="","",TRIM(MID(TRIM('MSR RAW'!C355),SEARCH(" - ",TRIM('MSR RAW'!C355))+3,LEN(TRIM('MSR RAW'!C355))-SEARCH(" - ",TRIM('MSR RAW'!C355))-9)))</f>
        <v/>
      </c>
      <c r="G355" t="str">
        <f>IF(E355="","",IFERROR(VLOOKUP(E355,'CATEGORY MAP'!$A$2:$B$20,2,FALSE()),"REVIEW"))</f>
        <v/>
      </c>
      <c r="H355" t="str">
        <f>IF(E355="","",IFERROR(VALUE(SUBSTITUTE('MSR RAW'!P355,",","")),0))</f>
        <v/>
      </c>
      <c r="I355" t="str">
        <f>IF(E355="","",IFERROR(VALUE(SUBSTITUTE('MSR RAW'!S355,",","")),0))</f>
        <v/>
      </c>
    </row>
    <row r="356" spans="1:9" ht="68.650000000000006" customHeight="1" x14ac:dyDescent="0.2">
      <c r="A356">
        <v>356</v>
      </c>
      <c r="B35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56" t="str">
        <f>IF(LEFT(TRIM('MSR RAW'!A356),11)="Department:",TRIM('MSR RAW'!A356),C355)</f>
        <v>Department: 36637 - SPECIALTY CONCESSIONS (VENDING)</v>
      </c>
      <c r="D356" t="str">
        <f>IF(LEFT(TRIM('MSR RAW'!B356),9)="Location:",TRIM(MID('MSR RAW'!B356,10,999)),D355)</f>
        <v>FB 155 - SUB ISLAND NOODLES</v>
      </c>
      <c r="E356" t="str">
        <f>IF(AND(ISNUMBER(SEARCH(" - ",TRIM('MSR RAW'!C356))),RIGHT(TRIM('MSR RAW'!C356),6)="Total:"),LEFT(TRIM('MSR RAW'!C356),SEARCH(" - ",TRIM('MSR RAW'!C356))-1),"")</f>
        <v/>
      </c>
      <c r="F356" t="str">
        <f>IF(E356="","",TRIM(MID(TRIM('MSR RAW'!C356),SEARCH(" - ",TRIM('MSR RAW'!C356))+3,LEN(TRIM('MSR RAW'!C356))-SEARCH(" - ",TRIM('MSR RAW'!C356))-9)))</f>
        <v/>
      </c>
      <c r="G356" t="str">
        <f>IF(E356="","",IFERROR(VLOOKUP(E356,'CATEGORY MAP'!$A$2:$B$20,2,FALSE()),"REVIEW"))</f>
        <v/>
      </c>
      <c r="H356" t="str">
        <f>IF(E356="","",IFERROR(VALUE(SUBSTITUTE('MSR RAW'!P356,",","")),0))</f>
        <v/>
      </c>
      <c r="I356" t="str">
        <f>IF(E356="","",IFERROR(VALUE(SUBSTITUTE('MSR RAW'!S356,",","")),0))</f>
        <v/>
      </c>
    </row>
    <row r="357" spans="1:9" ht="68.650000000000006" customHeight="1" x14ac:dyDescent="0.2">
      <c r="A357">
        <v>357</v>
      </c>
      <c r="B35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57" t="str">
        <f>IF(LEFT(TRIM('MSR RAW'!A357),11)="Department:",TRIM('MSR RAW'!A357),C356)</f>
        <v>Department: 36637 - SPECIALTY CONCESSIONS (VENDING)</v>
      </c>
      <c r="D357" t="str">
        <f>IF(LEFT(TRIM('MSR RAW'!B357),9)="Location:",TRIM(MID('MSR RAW'!B357,10,999)),D356)</f>
        <v>FB 155 - SUB ISLAND NOODLES</v>
      </c>
      <c r="E357" t="str">
        <f>IF(AND(ISNUMBER(SEARCH(" - ",TRIM('MSR RAW'!C357))),RIGHT(TRIM('MSR RAW'!C357),6)="Total:"),LEFT(TRIM('MSR RAW'!C357),SEARCH(" - ",TRIM('MSR RAW'!C357))-1),"")</f>
        <v/>
      </c>
      <c r="F357" t="str">
        <f>IF(E357="","",TRIM(MID(TRIM('MSR RAW'!C357),SEARCH(" - ",TRIM('MSR RAW'!C357))+3,LEN(TRIM('MSR RAW'!C357))-SEARCH(" - ",TRIM('MSR RAW'!C357))-9)))</f>
        <v/>
      </c>
      <c r="G357" t="str">
        <f>IF(E357="","",IFERROR(VLOOKUP(E357,'CATEGORY MAP'!$A$2:$B$20,2,FALSE()),"REVIEW"))</f>
        <v/>
      </c>
      <c r="H357" t="str">
        <f>IF(E357="","",IFERROR(VALUE(SUBSTITUTE('MSR RAW'!P357,",","")),0))</f>
        <v/>
      </c>
      <c r="I357" t="str">
        <f>IF(E357="","",IFERROR(VALUE(SUBSTITUTE('MSR RAW'!S357,",","")),0))</f>
        <v/>
      </c>
    </row>
    <row r="358" spans="1:9" ht="68.650000000000006" customHeight="1" x14ac:dyDescent="0.2">
      <c r="A358">
        <v>358</v>
      </c>
      <c r="B35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58" t="str">
        <f>IF(LEFT(TRIM('MSR RAW'!A358),11)="Department:",TRIM('MSR RAW'!A358),C357)</f>
        <v>Department: 36637 - SPECIALTY CONCESSIONS (VENDING)</v>
      </c>
      <c r="D358" t="str">
        <f>IF(LEFT(TRIM('MSR RAW'!B358),9)="Location:",TRIM(MID('MSR RAW'!B358,10,999)),D357)</f>
        <v>FB 155 - SUB ISLAND NOODLES</v>
      </c>
      <c r="E358" t="str">
        <f>IF(AND(ISNUMBER(SEARCH(" - ",TRIM('MSR RAW'!C358))),RIGHT(TRIM('MSR RAW'!C358),6)="Total:"),LEFT(TRIM('MSR RAW'!C358),SEARCH(" - ",TRIM('MSR RAW'!C358))-1),"")</f>
        <v/>
      </c>
      <c r="F358" t="str">
        <f>IF(E358="","",TRIM(MID(TRIM('MSR RAW'!C358),SEARCH(" - ",TRIM('MSR RAW'!C358))+3,LEN(TRIM('MSR RAW'!C358))-SEARCH(" - ",TRIM('MSR RAW'!C358))-9)))</f>
        <v/>
      </c>
      <c r="G358" t="str">
        <f>IF(E358="","",IFERROR(VLOOKUP(E358,'CATEGORY MAP'!$A$2:$B$20,2,FALSE()),"REVIEW"))</f>
        <v/>
      </c>
      <c r="H358" t="str">
        <f>IF(E358="","",IFERROR(VALUE(SUBSTITUTE('MSR RAW'!P358,",","")),0))</f>
        <v/>
      </c>
      <c r="I358" t="str">
        <f>IF(E358="","",IFERROR(VALUE(SUBSTITUTE('MSR RAW'!S358,",","")),0))</f>
        <v/>
      </c>
    </row>
    <row r="359" spans="1:9" ht="68.650000000000006" customHeight="1" x14ac:dyDescent="0.2">
      <c r="A359">
        <v>359</v>
      </c>
      <c r="B35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59" t="str">
        <f>IF(LEFT(TRIM('MSR RAW'!A359),11)="Department:",TRIM('MSR RAW'!A359),C358)</f>
        <v>Department: 36637 - SPECIALTY CONCESSIONS (VENDING)</v>
      </c>
      <c r="D359" t="str">
        <f>IF(LEFT(TRIM('MSR RAW'!B359),9)="Location:",TRIM(MID('MSR RAW'!B359,10,999)),D358)</f>
        <v>FB 155 - SUB ISLAND NOODLES</v>
      </c>
      <c r="E359" t="str">
        <f>IF(AND(ISNUMBER(SEARCH(" - ",TRIM('MSR RAW'!C359))),RIGHT(TRIM('MSR RAW'!C359),6)="Total:"),LEFT(TRIM('MSR RAW'!C359),SEARCH(" - ",TRIM('MSR RAW'!C359))-1),"")</f>
        <v/>
      </c>
      <c r="F359" t="str">
        <f>IF(E359="","",TRIM(MID(TRIM('MSR RAW'!C359),SEARCH(" - ",TRIM('MSR RAW'!C359))+3,LEN(TRIM('MSR RAW'!C359))-SEARCH(" - ",TRIM('MSR RAW'!C359))-9)))</f>
        <v/>
      </c>
      <c r="G359" t="str">
        <f>IF(E359="","",IFERROR(VLOOKUP(E359,'CATEGORY MAP'!$A$2:$B$20,2,FALSE()),"REVIEW"))</f>
        <v/>
      </c>
      <c r="H359" t="str">
        <f>IF(E359="","",IFERROR(VALUE(SUBSTITUTE('MSR RAW'!P359,",","")),0))</f>
        <v/>
      </c>
      <c r="I359" t="str">
        <f>IF(E359="","",IFERROR(VALUE(SUBSTITUTE('MSR RAW'!S359,",","")),0))</f>
        <v/>
      </c>
    </row>
    <row r="360" spans="1:9" ht="68.650000000000006" customHeight="1" x14ac:dyDescent="0.2">
      <c r="A360">
        <v>360</v>
      </c>
      <c r="B36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60" t="str">
        <f>IF(LEFT(TRIM('MSR RAW'!A360),11)="Department:",TRIM('MSR RAW'!A360),C359)</f>
        <v>Department: 36637 - SPECIALTY CONCESSIONS (VENDING)</v>
      </c>
      <c r="D360" t="str">
        <f>IF(LEFT(TRIM('MSR RAW'!B360),9)="Location:",TRIM(MID('MSR RAW'!B360,10,999)),D359)</f>
        <v>FB 155 - SUB ISLAND NOODLES</v>
      </c>
      <c r="E360" t="str">
        <f>IF(AND(ISNUMBER(SEARCH(" - ",TRIM('MSR RAW'!C360))),RIGHT(TRIM('MSR RAW'!C360),6)="Total:"),LEFT(TRIM('MSR RAW'!C360),SEARCH(" - ",TRIM('MSR RAW'!C360))-1),"")</f>
        <v/>
      </c>
      <c r="F360" t="str">
        <f>IF(E360="","",TRIM(MID(TRIM('MSR RAW'!C360),SEARCH(" - ",TRIM('MSR RAW'!C360))+3,LEN(TRIM('MSR RAW'!C360))-SEARCH(" - ",TRIM('MSR RAW'!C360))-9)))</f>
        <v/>
      </c>
      <c r="G360" t="str">
        <f>IF(E360="","",IFERROR(VLOOKUP(E360,'CATEGORY MAP'!$A$2:$B$20,2,FALSE()),"REVIEW"))</f>
        <v/>
      </c>
      <c r="H360" t="str">
        <f>IF(E360="","",IFERROR(VALUE(SUBSTITUTE('MSR RAW'!P360,",","")),0))</f>
        <v/>
      </c>
      <c r="I360" t="str">
        <f>IF(E360="","",IFERROR(VALUE(SUBSTITUTE('MSR RAW'!S360,",","")),0))</f>
        <v/>
      </c>
    </row>
    <row r="361" spans="1:9" ht="68.650000000000006" customHeight="1" x14ac:dyDescent="0.2">
      <c r="A361">
        <v>361</v>
      </c>
      <c r="B36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61" t="str">
        <f>IF(LEFT(TRIM('MSR RAW'!A361),11)="Department:",TRIM('MSR RAW'!A361),C360)</f>
        <v>Department: 36637 - SPECIALTY CONCESSIONS (VENDING)</v>
      </c>
      <c r="D361" t="str">
        <f>IF(LEFT(TRIM('MSR RAW'!B361),9)="Location:",TRIM(MID('MSR RAW'!B361,10,999)),D360)</f>
        <v>FB 155 - SUB ISLAND NOODLES</v>
      </c>
      <c r="E361" t="str">
        <f>IF(AND(ISNUMBER(SEARCH(" - ",TRIM('MSR RAW'!C361))),RIGHT(TRIM('MSR RAW'!C361),6)="Total:"),LEFT(TRIM('MSR RAW'!C361),SEARCH(" - ",TRIM('MSR RAW'!C361))-1),"")</f>
        <v/>
      </c>
      <c r="F361" t="str">
        <f>IF(E361="","",TRIM(MID(TRIM('MSR RAW'!C361),SEARCH(" - ",TRIM('MSR RAW'!C361))+3,LEN(TRIM('MSR RAW'!C361))-SEARCH(" - ",TRIM('MSR RAW'!C361))-9)))</f>
        <v/>
      </c>
      <c r="G361" t="str">
        <f>IF(E361="","",IFERROR(VLOOKUP(E361,'CATEGORY MAP'!$A$2:$B$20,2,FALSE()),"REVIEW"))</f>
        <v/>
      </c>
      <c r="H361" t="str">
        <f>IF(E361="","",IFERROR(VALUE(SUBSTITUTE('MSR RAW'!P361,",","")),0))</f>
        <v/>
      </c>
      <c r="I361" t="str">
        <f>IF(E361="","",IFERROR(VALUE(SUBSTITUTE('MSR RAW'!S361,",","")),0))</f>
        <v/>
      </c>
    </row>
    <row r="362" spans="1:9" ht="68.650000000000006" customHeight="1" x14ac:dyDescent="0.2">
      <c r="A362">
        <v>362</v>
      </c>
      <c r="B36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62" t="str">
        <f>IF(LEFT(TRIM('MSR RAW'!A362),11)="Department:",TRIM('MSR RAW'!A362),C361)</f>
        <v>Department: 36637 - SPECIALTY CONCESSIONS (VENDING)</v>
      </c>
      <c r="D362" t="str">
        <f>IF(LEFT(TRIM('MSR RAW'!B362),9)="Location:",TRIM(MID('MSR RAW'!B362,10,999)),D361)</f>
        <v>FB 155 - SUB ISLAND NOODLES</v>
      </c>
      <c r="E362" t="str">
        <f>IF(AND(ISNUMBER(SEARCH(" - ",TRIM('MSR RAW'!C362))),RIGHT(TRIM('MSR RAW'!C362),6)="Total:"),LEFT(TRIM('MSR RAW'!C362),SEARCH(" - ",TRIM('MSR RAW'!C362))-1),"")</f>
        <v/>
      </c>
      <c r="F362" t="str">
        <f>IF(E362="","",TRIM(MID(TRIM('MSR RAW'!C362),SEARCH(" - ",TRIM('MSR RAW'!C362))+3,LEN(TRIM('MSR RAW'!C362))-SEARCH(" - ",TRIM('MSR RAW'!C362))-9)))</f>
        <v/>
      </c>
      <c r="G362" t="str">
        <f>IF(E362="","",IFERROR(VLOOKUP(E362,'CATEGORY MAP'!$A$2:$B$20,2,FALSE()),"REVIEW"))</f>
        <v/>
      </c>
      <c r="H362" t="str">
        <f>IF(E362="","",IFERROR(VALUE(SUBSTITUTE('MSR RAW'!P362,",","")),0))</f>
        <v/>
      </c>
      <c r="I362" t="str">
        <f>IF(E362="","",IFERROR(VALUE(SUBSTITUTE('MSR RAW'!S362,",","")),0))</f>
        <v/>
      </c>
    </row>
    <row r="363" spans="1:9" ht="68.650000000000006" customHeight="1" x14ac:dyDescent="0.2">
      <c r="A363">
        <v>363</v>
      </c>
      <c r="B36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63" t="str">
        <f>IF(LEFT(TRIM('MSR RAW'!A363),11)="Department:",TRIM('MSR RAW'!A363),C362)</f>
        <v>Department: 36637 - SPECIALTY CONCESSIONS (VENDING)</v>
      </c>
      <c r="D363" t="str">
        <f>IF(LEFT(TRIM('MSR RAW'!B363),9)="Location:",TRIM(MID('MSR RAW'!B363,10,999)),D362)</f>
        <v>FB 155 - SUB ISLAND NOODLES</v>
      </c>
      <c r="E363" t="str">
        <f>IF(AND(ISNUMBER(SEARCH(" - ",TRIM('MSR RAW'!C363))),RIGHT(TRIM('MSR RAW'!C363),6)="Total:"),LEFT(TRIM('MSR RAW'!C363),SEARCH(" - ",TRIM('MSR RAW'!C363))-1),"")</f>
        <v/>
      </c>
      <c r="F363" t="str">
        <f>IF(E363="","",TRIM(MID(TRIM('MSR RAW'!C363),SEARCH(" - ",TRIM('MSR RAW'!C363))+3,LEN(TRIM('MSR RAW'!C363))-SEARCH(" - ",TRIM('MSR RAW'!C363))-9)))</f>
        <v/>
      </c>
      <c r="G363" t="str">
        <f>IF(E363="","",IFERROR(VLOOKUP(E363,'CATEGORY MAP'!$A$2:$B$20,2,FALSE()),"REVIEW"))</f>
        <v/>
      </c>
      <c r="H363" t="str">
        <f>IF(E363="","",IFERROR(VALUE(SUBSTITUTE('MSR RAW'!P363,",","")),0))</f>
        <v/>
      </c>
      <c r="I363" t="str">
        <f>IF(E363="","",IFERROR(VALUE(SUBSTITUTE('MSR RAW'!S363,",","")),0))</f>
        <v/>
      </c>
    </row>
    <row r="364" spans="1:9" ht="68.650000000000006" customHeight="1" x14ac:dyDescent="0.2">
      <c r="A364">
        <v>364</v>
      </c>
      <c r="B36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64" t="str">
        <f>IF(LEFT(TRIM('MSR RAW'!A364),11)="Department:",TRIM('MSR RAW'!A364),C363)</f>
        <v>Department: 36637 - SPECIALTY CONCESSIONS (VENDING)</v>
      </c>
      <c r="D364" t="str">
        <f>IF(LEFT(TRIM('MSR RAW'!B364),9)="Location:",TRIM(MID('MSR RAW'!B364,10,999)),D363)</f>
        <v>FB 155 - SUB ISLAND NOODLES</v>
      </c>
      <c r="E364" t="str">
        <f>IF(AND(ISNUMBER(SEARCH(" - ",TRIM('MSR RAW'!C364))),RIGHT(TRIM('MSR RAW'!C364),6)="Total:"),LEFT(TRIM('MSR RAW'!C364),SEARCH(" - ",TRIM('MSR RAW'!C364))-1),"")</f>
        <v/>
      </c>
      <c r="F364" t="str">
        <f>IF(E364="","",TRIM(MID(TRIM('MSR RAW'!C364),SEARCH(" - ",TRIM('MSR RAW'!C364))+3,LEN(TRIM('MSR RAW'!C364))-SEARCH(" - ",TRIM('MSR RAW'!C364))-9)))</f>
        <v/>
      </c>
      <c r="G364" t="str">
        <f>IF(E364="","",IFERROR(VLOOKUP(E364,'CATEGORY MAP'!$A$2:$B$20,2,FALSE()),"REVIEW"))</f>
        <v/>
      </c>
      <c r="H364" t="str">
        <f>IF(E364="","",IFERROR(VALUE(SUBSTITUTE('MSR RAW'!P364,",","")),0))</f>
        <v/>
      </c>
      <c r="I364" t="str">
        <f>IF(E364="","",IFERROR(VALUE(SUBSTITUTE('MSR RAW'!S364,",","")),0))</f>
        <v/>
      </c>
    </row>
    <row r="365" spans="1:9" ht="68.650000000000006" customHeight="1" x14ac:dyDescent="0.2">
      <c r="A365">
        <v>365</v>
      </c>
      <c r="B36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65" t="str">
        <f>IF(LEFT(TRIM('MSR RAW'!A365),11)="Department:",TRIM('MSR RAW'!A365),C364)</f>
        <v>Department: 36637 - SPECIALTY CONCESSIONS (VENDING)</v>
      </c>
      <c r="D365" t="str">
        <f>IF(LEFT(TRIM('MSR RAW'!B365),9)="Location:",TRIM(MID('MSR RAW'!B365,10,999)),D364)</f>
        <v>FB 155 - SUB ISLAND NOODLES</v>
      </c>
      <c r="E365" t="str">
        <f>IF(AND(ISNUMBER(SEARCH(" - ",TRIM('MSR RAW'!C365))),RIGHT(TRIM('MSR RAW'!C365),6)="Total:"),LEFT(TRIM('MSR RAW'!C365),SEARCH(" - ",TRIM('MSR RAW'!C365))-1),"")</f>
        <v/>
      </c>
      <c r="F365" t="str">
        <f>IF(E365="","",TRIM(MID(TRIM('MSR RAW'!C365),SEARCH(" - ",TRIM('MSR RAW'!C365))+3,LEN(TRIM('MSR RAW'!C365))-SEARCH(" - ",TRIM('MSR RAW'!C365))-9)))</f>
        <v/>
      </c>
      <c r="G365" t="str">
        <f>IF(E365="","",IFERROR(VLOOKUP(E365,'CATEGORY MAP'!$A$2:$B$20,2,FALSE()),"REVIEW"))</f>
        <v/>
      </c>
      <c r="H365" t="str">
        <f>IF(E365="","",IFERROR(VALUE(SUBSTITUTE('MSR RAW'!P365,",","")),0))</f>
        <v/>
      </c>
      <c r="I365" t="str">
        <f>IF(E365="","",IFERROR(VALUE(SUBSTITUTE('MSR RAW'!S365,",","")),0))</f>
        <v/>
      </c>
    </row>
    <row r="366" spans="1:9" ht="68.650000000000006" customHeight="1" x14ac:dyDescent="0.2">
      <c r="A366">
        <v>366</v>
      </c>
      <c r="B36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66" t="str">
        <f>IF(LEFT(TRIM('MSR RAW'!A366),11)="Department:",TRIM('MSR RAW'!A366),C365)</f>
        <v>Department: 36637 - SPECIALTY CONCESSIONS (VENDING)</v>
      </c>
      <c r="D366" t="str">
        <f>IF(LEFT(TRIM('MSR RAW'!B366),9)="Location:",TRIM(MID('MSR RAW'!B366,10,999)),D365)</f>
        <v>FB 155 - SUB ISLAND NOODLES</v>
      </c>
      <c r="E366" t="str">
        <f>IF(AND(ISNUMBER(SEARCH(" - ",TRIM('MSR RAW'!C366))),RIGHT(TRIM('MSR RAW'!C366),6)="Total:"),LEFT(TRIM('MSR RAW'!C366),SEARCH(" - ",TRIM('MSR RAW'!C366))-1),"")</f>
        <v/>
      </c>
      <c r="F366" t="str">
        <f>IF(E366="","",TRIM(MID(TRIM('MSR RAW'!C366),SEARCH(" - ",TRIM('MSR RAW'!C366))+3,LEN(TRIM('MSR RAW'!C366))-SEARCH(" - ",TRIM('MSR RAW'!C366))-9)))</f>
        <v/>
      </c>
      <c r="G366" t="str">
        <f>IF(E366="","",IFERROR(VLOOKUP(E366,'CATEGORY MAP'!$A$2:$B$20,2,FALSE()),"REVIEW"))</f>
        <v/>
      </c>
      <c r="H366" t="str">
        <f>IF(E366="","",IFERROR(VALUE(SUBSTITUTE('MSR RAW'!P366,",","")),0))</f>
        <v/>
      </c>
      <c r="I366" t="str">
        <f>IF(E366="","",IFERROR(VALUE(SUBSTITUTE('MSR RAW'!S366,",","")),0))</f>
        <v/>
      </c>
    </row>
    <row r="367" spans="1:9" ht="68.650000000000006" customHeight="1" x14ac:dyDescent="0.2">
      <c r="A367">
        <v>367</v>
      </c>
      <c r="B36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67" t="str">
        <f>IF(LEFT(TRIM('MSR RAW'!A367),11)="Department:",TRIM('MSR RAW'!A367),C366)</f>
        <v>Department: 36637 - SPECIALTY CONCESSIONS (VENDING)</v>
      </c>
      <c r="D367" t="str">
        <f>IF(LEFT(TRIM('MSR RAW'!B367),9)="Location:",TRIM(MID('MSR RAW'!B367,10,999)),D366)</f>
        <v>FB 155 - SUB ISLAND NOODLES</v>
      </c>
      <c r="E367" t="str">
        <f>IF(AND(ISNUMBER(SEARCH(" - ",TRIM('MSR RAW'!C367))),RIGHT(TRIM('MSR RAW'!C367),6)="Total:"),LEFT(TRIM('MSR RAW'!C367),SEARCH(" - ",TRIM('MSR RAW'!C367))-1),"")</f>
        <v/>
      </c>
      <c r="F367" t="str">
        <f>IF(E367="","",TRIM(MID(TRIM('MSR RAW'!C367),SEARCH(" - ",TRIM('MSR RAW'!C367))+3,LEN(TRIM('MSR RAW'!C367))-SEARCH(" - ",TRIM('MSR RAW'!C367))-9)))</f>
        <v/>
      </c>
      <c r="G367" t="str">
        <f>IF(E367="","",IFERROR(VLOOKUP(E367,'CATEGORY MAP'!$A$2:$B$20,2,FALSE()),"REVIEW"))</f>
        <v/>
      </c>
      <c r="H367" t="str">
        <f>IF(E367="","",IFERROR(VALUE(SUBSTITUTE('MSR RAW'!P367,",","")),0))</f>
        <v/>
      </c>
      <c r="I367" t="str">
        <f>IF(E367="","",IFERROR(VALUE(SUBSTITUTE('MSR RAW'!S367,",","")),0))</f>
        <v/>
      </c>
    </row>
    <row r="368" spans="1:9" ht="68.650000000000006" customHeight="1" x14ac:dyDescent="0.2">
      <c r="A368">
        <v>368</v>
      </c>
      <c r="B36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68" t="str">
        <f>IF(LEFT(TRIM('MSR RAW'!A368),11)="Department:",TRIM('MSR RAW'!A368),C367)</f>
        <v>Department: 36637 - SPECIALTY CONCESSIONS (VENDING)</v>
      </c>
      <c r="D368" t="str">
        <f>IF(LEFT(TRIM('MSR RAW'!B368),9)="Location:",TRIM(MID('MSR RAW'!B368,10,999)),D367)</f>
        <v>FB 155 - SUB ISLAND NOODLES</v>
      </c>
      <c r="E368" t="str">
        <f>IF(AND(ISNUMBER(SEARCH(" - ",TRIM('MSR RAW'!C368))),RIGHT(TRIM('MSR RAW'!C368),6)="Total:"),LEFT(TRIM('MSR RAW'!C368),SEARCH(" - ",TRIM('MSR RAW'!C368))-1),"")</f>
        <v/>
      </c>
      <c r="F368" t="str">
        <f>IF(E368="","",TRIM(MID(TRIM('MSR RAW'!C368),SEARCH(" - ",TRIM('MSR RAW'!C368))+3,LEN(TRIM('MSR RAW'!C368))-SEARCH(" - ",TRIM('MSR RAW'!C368))-9)))</f>
        <v/>
      </c>
      <c r="G368" t="str">
        <f>IF(E368="","",IFERROR(VLOOKUP(E368,'CATEGORY MAP'!$A$2:$B$20,2,FALSE()),"REVIEW"))</f>
        <v/>
      </c>
      <c r="H368" t="str">
        <f>IF(E368="","",IFERROR(VALUE(SUBSTITUTE('MSR RAW'!P368,",","")),0))</f>
        <v/>
      </c>
      <c r="I368" t="str">
        <f>IF(E368="","",IFERROR(VALUE(SUBSTITUTE('MSR RAW'!S368,",","")),0))</f>
        <v/>
      </c>
    </row>
    <row r="369" spans="1:9" ht="68.650000000000006" customHeight="1" x14ac:dyDescent="0.2">
      <c r="A369">
        <v>369</v>
      </c>
      <c r="B36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69" t="str">
        <f>IF(LEFT(TRIM('MSR RAW'!A369),11)="Department:",TRIM('MSR RAW'!A369),C368)</f>
        <v>Department: 36637 - SPECIALTY CONCESSIONS (VENDING)</v>
      </c>
      <c r="D369" t="str">
        <f>IF(LEFT(TRIM('MSR RAW'!B369),9)="Location:",TRIM(MID('MSR RAW'!B369,10,999)),D368)</f>
        <v>FB 155 - SUB ISLAND NOODLES</v>
      </c>
      <c r="E369" t="str">
        <f>IF(AND(ISNUMBER(SEARCH(" - ",TRIM('MSR RAW'!C369))),RIGHT(TRIM('MSR RAW'!C369),6)="Total:"),LEFT(TRIM('MSR RAW'!C369),SEARCH(" - ",TRIM('MSR RAW'!C369))-1),"")</f>
        <v/>
      </c>
      <c r="F369" t="str">
        <f>IF(E369="","",TRIM(MID(TRIM('MSR RAW'!C369),SEARCH(" - ",TRIM('MSR RAW'!C369))+3,LEN(TRIM('MSR RAW'!C369))-SEARCH(" - ",TRIM('MSR RAW'!C369))-9)))</f>
        <v/>
      </c>
      <c r="G369" t="str">
        <f>IF(E369="","",IFERROR(VLOOKUP(E369,'CATEGORY MAP'!$A$2:$B$20,2,FALSE()),"REVIEW"))</f>
        <v/>
      </c>
      <c r="H369" t="str">
        <f>IF(E369="","",IFERROR(VALUE(SUBSTITUTE('MSR RAW'!P369,",","")),0))</f>
        <v/>
      </c>
      <c r="I369" t="str">
        <f>IF(E369="","",IFERROR(VALUE(SUBSTITUTE('MSR RAW'!S369,",","")),0))</f>
        <v/>
      </c>
    </row>
    <row r="370" spans="1:9" ht="68.650000000000006" customHeight="1" x14ac:dyDescent="0.2">
      <c r="A370">
        <v>370</v>
      </c>
      <c r="B37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70" t="str">
        <f>IF(LEFT(TRIM('MSR RAW'!A370),11)="Department:",TRIM('MSR RAW'!A370),C369)</f>
        <v>Department: 36637 - SPECIALTY CONCESSIONS (VENDING)</v>
      </c>
      <c r="D370" t="str">
        <f>IF(LEFT(TRIM('MSR RAW'!B370),9)="Location:",TRIM(MID('MSR RAW'!B370,10,999)),D369)</f>
        <v>FB 155 - SUB ISLAND NOODLES</v>
      </c>
      <c r="E370" t="str">
        <f>IF(AND(ISNUMBER(SEARCH(" - ",TRIM('MSR RAW'!C370))),RIGHT(TRIM('MSR RAW'!C370),6)="Total:"),LEFT(TRIM('MSR RAW'!C370),SEARCH(" - ",TRIM('MSR RAW'!C370))-1),"")</f>
        <v/>
      </c>
      <c r="F370" t="str">
        <f>IF(E370="","",TRIM(MID(TRIM('MSR RAW'!C370),SEARCH(" - ",TRIM('MSR RAW'!C370))+3,LEN(TRIM('MSR RAW'!C370))-SEARCH(" - ",TRIM('MSR RAW'!C370))-9)))</f>
        <v/>
      </c>
      <c r="G370" t="str">
        <f>IF(E370="","",IFERROR(VLOOKUP(E370,'CATEGORY MAP'!$A$2:$B$20,2,FALSE()),"REVIEW"))</f>
        <v/>
      </c>
      <c r="H370" t="str">
        <f>IF(E370="","",IFERROR(VALUE(SUBSTITUTE('MSR RAW'!P370,",","")),0))</f>
        <v/>
      </c>
      <c r="I370" t="str">
        <f>IF(E370="","",IFERROR(VALUE(SUBSTITUTE('MSR RAW'!S370,",","")),0))</f>
        <v/>
      </c>
    </row>
    <row r="371" spans="1:9" ht="68.650000000000006" customHeight="1" x14ac:dyDescent="0.2">
      <c r="A371">
        <v>371</v>
      </c>
      <c r="B37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71" t="str">
        <f>IF(LEFT(TRIM('MSR RAW'!A371),11)="Department:",TRIM('MSR RAW'!A371),C370)</f>
        <v>Department: 36637 - SPECIALTY CONCESSIONS (VENDING)</v>
      </c>
      <c r="D371" t="str">
        <f>IF(LEFT(TRIM('MSR RAW'!B371),9)="Location:",TRIM(MID('MSR RAW'!B371,10,999)),D370)</f>
        <v>FB 155 - SUB ISLAND NOODLES</v>
      </c>
      <c r="E371" t="str">
        <f>IF(AND(ISNUMBER(SEARCH(" - ",TRIM('MSR RAW'!C371))),RIGHT(TRIM('MSR RAW'!C371),6)="Total:"),LEFT(TRIM('MSR RAW'!C371),SEARCH(" - ",TRIM('MSR RAW'!C371))-1),"")</f>
        <v/>
      </c>
      <c r="F371" t="str">
        <f>IF(E371="","",TRIM(MID(TRIM('MSR RAW'!C371),SEARCH(" - ",TRIM('MSR RAW'!C371))+3,LEN(TRIM('MSR RAW'!C371))-SEARCH(" - ",TRIM('MSR RAW'!C371))-9)))</f>
        <v/>
      </c>
      <c r="G371" t="str">
        <f>IF(E371="","",IFERROR(VLOOKUP(E371,'CATEGORY MAP'!$A$2:$B$20,2,FALSE()),"REVIEW"))</f>
        <v/>
      </c>
      <c r="H371" t="str">
        <f>IF(E371="","",IFERROR(VALUE(SUBSTITUTE('MSR RAW'!P371,",","")),0))</f>
        <v/>
      </c>
      <c r="I371" t="str">
        <f>IF(E371="","",IFERROR(VALUE(SUBSTITUTE('MSR RAW'!S371,",","")),0))</f>
        <v/>
      </c>
    </row>
    <row r="372" spans="1:9" ht="68.650000000000006" customHeight="1" x14ac:dyDescent="0.2">
      <c r="A372">
        <v>372</v>
      </c>
      <c r="B37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72" t="str">
        <f>IF(LEFT(TRIM('MSR RAW'!A372),11)="Department:",TRIM('MSR RAW'!A372),C371)</f>
        <v>Department: 36637 - SPECIALTY CONCESSIONS (VENDING)</v>
      </c>
      <c r="D372" t="str">
        <f>IF(LEFT(TRIM('MSR RAW'!B372),9)="Location:",TRIM(MID('MSR RAW'!B372,10,999)),D371)</f>
        <v>FB 155 - SUB ISLAND NOODLES</v>
      </c>
      <c r="E372" t="str">
        <f>IF(AND(ISNUMBER(SEARCH(" - ",TRIM('MSR RAW'!C372))),RIGHT(TRIM('MSR RAW'!C372),6)="Total:"),LEFT(TRIM('MSR RAW'!C372),SEARCH(" - ",TRIM('MSR RAW'!C372))-1),"")</f>
        <v/>
      </c>
      <c r="F372" t="str">
        <f>IF(E372="","",TRIM(MID(TRIM('MSR RAW'!C372),SEARCH(" - ",TRIM('MSR RAW'!C372))+3,LEN(TRIM('MSR RAW'!C372))-SEARCH(" - ",TRIM('MSR RAW'!C372))-9)))</f>
        <v/>
      </c>
      <c r="G372" t="str">
        <f>IF(E372="","",IFERROR(VLOOKUP(E372,'CATEGORY MAP'!$A$2:$B$20,2,FALSE()),"REVIEW"))</f>
        <v/>
      </c>
      <c r="H372" t="str">
        <f>IF(E372="","",IFERROR(VALUE(SUBSTITUTE('MSR RAW'!P372,",","")),0))</f>
        <v/>
      </c>
      <c r="I372" t="str">
        <f>IF(E372="","",IFERROR(VALUE(SUBSTITUTE('MSR RAW'!S372,",","")),0))</f>
        <v/>
      </c>
    </row>
    <row r="373" spans="1:9" ht="68.650000000000006" customHeight="1" x14ac:dyDescent="0.2">
      <c r="A373">
        <v>373</v>
      </c>
      <c r="B37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73" t="str">
        <f>IF(LEFT(TRIM('MSR RAW'!A373),11)="Department:",TRIM('MSR RAW'!A373),C372)</f>
        <v>Department: 36637 - SPECIALTY CONCESSIONS (VENDING)</v>
      </c>
      <c r="D373" t="str">
        <f>IF(LEFT(TRIM('MSR RAW'!B373),9)="Location:",TRIM(MID('MSR RAW'!B373,10,999)),D372)</f>
        <v>FB 155 - SUB ISLAND NOODLES</v>
      </c>
      <c r="E373" t="str">
        <f>IF(AND(ISNUMBER(SEARCH(" - ",TRIM('MSR RAW'!C373))),RIGHT(TRIM('MSR RAW'!C373),6)="Total:"),LEFT(TRIM('MSR RAW'!C373),SEARCH(" - ",TRIM('MSR RAW'!C373))-1),"")</f>
        <v/>
      </c>
      <c r="F373" t="str">
        <f>IF(E373="","",TRIM(MID(TRIM('MSR RAW'!C373),SEARCH(" - ",TRIM('MSR RAW'!C373))+3,LEN(TRIM('MSR RAW'!C373))-SEARCH(" - ",TRIM('MSR RAW'!C373))-9)))</f>
        <v/>
      </c>
      <c r="G373" t="str">
        <f>IF(E373="","",IFERROR(VLOOKUP(E373,'CATEGORY MAP'!$A$2:$B$20,2,FALSE()),"REVIEW"))</f>
        <v/>
      </c>
      <c r="H373" t="str">
        <f>IF(E373="","",IFERROR(VALUE(SUBSTITUTE('MSR RAW'!P373,",","")),0))</f>
        <v/>
      </c>
      <c r="I373" t="str">
        <f>IF(E373="","",IFERROR(VALUE(SUBSTITUTE('MSR RAW'!S373,",","")),0))</f>
        <v/>
      </c>
    </row>
    <row r="374" spans="1:9" ht="68.650000000000006" customHeight="1" x14ac:dyDescent="0.2">
      <c r="A374">
        <v>374</v>
      </c>
      <c r="B37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74" t="str">
        <f>IF(LEFT(TRIM('MSR RAW'!A374),11)="Department:",TRIM('MSR RAW'!A374),C373)</f>
        <v>Department: 36637 - SPECIALTY CONCESSIONS (VENDING)</v>
      </c>
      <c r="D374" t="str">
        <f>IF(LEFT(TRIM('MSR RAW'!B374),9)="Location:",TRIM(MID('MSR RAW'!B374,10,999)),D373)</f>
        <v>FB 155 - SUB ISLAND NOODLES</v>
      </c>
      <c r="E374" t="str">
        <f>IF(AND(ISNUMBER(SEARCH(" - ",TRIM('MSR RAW'!C374))),RIGHT(TRIM('MSR RAW'!C374),6)="Total:"),LEFT(TRIM('MSR RAW'!C374),SEARCH(" - ",TRIM('MSR RAW'!C374))-1),"")</f>
        <v/>
      </c>
      <c r="F374" t="str">
        <f>IF(E374="","",TRIM(MID(TRIM('MSR RAW'!C374),SEARCH(" - ",TRIM('MSR RAW'!C374))+3,LEN(TRIM('MSR RAW'!C374))-SEARCH(" - ",TRIM('MSR RAW'!C374))-9)))</f>
        <v/>
      </c>
      <c r="G374" t="str">
        <f>IF(E374="","",IFERROR(VLOOKUP(E374,'CATEGORY MAP'!$A$2:$B$20,2,FALSE()),"REVIEW"))</f>
        <v/>
      </c>
      <c r="H374" t="str">
        <f>IF(E374="","",IFERROR(VALUE(SUBSTITUTE('MSR RAW'!P374,",","")),0))</f>
        <v/>
      </c>
      <c r="I374" t="str">
        <f>IF(E374="","",IFERROR(VALUE(SUBSTITUTE('MSR RAW'!S374,",","")),0))</f>
        <v/>
      </c>
    </row>
    <row r="375" spans="1:9" ht="68.650000000000006" customHeight="1" x14ac:dyDescent="0.2">
      <c r="A375">
        <v>375</v>
      </c>
      <c r="B37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75" t="str">
        <f>IF(LEFT(TRIM('MSR RAW'!A375),11)="Department:",TRIM('MSR RAW'!A375),C374)</f>
        <v>Department: 36637 - SPECIALTY CONCESSIONS (VENDING)</v>
      </c>
      <c r="D375" t="str">
        <f>IF(LEFT(TRIM('MSR RAW'!B375),9)="Location:",TRIM(MID('MSR RAW'!B375,10,999)),D374)</f>
        <v>FB 155 - SUB ISLAND NOODLES</v>
      </c>
      <c r="E375" t="str">
        <f>IF(AND(ISNUMBER(SEARCH(" - ",TRIM('MSR RAW'!C375))),RIGHT(TRIM('MSR RAW'!C375),6)="Total:"),LEFT(TRIM('MSR RAW'!C375),SEARCH(" - ",TRIM('MSR RAW'!C375))-1),"")</f>
        <v/>
      </c>
      <c r="F375" t="str">
        <f>IF(E375="","",TRIM(MID(TRIM('MSR RAW'!C375),SEARCH(" - ",TRIM('MSR RAW'!C375))+3,LEN(TRIM('MSR RAW'!C375))-SEARCH(" - ",TRIM('MSR RAW'!C375))-9)))</f>
        <v/>
      </c>
      <c r="G375" t="str">
        <f>IF(E375="","",IFERROR(VLOOKUP(E375,'CATEGORY MAP'!$A$2:$B$20,2,FALSE()),"REVIEW"))</f>
        <v/>
      </c>
      <c r="H375" t="str">
        <f>IF(E375="","",IFERROR(VALUE(SUBSTITUTE('MSR RAW'!P375,",","")),0))</f>
        <v/>
      </c>
      <c r="I375" t="str">
        <f>IF(E375="","",IFERROR(VALUE(SUBSTITUTE('MSR RAW'!S375,",","")),0))</f>
        <v/>
      </c>
    </row>
    <row r="376" spans="1:9" ht="68.650000000000006" customHeight="1" x14ac:dyDescent="0.2">
      <c r="A376">
        <v>376</v>
      </c>
      <c r="B37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76" t="str">
        <f>IF(LEFT(TRIM('MSR RAW'!A376),11)="Department:",TRIM('MSR RAW'!A376),C375)</f>
        <v>Department: 36637 - SPECIALTY CONCESSIONS (VENDING)</v>
      </c>
      <c r="D376" t="str">
        <f>IF(LEFT(TRIM('MSR RAW'!B376),9)="Location:",TRIM(MID('MSR RAW'!B376,10,999)),D375)</f>
        <v>FB 155 - SUB ISLAND NOODLES</v>
      </c>
      <c r="E376" t="str">
        <f>IF(AND(ISNUMBER(SEARCH(" - ",TRIM('MSR RAW'!C376))),RIGHT(TRIM('MSR RAW'!C376),6)="Total:"),LEFT(TRIM('MSR RAW'!C376),SEARCH(" - ",TRIM('MSR RAW'!C376))-1),"")</f>
        <v/>
      </c>
      <c r="F376" t="str">
        <f>IF(E376="","",TRIM(MID(TRIM('MSR RAW'!C376),SEARCH(" - ",TRIM('MSR RAW'!C376))+3,LEN(TRIM('MSR RAW'!C376))-SEARCH(" - ",TRIM('MSR RAW'!C376))-9)))</f>
        <v/>
      </c>
      <c r="G376" t="str">
        <f>IF(E376="","",IFERROR(VLOOKUP(E376,'CATEGORY MAP'!$A$2:$B$20,2,FALSE()),"REVIEW"))</f>
        <v/>
      </c>
      <c r="H376" t="str">
        <f>IF(E376="","",IFERROR(VALUE(SUBSTITUTE('MSR RAW'!P376,",","")),0))</f>
        <v/>
      </c>
      <c r="I376" t="str">
        <f>IF(E376="","",IFERROR(VALUE(SUBSTITUTE('MSR RAW'!S376,",","")),0))</f>
        <v/>
      </c>
    </row>
    <row r="377" spans="1:9" ht="68.650000000000006" customHeight="1" x14ac:dyDescent="0.2">
      <c r="A377">
        <v>377</v>
      </c>
      <c r="B37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77" t="str">
        <f>IF(LEFT(TRIM('MSR RAW'!A377),11)="Department:",TRIM('MSR RAW'!A377),C376)</f>
        <v>Department: 36637 - SPECIALTY CONCESSIONS (VENDING)</v>
      </c>
      <c r="D377" t="str">
        <f>IF(LEFT(TRIM('MSR RAW'!B377),9)="Location:",TRIM(MID('MSR RAW'!B377,10,999)),D376)</f>
        <v>FB 155 - SUB ISLAND NOODLES</v>
      </c>
      <c r="E377" t="str">
        <f>IF(AND(ISNUMBER(SEARCH(" - ",TRIM('MSR RAW'!C377))),RIGHT(TRIM('MSR RAW'!C377),6)="Total:"),LEFT(TRIM('MSR RAW'!C377),SEARCH(" - ",TRIM('MSR RAW'!C377))-1),"")</f>
        <v/>
      </c>
      <c r="F377" t="str">
        <f>IF(E377="","",TRIM(MID(TRIM('MSR RAW'!C377),SEARCH(" - ",TRIM('MSR RAW'!C377))+3,LEN(TRIM('MSR RAW'!C377))-SEARCH(" - ",TRIM('MSR RAW'!C377))-9)))</f>
        <v/>
      </c>
      <c r="G377" t="str">
        <f>IF(E377="","",IFERROR(VLOOKUP(E377,'CATEGORY MAP'!$A$2:$B$20,2,FALSE()),"REVIEW"))</f>
        <v/>
      </c>
      <c r="H377" t="str">
        <f>IF(E377="","",IFERROR(VALUE(SUBSTITUTE('MSR RAW'!P377,",","")),0))</f>
        <v/>
      </c>
      <c r="I377" t="str">
        <f>IF(E377="","",IFERROR(VALUE(SUBSTITUTE('MSR RAW'!S377,",","")),0))</f>
        <v/>
      </c>
    </row>
    <row r="378" spans="1:9" ht="68.650000000000006" customHeight="1" x14ac:dyDescent="0.2">
      <c r="A378">
        <v>378</v>
      </c>
      <c r="B37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78" t="str">
        <f>IF(LEFT(TRIM('MSR RAW'!A378),11)="Department:",TRIM('MSR RAW'!A378),C377)</f>
        <v>Department: 36637 - SPECIALTY CONCESSIONS (VENDING)</v>
      </c>
      <c r="D378" t="str">
        <f>IF(LEFT(TRIM('MSR RAW'!B378),9)="Location:",TRIM(MID('MSR RAW'!B378,10,999)),D377)</f>
        <v>FB 155 - SUB ISLAND NOODLES</v>
      </c>
      <c r="E378" t="str">
        <f>IF(AND(ISNUMBER(SEARCH(" - ",TRIM('MSR RAW'!C378))),RIGHT(TRIM('MSR RAW'!C378),6)="Total:"),LEFT(TRIM('MSR RAW'!C378),SEARCH(" - ",TRIM('MSR RAW'!C378))-1),"")</f>
        <v/>
      </c>
      <c r="F378" t="str">
        <f>IF(E378="","",TRIM(MID(TRIM('MSR RAW'!C378),SEARCH(" - ",TRIM('MSR RAW'!C378))+3,LEN(TRIM('MSR RAW'!C378))-SEARCH(" - ",TRIM('MSR RAW'!C378))-9)))</f>
        <v/>
      </c>
      <c r="G378" t="str">
        <f>IF(E378="","",IFERROR(VLOOKUP(E378,'CATEGORY MAP'!$A$2:$B$20,2,FALSE()),"REVIEW"))</f>
        <v/>
      </c>
      <c r="H378" t="str">
        <f>IF(E378="","",IFERROR(VALUE(SUBSTITUTE('MSR RAW'!P378,",","")),0))</f>
        <v/>
      </c>
      <c r="I378" t="str">
        <f>IF(E378="","",IFERROR(VALUE(SUBSTITUTE('MSR RAW'!S378,",","")),0))</f>
        <v/>
      </c>
    </row>
    <row r="379" spans="1:9" ht="68.650000000000006" customHeight="1" x14ac:dyDescent="0.2">
      <c r="A379">
        <v>379</v>
      </c>
      <c r="B37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79" t="str">
        <f>IF(LEFT(TRIM('MSR RAW'!A379),11)="Department:",TRIM('MSR RAW'!A379),C378)</f>
        <v>Department: 36637 - SPECIALTY CONCESSIONS (VENDING)</v>
      </c>
      <c r="D379" t="str">
        <f>IF(LEFT(TRIM('MSR RAW'!B379),9)="Location:",TRIM(MID('MSR RAW'!B379,10,999)),D378)</f>
        <v>FB 155 - SUB ISLAND NOODLES</v>
      </c>
      <c r="E379" t="str">
        <f>IF(AND(ISNUMBER(SEARCH(" - ",TRIM('MSR RAW'!C379))),RIGHT(TRIM('MSR RAW'!C379),6)="Total:"),LEFT(TRIM('MSR RAW'!C379),SEARCH(" - ",TRIM('MSR RAW'!C379))-1),"")</f>
        <v/>
      </c>
      <c r="F379" t="str">
        <f>IF(E379="","",TRIM(MID(TRIM('MSR RAW'!C379),SEARCH(" - ",TRIM('MSR RAW'!C379))+3,LEN(TRIM('MSR RAW'!C379))-SEARCH(" - ",TRIM('MSR RAW'!C379))-9)))</f>
        <v/>
      </c>
      <c r="G379" t="str">
        <f>IF(E379="","",IFERROR(VLOOKUP(E379,'CATEGORY MAP'!$A$2:$B$20,2,FALSE()),"REVIEW"))</f>
        <v/>
      </c>
      <c r="H379" t="str">
        <f>IF(E379="","",IFERROR(VALUE(SUBSTITUTE('MSR RAW'!P379,",","")),0))</f>
        <v/>
      </c>
      <c r="I379" t="str">
        <f>IF(E379="","",IFERROR(VALUE(SUBSTITUTE('MSR RAW'!S379,",","")),0))</f>
        <v/>
      </c>
    </row>
    <row r="380" spans="1:9" ht="68.650000000000006" customHeight="1" x14ac:dyDescent="0.2">
      <c r="A380">
        <v>380</v>
      </c>
      <c r="B38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80" t="str">
        <f>IF(LEFT(TRIM('MSR RAW'!A380),11)="Department:",TRIM('MSR RAW'!A380),C379)</f>
        <v>Department: 36637 - SPECIALTY CONCESSIONS (VENDING)</v>
      </c>
      <c r="D380" t="str">
        <f>IF(LEFT(TRIM('MSR RAW'!B380),9)="Location:",TRIM(MID('MSR RAW'!B380,10,999)),D379)</f>
        <v>FB 155 - SUB ISLAND NOODLES</v>
      </c>
      <c r="E380" t="str">
        <f>IF(AND(ISNUMBER(SEARCH(" - ",TRIM('MSR RAW'!C380))),RIGHT(TRIM('MSR RAW'!C380),6)="Total:"),LEFT(TRIM('MSR RAW'!C380),SEARCH(" - ",TRIM('MSR RAW'!C380))-1),"")</f>
        <v/>
      </c>
      <c r="F380" t="str">
        <f>IF(E380="","",TRIM(MID(TRIM('MSR RAW'!C380),SEARCH(" - ",TRIM('MSR RAW'!C380))+3,LEN(TRIM('MSR RAW'!C380))-SEARCH(" - ",TRIM('MSR RAW'!C380))-9)))</f>
        <v/>
      </c>
      <c r="G380" t="str">
        <f>IF(E380="","",IFERROR(VLOOKUP(E380,'CATEGORY MAP'!$A$2:$B$20,2,FALSE()),"REVIEW"))</f>
        <v/>
      </c>
      <c r="H380" t="str">
        <f>IF(E380="","",IFERROR(VALUE(SUBSTITUTE('MSR RAW'!P380,",","")),0))</f>
        <v/>
      </c>
      <c r="I380" t="str">
        <f>IF(E380="","",IFERROR(VALUE(SUBSTITUTE('MSR RAW'!S380,",","")),0))</f>
        <v/>
      </c>
    </row>
    <row r="381" spans="1:9" ht="68.650000000000006" customHeight="1" x14ac:dyDescent="0.2">
      <c r="A381">
        <v>381</v>
      </c>
      <c r="B38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81" t="str">
        <f>IF(LEFT(TRIM('MSR RAW'!A381),11)="Department:",TRIM('MSR RAW'!A381),C380)</f>
        <v>Department: 36637 - SPECIALTY CONCESSIONS (VENDING)</v>
      </c>
      <c r="D381" t="str">
        <f>IF(LEFT(TRIM('MSR RAW'!B381),9)="Location:",TRIM(MID('MSR RAW'!B381,10,999)),D380)</f>
        <v>FB 155 - SUB ISLAND NOODLES</v>
      </c>
      <c r="E381" t="str">
        <f>IF(AND(ISNUMBER(SEARCH(" - ",TRIM('MSR RAW'!C381))),RIGHT(TRIM('MSR RAW'!C381),6)="Total:"),LEFT(TRIM('MSR RAW'!C381),SEARCH(" - ",TRIM('MSR RAW'!C381))-1),"")</f>
        <v/>
      </c>
      <c r="F381" t="str">
        <f>IF(E381="","",TRIM(MID(TRIM('MSR RAW'!C381),SEARCH(" - ",TRIM('MSR RAW'!C381))+3,LEN(TRIM('MSR RAW'!C381))-SEARCH(" - ",TRIM('MSR RAW'!C381))-9)))</f>
        <v/>
      </c>
      <c r="G381" t="str">
        <f>IF(E381="","",IFERROR(VLOOKUP(E381,'CATEGORY MAP'!$A$2:$B$20,2,FALSE()),"REVIEW"))</f>
        <v/>
      </c>
      <c r="H381" t="str">
        <f>IF(E381="","",IFERROR(VALUE(SUBSTITUTE('MSR RAW'!P381,",","")),0))</f>
        <v/>
      </c>
      <c r="I381" t="str">
        <f>IF(E381="","",IFERROR(VALUE(SUBSTITUTE('MSR RAW'!S381,",","")),0))</f>
        <v/>
      </c>
    </row>
    <row r="382" spans="1:9" ht="68.650000000000006" customHeight="1" x14ac:dyDescent="0.2">
      <c r="A382">
        <v>382</v>
      </c>
      <c r="B38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82" t="str">
        <f>IF(LEFT(TRIM('MSR RAW'!A382),11)="Department:",TRIM('MSR RAW'!A382),C381)</f>
        <v>Department: 36637 - SPECIALTY CONCESSIONS (VENDING)</v>
      </c>
      <c r="D382" t="str">
        <f>IF(LEFT(TRIM('MSR RAW'!B382),9)="Location:",TRIM(MID('MSR RAW'!B382,10,999)),D381)</f>
        <v>FB 155 - SUB ISLAND NOODLES</v>
      </c>
      <c r="E382" t="str">
        <f>IF(AND(ISNUMBER(SEARCH(" - ",TRIM('MSR RAW'!C382))),RIGHT(TRIM('MSR RAW'!C382),6)="Total:"),LEFT(TRIM('MSR RAW'!C382),SEARCH(" - ",TRIM('MSR RAW'!C382))-1),"")</f>
        <v/>
      </c>
      <c r="F382" t="str">
        <f>IF(E382="","",TRIM(MID(TRIM('MSR RAW'!C382),SEARCH(" - ",TRIM('MSR RAW'!C382))+3,LEN(TRIM('MSR RAW'!C382))-SEARCH(" - ",TRIM('MSR RAW'!C382))-9)))</f>
        <v/>
      </c>
      <c r="G382" t="str">
        <f>IF(E382="","",IFERROR(VLOOKUP(E382,'CATEGORY MAP'!$A$2:$B$20,2,FALSE()),"REVIEW"))</f>
        <v/>
      </c>
      <c r="H382" t="str">
        <f>IF(E382="","",IFERROR(VALUE(SUBSTITUTE('MSR RAW'!P382,",","")),0))</f>
        <v/>
      </c>
      <c r="I382" t="str">
        <f>IF(E382="","",IFERROR(VALUE(SUBSTITUTE('MSR RAW'!S382,",","")),0))</f>
        <v/>
      </c>
    </row>
    <row r="383" spans="1:9" ht="68.650000000000006" customHeight="1" x14ac:dyDescent="0.2">
      <c r="A383">
        <v>383</v>
      </c>
      <c r="B38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83" t="str">
        <f>IF(LEFT(TRIM('MSR RAW'!A383),11)="Department:",TRIM('MSR RAW'!A383),C382)</f>
        <v>Department: 36637 - SPECIALTY CONCESSIONS (VENDING)</v>
      </c>
      <c r="D383" t="str">
        <f>IF(LEFT(TRIM('MSR RAW'!B383),9)="Location:",TRIM(MID('MSR RAW'!B383,10,999)),D382)</f>
        <v>FB 155 - SUB ISLAND NOODLES</v>
      </c>
      <c r="E383" t="str">
        <f>IF(AND(ISNUMBER(SEARCH(" - ",TRIM('MSR RAW'!C383))),RIGHT(TRIM('MSR RAW'!C383),6)="Total:"),LEFT(TRIM('MSR RAW'!C383),SEARCH(" - ",TRIM('MSR RAW'!C383))-1),"")</f>
        <v/>
      </c>
      <c r="F383" t="str">
        <f>IF(E383="","",TRIM(MID(TRIM('MSR RAW'!C383),SEARCH(" - ",TRIM('MSR RAW'!C383))+3,LEN(TRIM('MSR RAW'!C383))-SEARCH(" - ",TRIM('MSR RAW'!C383))-9)))</f>
        <v/>
      </c>
      <c r="G383" t="str">
        <f>IF(E383="","",IFERROR(VLOOKUP(E383,'CATEGORY MAP'!$A$2:$B$20,2,FALSE()),"REVIEW"))</f>
        <v/>
      </c>
      <c r="H383" t="str">
        <f>IF(E383="","",IFERROR(VALUE(SUBSTITUTE('MSR RAW'!P383,",","")),0))</f>
        <v/>
      </c>
      <c r="I383" t="str">
        <f>IF(E383="","",IFERROR(VALUE(SUBSTITUTE('MSR RAW'!S383,",","")),0))</f>
        <v/>
      </c>
    </row>
    <row r="384" spans="1:9" ht="68.650000000000006" customHeight="1" x14ac:dyDescent="0.2">
      <c r="A384">
        <v>384</v>
      </c>
      <c r="B38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84" t="str">
        <f>IF(LEFT(TRIM('MSR RAW'!A384),11)="Department:",TRIM('MSR RAW'!A384),C383)</f>
        <v>Department: 36637 - SPECIALTY CONCESSIONS (VENDING)</v>
      </c>
      <c r="D384" t="str">
        <f>IF(LEFT(TRIM('MSR RAW'!B384),9)="Location:",TRIM(MID('MSR RAW'!B384,10,999)),D383)</f>
        <v>FB 155 - SUB ISLAND NOODLES</v>
      </c>
      <c r="E384" t="str">
        <f>IF(AND(ISNUMBER(SEARCH(" - ",TRIM('MSR RAW'!C384))),RIGHT(TRIM('MSR RAW'!C384),6)="Total:"),LEFT(TRIM('MSR RAW'!C384),SEARCH(" - ",TRIM('MSR RAW'!C384))-1),"")</f>
        <v/>
      </c>
      <c r="F384" t="str">
        <f>IF(E384="","",TRIM(MID(TRIM('MSR RAW'!C384),SEARCH(" - ",TRIM('MSR RAW'!C384))+3,LEN(TRIM('MSR RAW'!C384))-SEARCH(" - ",TRIM('MSR RAW'!C384))-9)))</f>
        <v/>
      </c>
      <c r="G384" t="str">
        <f>IF(E384="","",IFERROR(VLOOKUP(E384,'CATEGORY MAP'!$A$2:$B$20,2,FALSE()),"REVIEW"))</f>
        <v/>
      </c>
      <c r="H384" t="str">
        <f>IF(E384="","",IFERROR(VALUE(SUBSTITUTE('MSR RAW'!P384,",","")),0))</f>
        <v/>
      </c>
      <c r="I384" t="str">
        <f>IF(E384="","",IFERROR(VALUE(SUBSTITUTE('MSR RAW'!S384,",","")),0))</f>
        <v/>
      </c>
    </row>
    <row r="385" spans="1:9" ht="68.650000000000006" customHeight="1" x14ac:dyDescent="0.2">
      <c r="A385">
        <v>385</v>
      </c>
      <c r="B38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85" t="str">
        <f>IF(LEFT(TRIM('MSR RAW'!A385),11)="Department:",TRIM('MSR RAW'!A385),C384)</f>
        <v>Department: 36637 - SPECIALTY CONCESSIONS (VENDING)</v>
      </c>
      <c r="D385" t="str">
        <f>IF(LEFT(TRIM('MSR RAW'!B385),9)="Location:",TRIM(MID('MSR RAW'!B385,10,999)),D384)</f>
        <v>FB 155 - SUB ISLAND NOODLES</v>
      </c>
      <c r="E385" t="str">
        <f>IF(AND(ISNUMBER(SEARCH(" - ",TRIM('MSR RAW'!C385))),RIGHT(TRIM('MSR RAW'!C385),6)="Total:"),LEFT(TRIM('MSR RAW'!C385),SEARCH(" - ",TRIM('MSR RAW'!C385))-1),"")</f>
        <v/>
      </c>
      <c r="F385" t="str">
        <f>IF(E385="","",TRIM(MID(TRIM('MSR RAW'!C385),SEARCH(" - ",TRIM('MSR RAW'!C385))+3,LEN(TRIM('MSR RAW'!C385))-SEARCH(" - ",TRIM('MSR RAW'!C385))-9)))</f>
        <v/>
      </c>
      <c r="G385" t="str">
        <f>IF(E385="","",IFERROR(VLOOKUP(E385,'CATEGORY MAP'!$A$2:$B$20,2,FALSE()),"REVIEW"))</f>
        <v/>
      </c>
      <c r="H385" t="str">
        <f>IF(E385="","",IFERROR(VALUE(SUBSTITUTE('MSR RAW'!P385,",","")),0))</f>
        <v/>
      </c>
      <c r="I385" t="str">
        <f>IF(E385="","",IFERROR(VALUE(SUBSTITUTE('MSR RAW'!S385,",","")),0))</f>
        <v/>
      </c>
    </row>
    <row r="386" spans="1:9" ht="68.650000000000006" customHeight="1" x14ac:dyDescent="0.2">
      <c r="A386">
        <v>386</v>
      </c>
      <c r="B38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86" t="str">
        <f>IF(LEFT(TRIM('MSR RAW'!A386),11)="Department:",TRIM('MSR RAW'!A386),C385)</f>
        <v>Department: 36637 - SPECIALTY CONCESSIONS (VENDING)</v>
      </c>
      <c r="D386" t="str">
        <f>IF(LEFT(TRIM('MSR RAW'!B386),9)="Location:",TRIM(MID('MSR RAW'!B386,10,999)),D385)</f>
        <v>FB 155 - SUB ISLAND NOODLES</v>
      </c>
      <c r="E386" t="str">
        <f>IF(AND(ISNUMBER(SEARCH(" - ",TRIM('MSR RAW'!C386))),RIGHT(TRIM('MSR RAW'!C386),6)="Total:"),LEFT(TRIM('MSR RAW'!C386),SEARCH(" - ",TRIM('MSR RAW'!C386))-1),"")</f>
        <v/>
      </c>
      <c r="F386" t="str">
        <f>IF(E386="","",TRIM(MID(TRIM('MSR RAW'!C386),SEARCH(" - ",TRIM('MSR RAW'!C386))+3,LEN(TRIM('MSR RAW'!C386))-SEARCH(" - ",TRIM('MSR RAW'!C386))-9)))</f>
        <v/>
      </c>
      <c r="G386" t="str">
        <f>IF(E386="","",IFERROR(VLOOKUP(E386,'CATEGORY MAP'!$A$2:$B$20,2,FALSE()),"REVIEW"))</f>
        <v/>
      </c>
      <c r="H386" t="str">
        <f>IF(E386="","",IFERROR(VALUE(SUBSTITUTE('MSR RAW'!P386,",","")),0))</f>
        <v/>
      </c>
      <c r="I386" t="str">
        <f>IF(E386="","",IFERROR(VALUE(SUBSTITUTE('MSR RAW'!S386,",","")),0))</f>
        <v/>
      </c>
    </row>
    <row r="387" spans="1:9" ht="68.650000000000006" customHeight="1" x14ac:dyDescent="0.2">
      <c r="A387">
        <v>387</v>
      </c>
      <c r="B38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87" t="str">
        <f>IF(LEFT(TRIM('MSR RAW'!A387),11)="Department:",TRIM('MSR RAW'!A387),C386)</f>
        <v>Department: 36637 - SPECIALTY CONCESSIONS (VENDING)</v>
      </c>
      <c r="D387" t="str">
        <f>IF(LEFT(TRIM('MSR RAW'!B387),9)="Location:",TRIM(MID('MSR RAW'!B387,10,999)),D386)</f>
        <v>FB 155 - SUB ISLAND NOODLES</v>
      </c>
      <c r="E387" t="str">
        <f>IF(AND(ISNUMBER(SEARCH(" - ",TRIM('MSR RAW'!C387))),RIGHT(TRIM('MSR RAW'!C387),6)="Total:"),LEFT(TRIM('MSR RAW'!C387),SEARCH(" - ",TRIM('MSR RAW'!C387))-1),"")</f>
        <v/>
      </c>
      <c r="F387" t="str">
        <f>IF(E387="","",TRIM(MID(TRIM('MSR RAW'!C387),SEARCH(" - ",TRIM('MSR RAW'!C387))+3,LEN(TRIM('MSR RAW'!C387))-SEARCH(" - ",TRIM('MSR RAW'!C387))-9)))</f>
        <v/>
      </c>
      <c r="G387" t="str">
        <f>IF(E387="","",IFERROR(VLOOKUP(E387,'CATEGORY MAP'!$A$2:$B$20,2,FALSE()),"REVIEW"))</f>
        <v/>
      </c>
      <c r="H387" t="str">
        <f>IF(E387="","",IFERROR(VALUE(SUBSTITUTE('MSR RAW'!P387,",","")),0))</f>
        <v/>
      </c>
      <c r="I387" t="str">
        <f>IF(E387="","",IFERROR(VALUE(SUBSTITUTE('MSR RAW'!S387,",","")),0))</f>
        <v/>
      </c>
    </row>
    <row r="388" spans="1:9" ht="68.650000000000006" customHeight="1" x14ac:dyDescent="0.2">
      <c r="A388">
        <v>388</v>
      </c>
      <c r="B38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88" t="str">
        <f>IF(LEFT(TRIM('MSR RAW'!A388),11)="Department:",TRIM('MSR RAW'!A388),C387)</f>
        <v>Department: 36637 - SPECIALTY CONCESSIONS (VENDING)</v>
      </c>
      <c r="D388" t="str">
        <f>IF(LEFT(TRIM('MSR RAW'!B388),9)="Location:",TRIM(MID('MSR RAW'!B388,10,999)),D387)</f>
        <v>FB 155 - SUB ISLAND NOODLES</v>
      </c>
      <c r="E388" t="str">
        <f>IF(AND(ISNUMBER(SEARCH(" - ",TRIM('MSR RAW'!C388))),RIGHT(TRIM('MSR RAW'!C388),6)="Total:"),LEFT(TRIM('MSR RAW'!C388),SEARCH(" - ",TRIM('MSR RAW'!C388))-1),"")</f>
        <v/>
      </c>
      <c r="F388" t="str">
        <f>IF(E388="","",TRIM(MID(TRIM('MSR RAW'!C388),SEARCH(" - ",TRIM('MSR RAW'!C388))+3,LEN(TRIM('MSR RAW'!C388))-SEARCH(" - ",TRIM('MSR RAW'!C388))-9)))</f>
        <v/>
      </c>
      <c r="G388" t="str">
        <f>IF(E388="","",IFERROR(VLOOKUP(E388,'CATEGORY MAP'!$A$2:$B$20,2,FALSE()),"REVIEW"))</f>
        <v/>
      </c>
      <c r="H388" t="str">
        <f>IF(E388="","",IFERROR(VALUE(SUBSTITUTE('MSR RAW'!P388,",","")),0))</f>
        <v/>
      </c>
      <c r="I388" t="str">
        <f>IF(E388="","",IFERROR(VALUE(SUBSTITUTE('MSR RAW'!S388,",","")),0))</f>
        <v/>
      </c>
    </row>
    <row r="389" spans="1:9" ht="68.650000000000006" customHeight="1" x14ac:dyDescent="0.2">
      <c r="A389">
        <v>389</v>
      </c>
      <c r="B38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89" t="str">
        <f>IF(LEFT(TRIM('MSR RAW'!A389),11)="Department:",TRIM('MSR RAW'!A389),C388)</f>
        <v>Department: 36637 - SPECIALTY CONCESSIONS (VENDING)</v>
      </c>
      <c r="D389" t="str">
        <f>IF(LEFT(TRIM('MSR RAW'!B389),9)="Location:",TRIM(MID('MSR RAW'!B389,10,999)),D388)</f>
        <v>FB 155 - SUB ISLAND NOODLES</v>
      </c>
      <c r="E389" t="str">
        <f>IF(AND(ISNUMBER(SEARCH(" - ",TRIM('MSR RAW'!C389))),RIGHT(TRIM('MSR RAW'!C389),6)="Total:"),LEFT(TRIM('MSR RAW'!C389),SEARCH(" - ",TRIM('MSR RAW'!C389))-1),"")</f>
        <v/>
      </c>
      <c r="F389" t="str">
        <f>IF(E389="","",TRIM(MID(TRIM('MSR RAW'!C389),SEARCH(" - ",TRIM('MSR RAW'!C389))+3,LEN(TRIM('MSR RAW'!C389))-SEARCH(" - ",TRIM('MSR RAW'!C389))-9)))</f>
        <v/>
      </c>
      <c r="G389" t="str">
        <f>IF(E389="","",IFERROR(VLOOKUP(E389,'CATEGORY MAP'!$A$2:$B$20,2,FALSE()),"REVIEW"))</f>
        <v/>
      </c>
      <c r="H389" t="str">
        <f>IF(E389="","",IFERROR(VALUE(SUBSTITUTE('MSR RAW'!P389,",","")),0))</f>
        <v/>
      </c>
      <c r="I389" t="str">
        <f>IF(E389="","",IFERROR(VALUE(SUBSTITUTE('MSR RAW'!S389,",","")),0))</f>
        <v/>
      </c>
    </row>
    <row r="390" spans="1:9" ht="68.650000000000006" customHeight="1" x14ac:dyDescent="0.2">
      <c r="A390">
        <v>390</v>
      </c>
      <c r="B39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90" t="str">
        <f>IF(LEFT(TRIM('MSR RAW'!A390),11)="Department:",TRIM('MSR RAW'!A390),C389)</f>
        <v>Department: 36637 - SPECIALTY CONCESSIONS (VENDING)</v>
      </c>
      <c r="D390" t="str">
        <f>IF(LEFT(TRIM('MSR RAW'!B390),9)="Location:",TRIM(MID('MSR RAW'!B390,10,999)),D389)</f>
        <v>FB 155 - SUB ISLAND NOODLES</v>
      </c>
      <c r="E390" t="str">
        <f>IF(AND(ISNUMBER(SEARCH(" - ",TRIM('MSR RAW'!C390))),RIGHT(TRIM('MSR RAW'!C390),6)="Total:"),LEFT(TRIM('MSR RAW'!C390),SEARCH(" - ",TRIM('MSR RAW'!C390))-1),"")</f>
        <v/>
      </c>
      <c r="F390" t="str">
        <f>IF(E390="","",TRIM(MID(TRIM('MSR RAW'!C390),SEARCH(" - ",TRIM('MSR RAW'!C390))+3,LEN(TRIM('MSR RAW'!C390))-SEARCH(" - ",TRIM('MSR RAW'!C390))-9)))</f>
        <v/>
      </c>
      <c r="G390" t="str">
        <f>IF(E390="","",IFERROR(VLOOKUP(E390,'CATEGORY MAP'!$A$2:$B$20,2,FALSE()),"REVIEW"))</f>
        <v/>
      </c>
      <c r="H390" t="str">
        <f>IF(E390="","",IFERROR(VALUE(SUBSTITUTE('MSR RAW'!P390,",","")),0))</f>
        <v/>
      </c>
      <c r="I390" t="str">
        <f>IF(E390="","",IFERROR(VALUE(SUBSTITUTE('MSR RAW'!S390,",","")),0))</f>
        <v/>
      </c>
    </row>
    <row r="391" spans="1:9" ht="68.650000000000006" customHeight="1" x14ac:dyDescent="0.2">
      <c r="A391">
        <v>391</v>
      </c>
      <c r="B39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91" t="str">
        <f>IF(LEFT(TRIM('MSR RAW'!A391),11)="Department:",TRIM('MSR RAW'!A391),C390)</f>
        <v>Department: 36637 - SPECIALTY CONCESSIONS (VENDING)</v>
      </c>
      <c r="D391" t="str">
        <f>IF(LEFT(TRIM('MSR RAW'!B391),9)="Location:",TRIM(MID('MSR RAW'!B391,10,999)),D390)</f>
        <v>FB 155 - SUB ISLAND NOODLES</v>
      </c>
      <c r="E391" t="str">
        <f>IF(AND(ISNUMBER(SEARCH(" - ",TRIM('MSR RAW'!C391))),RIGHT(TRIM('MSR RAW'!C391),6)="Total:"),LEFT(TRIM('MSR RAW'!C391),SEARCH(" - ",TRIM('MSR RAW'!C391))-1),"")</f>
        <v/>
      </c>
      <c r="F391" t="str">
        <f>IF(E391="","",TRIM(MID(TRIM('MSR RAW'!C391),SEARCH(" - ",TRIM('MSR RAW'!C391))+3,LEN(TRIM('MSR RAW'!C391))-SEARCH(" - ",TRIM('MSR RAW'!C391))-9)))</f>
        <v/>
      </c>
      <c r="G391" t="str">
        <f>IF(E391="","",IFERROR(VLOOKUP(E391,'CATEGORY MAP'!$A$2:$B$20,2,FALSE()),"REVIEW"))</f>
        <v/>
      </c>
      <c r="H391" t="str">
        <f>IF(E391="","",IFERROR(VALUE(SUBSTITUTE('MSR RAW'!P391,",","")),0))</f>
        <v/>
      </c>
      <c r="I391" t="str">
        <f>IF(E391="","",IFERROR(VALUE(SUBSTITUTE('MSR RAW'!S391,",","")),0))</f>
        <v/>
      </c>
    </row>
    <row r="392" spans="1:9" ht="68.650000000000006" customHeight="1" x14ac:dyDescent="0.2">
      <c r="A392">
        <v>392</v>
      </c>
      <c r="B39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92" t="str">
        <f>IF(LEFT(TRIM('MSR RAW'!A392),11)="Department:",TRIM('MSR RAW'!A392),C391)</f>
        <v>Department: 36637 - SPECIALTY CONCESSIONS (VENDING)</v>
      </c>
      <c r="D392" t="str">
        <f>IF(LEFT(TRIM('MSR RAW'!B392),9)="Location:",TRIM(MID('MSR RAW'!B392,10,999)),D391)</f>
        <v>FB 155 - SUB ISLAND NOODLES</v>
      </c>
      <c r="E392" t="str">
        <f>IF(AND(ISNUMBER(SEARCH(" - ",TRIM('MSR RAW'!C392))),RIGHT(TRIM('MSR RAW'!C392),6)="Total:"),LEFT(TRIM('MSR RAW'!C392),SEARCH(" - ",TRIM('MSR RAW'!C392))-1),"")</f>
        <v/>
      </c>
      <c r="F392" t="str">
        <f>IF(E392="","",TRIM(MID(TRIM('MSR RAW'!C392),SEARCH(" - ",TRIM('MSR RAW'!C392))+3,LEN(TRIM('MSR RAW'!C392))-SEARCH(" - ",TRIM('MSR RAW'!C392))-9)))</f>
        <v/>
      </c>
      <c r="G392" t="str">
        <f>IF(E392="","",IFERROR(VLOOKUP(E392,'CATEGORY MAP'!$A$2:$B$20,2,FALSE()),"REVIEW"))</f>
        <v/>
      </c>
      <c r="H392" t="str">
        <f>IF(E392="","",IFERROR(VALUE(SUBSTITUTE('MSR RAW'!P392,",","")),0))</f>
        <v/>
      </c>
      <c r="I392" t="str">
        <f>IF(E392="","",IFERROR(VALUE(SUBSTITUTE('MSR RAW'!S392,",","")),0))</f>
        <v/>
      </c>
    </row>
    <row r="393" spans="1:9" ht="68.650000000000006" customHeight="1" x14ac:dyDescent="0.2">
      <c r="A393">
        <v>393</v>
      </c>
      <c r="B39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93" t="str">
        <f>IF(LEFT(TRIM('MSR RAW'!A393),11)="Department:",TRIM('MSR RAW'!A393),C392)</f>
        <v>Department: 36637 - SPECIALTY CONCESSIONS (VENDING)</v>
      </c>
      <c r="D393" t="str">
        <f>IF(LEFT(TRIM('MSR RAW'!B393),9)="Location:",TRIM(MID('MSR RAW'!B393,10,999)),D392)</f>
        <v>FB 155 - SUB ISLAND NOODLES</v>
      </c>
      <c r="E393" t="str">
        <f>IF(AND(ISNUMBER(SEARCH(" - ",TRIM('MSR RAW'!C393))),RIGHT(TRIM('MSR RAW'!C393),6)="Total:"),LEFT(TRIM('MSR RAW'!C393),SEARCH(" - ",TRIM('MSR RAW'!C393))-1),"")</f>
        <v/>
      </c>
      <c r="F393" t="str">
        <f>IF(E393="","",TRIM(MID(TRIM('MSR RAW'!C393),SEARCH(" - ",TRIM('MSR RAW'!C393))+3,LEN(TRIM('MSR RAW'!C393))-SEARCH(" - ",TRIM('MSR RAW'!C393))-9)))</f>
        <v/>
      </c>
      <c r="G393" t="str">
        <f>IF(E393="","",IFERROR(VLOOKUP(E393,'CATEGORY MAP'!$A$2:$B$20,2,FALSE()),"REVIEW"))</f>
        <v/>
      </c>
      <c r="H393" t="str">
        <f>IF(E393="","",IFERROR(VALUE(SUBSTITUTE('MSR RAW'!P393,",","")),0))</f>
        <v/>
      </c>
      <c r="I393" t="str">
        <f>IF(E393="","",IFERROR(VALUE(SUBSTITUTE('MSR RAW'!S393,",","")),0))</f>
        <v/>
      </c>
    </row>
    <row r="394" spans="1:9" ht="68.650000000000006" customHeight="1" x14ac:dyDescent="0.2">
      <c r="A394">
        <v>394</v>
      </c>
      <c r="B39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94" t="str">
        <f>IF(LEFT(TRIM('MSR RAW'!A394),11)="Department:",TRIM('MSR RAW'!A394),C393)</f>
        <v>Department: 36637 - SPECIALTY CONCESSIONS (VENDING)</v>
      </c>
      <c r="D394" t="str">
        <f>IF(LEFT(TRIM('MSR RAW'!B394),9)="Location:",TRIM(MID('MSR RAW'!B394,10,999)),D393)</f>
        <v>FB 155 - SUB ISLAND NOODLES</v>
      </c>
      <c r="E394" t="str">
        <f>IF(AND(ISNUMBER(SEARCH(" - ",TRIM('MSR RAW'!C394))),RIGHT(TRIM('MSR RAW'!C394),6)="Total:"),LEFT(TRIM('MSR RAW'!C394),SEARCH(" - ",TRIM('MSR RAW'!C394))-1),"")</f>
        <v/>
      </c>
      <c r="F394" t="str">
        <f>IF(E394="","",TRIM(MID(TRIM('MSR RAW'!C394),SEARCH(" - ",TRIM('MSR RAW'!C394))+3,LEN(TRIM('MSR RAW'!C394))-SEARCH(" - ",TRIM('MSR RAW'!C394))-9)))</f>
        <v/>
      </c>
      <c r="G394" t="str">
        <f>IF(E394="","",IFERROR(VLOOKUP(E394,'CATEGORY MAP'!$A$2:$B$20,2,FALSE()),"REVIEW"))</f>
        <v/>
      </c>
      <c r="H394" t="str">
        <f>IF(E394="","",IFERROR(VALUE(SUBSTITUTE('MSR RAW'!P394,",","")),0))</f>
        <v/>
      </c>
      <c r="I394" t="str">
        <f>IF(E394="","",IFERROR(VALUE(SUBSTITUTE('MSR RAW'!S394,",","")),0))</f>
        <v/>
      </c>
    </row>
    <row r="395" spans="1:9" ht="68.650000000000006" customHeight="1" x14ac:dyDescent="0.2">
      <c r="A395">
        <v>395</v>
      </c>
      <c r="B39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95" t="str">
        <f>IF(LEFT(TRIM('MSR RAW'!A395),11)="Department:",TRIM('MSR RAW'!A395),C394)</f>
        <v>Department: 36637 - SPECIALTY CONCESSIONS (VENDING)</v>
      </c>
      <c r="D395" t="str">
        <f>IF(LEFT(TRIM('MSR RAW'!B395),9)="Location:",TRIM(MID('MSR RAW'!B395,10,999)),D394)</f>
        <v>FB 155 - SUB ISLAND NOODLES</v>
      </c>
      <c r="E395" t="str">
        <f>IF(AND(ISNUMBER(SEARCH(" - ",TRIM('MSR RAW'!C395))),RIGHT(TRIM('MSR RAW'!C395),6)="Total:"),LEFT(TRIM('MSR RAW'!C395),SEARCH(" - ",TRIM('MSR RAW'!C395))-1),"")</f>
        <v/>
      </c>
      <c r="F395" t="str">
        <f>IF(E395="","",TRIM(MID(TRIM('MSR RAW'!C395),SEARCH(" - ",TRIM('MSR RAW'!C395))+3,LEN(TRIM('MSR RAW'!C395))-SEARCH(" - ",TRIM('MSR RAW'!C395))-9)))</f>
        <v/>
      </c>
      <c r="G395" t="str">
        <f>IF(E395="","",IFERROR(VLOOKUP(E395,'CATEGORY MAP'!$A$2:$B$20,2,FALSE()),"REVIEW"))</f>
        <v/>
      </c>
      <c r="H395" t="str">
        <f>IF(E395="","",IFERROR(VALUE(SUBSTITUTE('MSR RAW'!P395,",","")),0))</f>
        <v/>
      </c>
      <c r="I395" t="str">
        <f>IF(E395="","",IFERROR(VALUE(SUBSTITUTE('MSR RAW'!S395,",","")),0))</f>
        <v/>
      </c>
    </row>
    <row r="396" spans="1:9" ht="68.650000000000006" customHeight="1" x14ac:dyDescent="0.2">
      <c r="A396">
        <v>396</v>
      </c>
      <c r="B39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96" t="str">
        <f>IF(LEFT(TRIM('MSR RAW'!A396),11)="Department:",TRIM('MSR RAW'!A396),C395)</f>
        <v>Department: 36637 - SPECIALTY CONCESSIONS (VENDING)</v>
      </c>
      <c r="D396" t="str">
        <f>IF(LEFT(TRIM('MSR RAW'!B396),9)="Location:",TRIM(MID('MSR RAW'!B396,10,999)),D395)</f>
        <v>FB 155 - SUB ISLAND NOODLES</v>
      </c>
      <c r="E396" t="str">
        <f>IF(AND(ISNUMBER(SEARCH(" - ",TRIM('MSR RAW'!C396))),RIGHT(TRIM('MSR RAW'!C396),6)="Total:"),LEFT(TRIM('MSR RAW'!C396),SEARCH(" - ",TRIM('MSR RAW'!C396))-1),"")</f>
        <v/>
      </c>
      <c r="F396" t="str">
        <f>IF(E396="","",TRIM(MID(TRIM('MSR RAW'!C396),SEARCH(" - ",TRIM('MSR RAW'!C396))+3,LEN(TRIM('MSR RAW'!C396))-SEARCH(" - ",TRIM('MSR RAW'!C396))-9)))</f>
        <v/>
      </c>
      <c r="G396" t="str">
        <f>IF(E396="","",IFERROR(VLOOKUP(E396,'CATEGORY MAP'!$A$2:$B$20,2,FALSE()),"REVIEW"))</f>
        <v/>
      </c>
      <c r="H396" t="str">
        <f>IF(E396="","",IFERROR(VALUE(SUBSTITUTE('MSR RAW'!P396,",","")),0))</f>
        <v/>
      </c>
      <c r="I396" t="str">
        <f>IF(E396="","",IFERROR(VALUE(SUBSTITUTE('MSR RAW'!S396,",","")),0))</f>
        <v/>
      </c>
    </row>
    <row r="397" spans="1:9" ht="68.650000000000006" customHeight="1" x14ac:dyDescent="0.2">
      <c r="A397">
        <v>397</v>
      </c>
      <c r="B39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97" t="str">
        <f>IF(LEFT(TRIM('MSR RAW'!A397),11)="Department:",TRIM('MSR RAW'!A397),C396)</f>
        <v>Department: 36637 - SPECIALTY CONCESSIONS (VENDING)</v>
      </c>
      <c r="D397" t="str">
        <f>IF(LEFT(TRIM('MSR RAW'!B397),9)="Location:",TRIM(MID('MSR RAW'!B397,10,999)),D396)</f>
        <v>FB 155 - SUB ISLAND NOODLES</v>
      </c>
      <c r="E397" t="str">
        <f>IF(AND(ISNUMBER(SEARCH(" - ",TRIM('MSR RAW'!C397))),RIGHT(TRIM('MSR RAW'!C397),6)="Total:"),LEFT(TRIM('MSR RAW'!C397),SEARCH(" - ",TRIM('MSR RAW'!C397))-1),"")</f>
        <v/>
      </c>
      <c r="F397" t="str">
        <f>IF(E397="","",TRIM(MID(TRIM('MSR RAW'!C397),SEARCH(" - ",TRIM('MSR RAW'!C397))+3,LEN(TRIM('MSR RAW'!C397))-SEARCH(" - ",TRIM('MSR RAW'!C397))-9)))</f>
        <v/>
      </c>
      <c r="G397" t="str">
        <f>IF(E397="","",IFERROR(VLOOKUP(E397,'CATEGORY MAP'!$A$2:$B$20,2,FALSE()),"REVIEW"))</f>
        <v/>
      </c>
      <c r="H397" t="str">
        <f>IF(E397="","",IFERROR(VALUE(SUBSTITUTE('MSR RAW'!P397,",","")),0))</f>
        <v/>
      </c>
      <c r="I397" t="str">
        <f>IF(E397="","",IFERROR(VALUE(SUBSTITUTE('MSR RAW'!S397,",","")),0))</f>
        <v/>
      </c>
    </row>
    <row r="398" spans="1:9" ht="68.650000000000006" customHeight="1" x14ac:dyDescent="0.2">
      <c r="A398">
        <v>398</v>
      </c>
      <c r="B39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98" t="str">
        <f>IF(LEFT(TRIM('MSR RAW'!A398),11)="Department:",TRIM('MSR RAW'!A398),C397)</f>
        <v>Department: 36637 - SPECIALTY CONCESSIONS (VENDING)</v>
      </c>
      <c r="D398" t="str">
        <f>IF(LEFT(TRIM('MSR RAW'!B398),9)="Location:",TRIM(MID('MSR RAW'!B398,10,999)),D397)</f>
        <v>FB 155 - SUB ISLAND NOODLES</v>
      </c>
      <c r="E398" t="str">
        <f>IF(AND(ISNUMBER(SEARCH(" - ",TRIM('MSR RAW'!C398))),RIGHT(TRIM('MSR RAW'!C398),6)="Total:"),LEFT(TRIM('MSR RAW'!C398),SEARCH(" - ",TRIM('MSR RAW'!C398))-1),"")</f>
        <v/>
      </c>
      <c r="F398" t="str">
        <f>IF(E398="","",TRIM(MID(TRIM('MSR RAW'!C398),SEARCH(" - ",TRIM('MSR RAW'!C398))+3,LEN(TRIM('MSR RAW'!C398))-SEARCH(" - ",TRIM('MSR RAW'!C398))-9)))</f>
        <v/>
      </c>
      <c r="G398" t="str">
        <f>IF(E398="","",IFERROR(VLOOKUP(E398,'CATEGORY MAP'!$A$2:$B$20,2,FALSE()),"REVIEW"))</f>
        <v/>
      </c>
      <c r="H398" t="str">
        <f>IF(E398="","",IFERROR(VALUE(SUBSTITUTE('MSR RAW'!P398,",","")),0))</f>
        <v/>
      </c>
      <c r="I398" t="str">
        <f>IF(E398="","",IFERROR(VALUE(SUBSTITUTE('MSR RAW'!S398,",","")),0))</f>
        <v/>
      </c>
    </row>
    <row r="399" spans="1:9" ht="68.650000000000006" customHeight="1" x14ac:dyDescent="0.2">
      <c r="A399">
        <v>399</v>
      </c>
      <c r="B39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99" t="str">
        <f>IF(LEFT(TRIM('MSR RAW'!A399),11)="Department:",TRIM('MSR RAW'!A399),C398)</f>
        <v>Department: 36637 - SPECIALTY CONCESSIONS (VENDING)</v>
      </c>
      <c r="D399" t="str">
        <f>IF(LEFT(TRIM('MSR RAW'!B399),9)="Location:",TRIM(MID('MSR RAW'!B399,10,999)),D398)</f>
        <v>FB 155 - SUB ISLAND NOODLES</v>
      </c>
      <c r="E399" t="str">
        <f>IF(AND(ISNUMBER(SEARCH(" - ",TRIM('MSR RAW'!C399))),RIGHT(TRIM('MSR RAW'!C399),6)="Total:"),LEFT(TRIM('MSR RAW'!C399),SEARCH(" - ",TRIM('MSR RAW'!C399))-1),"")</f>
        <v/>
      </c>
      <c r="F399" t="str">
        <f>IF(E399="","",TRIM(MID(TRIM('MSR RAW'!C399),SEARCH(" - ",TRIM('MSR RAW'!C399))+3,LEN(TRIM('MSR RAW'!C399))-SEARCH(" - ",TRIM('MSR RAW'!C399))-9)))</f>
        <v/>
      </c>
      <c r="G399" t="str">
        <f>IF(E399="","",IFERROR(VLOOKUP(E399,'CATEGORY MAP'!$A$2:$B$20,2,FALSE()),"REVIEW"))</f>
        <v/>
      </c>
      <c r="H399" t="str">
        <f>IF(E399="","",IFERROR(VALUE(SUBSTITUTE('MSR RAW'!P399,",","")),0))</f>
        <v/>
      </c>
      <c r="I399" t="str">
        <f>IF(E399="","",IFERROR(VALUE(SUBSTITUTE('MSR RAW'!S399,",","")),0))</f>
        <v/>
      </c>
    </row>
    <row r="400" spans="1:9" ht="68.650000000000006" customHeight="1" x14ac:dyDescent="0.2">
      <c r="A400">
        <v>400</v>
      </c>
      <c r="B40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00" t="str">
        <f>IF(LEFT(TRIM('MSR RAW'!A400),11)="Department:",TRIM('MSR RAW'!A400),C399)</f>
        <v>Department: 36637 - SPECIALTY CONCESSIONS (VENDING)</v>
      </c>
      <c r="D400" t="str">
        <f>IF(LEFT(TRIM('MSR RAW'!B400),9)="Location:",TRIM(MID('MSR RAW'!B400,10,999)),D399)</f>
        <v>FB 155 - SUB ISLAND NOODLES</v>
      </c>
      <c r="E400" t="str">
        <f>IF(AND(ISNUMBER(SEARCH(" - ",TRIM('MSR RAW'!C400))),RIGHT(TRIM('MSR RAW'!C400),6)="Total:"),LEFT(TRIM('MSR RAW'!C400),SEARCH(" - ",TRIM('MSR RAW'!C400))-1),"")</f>
        <v/>
      </c>
      <c r="F400" t="str">
        <f>IF(E400="","",TRIM(MID(TRIM('MSR RAW'!C400),SEARCH(" - ",TRIM('MSR RAW'!C400))+3,LEN(TRIM('MSR RAW'!C400))-SEARCH(" - ",TRIM('MSR RAW'!C400))-9)))</f>
        <v/>
      </c>
      <c r="G400" t="str">
        <f>IF(E400="","",IFERROR(VLOOKUP(E400,'CATEGORY MAP'!$A$2:$B$20,2,FALSE()),"REVIEW"))</f>
        <v/>
      </c>
      <c r="H400" t="str">
        <f>IF(E400="","",IFERROR(VALUE(SUBSTITUTE('MSR RAW'!P400,",","")),0))</f>
        <v/>
      </c>
      <c r="I400" t="str">
        <f>IF(E400="","",IFERROR(VALUE(SUBSTITUTE('MSR RAW'!S400,",","")),0))</f>
        <v/>
      </c>
    </row>
    <row r="401" spans="1:9" ht="68.650000000000006" customHeight="1" x14ac:dyDescent="0.2">
      <c r="A401">
        <v>401</v>
      </c>
      <c r="B40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01" t="str">
        <f>IF(LEFT(TRIM('MSR RAW'!A401),11)="Department:",TRIM('MSR RAW'!A401),C400)</f>
        <v>Department: 36637 - SPECIALTY CONCESSIONS (VENDING)</v>
      </c>
      <c r="D401" t="str">
        <f>IF(LEFT(TRIM('MSR RAW'!B401),9)="Location:",TRIM(MID('MSR RAW'!B401,10,999)),D400)</f>
        <v>FB 155 - SUB ISLAND NOODLES</v>
      </c>
      <c r="E401" t="str">
        <f>IF(AND(ISNUMBER(SEARCH(" - ",TRIM('MSR RAW'!C401))),RIGHT(TRIM('MSR RAW'!C401),6)="Total:"),LEFT(TRIM('MSR RAW'!C401),SEARCH(" - ",TRIM('MSR RAW'!C401))-1),"")</f>
        <v/>
      </c>
      <c r="F401" t="str">
        <f>IF(E401="","",TRIM(MID(TRIM('MSR RAW'!C401),SEARCH(" - ",TRIM('MSR RAW'!C401))+3,LEN(TRIM('MSR RAW'!C401))-SEARCH(" - ",TRIM('MSR RAW'!C401))-9)))</f>
        <v/>
      </c>
      <c r="G401" t="str">
        <f>IF(E401="","",IFERROR(VLOOKUP(E401,'CATEGORY MAP'!$A$2:$B$20,2,FALSE()),"REVIEW"))</f>
        <v/>
      </c>
      <c r="H401" t="str">
        <f>IF(E401="","",IFERROR(VALUE(SUBSTITUTE('MSR RAW'!P401,",","")),0))</f>
        <v/>
      </c>
      <c r="I401" t="str">
        <f>IF(E401="","",IFERROR(VALUE(SUBSTITUTE('MSR RAW'!S401,",","")),0))</f>
        <v/>
      </c>
    </row>
    <row r="402" spans="1:9" ht="68.650000000000006" customHeight="1" x14ac:dyDescent="0.2">
      <c r="A402">
        <v>402</v>
      </c>
      <c r="B40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02" t="str">
        <f>IF(LEFT(TRIM('MSR RAW'!A402),11)="Department:",TRIM('MSR RAW'!A402),C401)</f>
        <v>Department: 36637 - SPECIALTY CONCESSIONS (VENDING)</v>
      </c>
      <c r="D402" t="str">
        <f>IF(LEFT(TRIM('MSR RAW'!B402),9)="Location:",TRIM(MID('MSR RAW'!B402,10,999)),D401)</f>
        <v>FB 155 - SUB ISLAND NOODLES</v>
      </c>
      <c r="E402" t="str">
        <f>IF(AND(ISNUMBER(SEARCH(" - ",TRIM('MSR RAW'!C402))),RIGHT(TRIM('MSR RAW'!C402),6)="Total:"),LEFT(TRIM('MSR RAW'!C402),SEARCH(" - ",TRIM('MSR RAW'!C402))-1),"")</f>
        <v/>
      </c>
      <c r="F402" t="str">
        <f>IF(E402="","",TRIM(MID(TRIM('MSR RAW'!C402),SEARCH(" - ",TRIM('MSR RAW'!C402))+3,LEN(TRIM('MSR RAW'!C402))-SEARCH(" - ",TRIM('MSR RAW'!C402))-9)))</f>
        <v/>
      </c>
      <c r="G402" t="str">
        <f>IF(E402="","",IFERROR(VLOOKUP(E402,'CATEGORY MAP'!$A$2:$B$20,2,FALSE()),"REVIEW"))</f>
        <v/>
      </c>
      <c r="H402" t="str">
        <f>IF(E402="","",IFERROR(VALUE(SUBSTITUTE('MSR RAW'!P402,",","")),0))</f>
        <v/>
      </c>
      <c r="I402" t="str">
        <f>IF(E402="","",IFERROR(VALUE(SUBSTITUTE('MSR RAW'!S402,",","")),0))</f>
        <v/>
      </c>
    </row>
    <row r="403" spans="1:9" ht="68.650000000000006" customHeight="1" x14ac:dyDescent="0.2">
      <c r="A403">
        <v>403</v>
      </c>
      <c r="B40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03" t="str">
        <f>IF(LEFT(TRIM('MSR RAW'!A403),11)="Department:",TRIM('MSR RAW'!A403),C402)</f>
        <v>Department: 36637 - SPECIALTY CONCESSIONS (VENDING)</v>
      </c>
      <c r="D403" t="str">
        <f>IF(LEFT(TRIM('MSR RAW'!B403),9)="Location:",TRIM(MID('MSR RAW'!B403,10,999)),D402)</f>
        <v>FB 155 - SUB ISLAND NOODLES</v>
      </c>
      <c r="E403" t="str">
        <f>IF(AND(ISNUMBER(SEARCH(" - ",TRIM('MSR RAW'!C403))),RIGHT(TRIM('MSR RAW'!C403),6)="Total:"),LEFT(TRIM('MSR RAW'!C403),SEARCH(" - ",TRIM('MSR RAW'!C403))-1),"")</f>
        <v/>
      </c>
      <c r="F403" t="str">
        <f>IF(E403="","",TRIM(MID(TRIM('MSR RAW'!C403),SEARCH(" - ",TRIM('MSR RAW'!C403))+3,LEN(TRIM('MSR RAW'!C403))-SEARCH(" - ",TRIM('MSR RAW'!C403))-9)))</f>
        <v/>
      </c>
      <c r="G403" t="str">
        <f>IF(E403="","",IFERROR(VLOOKUP(E403,'CATEGORY MAP'!$A$2:$B$20,2,FALSE()),"REVIEW"))</f>
        <v/>
      </c>
      <c r="H403" t="str">
        <f>IF(E403="","",IFERROR(VALUE(SUBSTITUTE('MSR RAW'!P403,",","")),0))</f>
        <v/>
      </c>
      <c r="I403" t="str">
        <f>IF(E403="","",IFERROR(VALUE(SUBSTITUTE('MSR RAW'!S403,",","")),0))</f>
        <v/>
      </c>
    </row>
    <row r="404" spans="1:9" ht="68.650000000000006" customHeight="1" x14ac:dyDescent="0.2">
      <c r="A404">
        <v>404</v>
      </c>
      <c r="B40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04" t="str">
        <f>IF(LEFT(TRIM('MSR RAW'!A404),11)="Department:",TRIM('MSR RAW'!A404),C403)</f>
        <v>Department: 36637 - SPECIALTY CONCESSIONS (VENDING)</v>
      </c>
      <c r="D404" t="str">
        <f>IF(LEFT(TRIM('MSR RAW'!B404),9)="Location:",TRIM(MID('MSR RAW'!B404,10,999)),D403)</f>
        <v>FB 155 - SUB ISLAND NOODLES</v>
      </c>
      <c r="E404" t="str">
        <f>IF(AND(ISNUMBER(SEARCH(" - ",TRIM('MSR RAW'!C404))),RIGHT(TRIM('MSR RAW'!C404),6)="Total:"),LEFT(TRIM('MSR RAW'!C404),SEARCH(" - ",TRIM('MSR RAW'!C404))-1),"")</f>
        <v/>
      </c>
      <c r="F404" t="str">
        <f>IF(E404="","",TRIM(MID(TRIM('MSR RAW'!C404),SEARCH(" - ",TRIM('MSR RAW'!C404))+3,LEN(TRIM('MSR RAW'!C404))-SEARCH(" - ",TRIM('MSR RAW'!C404))-9)))</f>
        <v/>
      </c>
      <c r="G404" t="str">
        <f>IF(E404="","",IFERROR(VLOOKUP(E404,'CATEGORY MAP'!$A$2:$B$20,2,FALSE()),"REVIEW"))</f>
        <v/>
      </c>
      <c r="H404" t="str">
        <f>IF(E404="","",IFERROR(VALUE(SUBSTITUTE('MSR RAW'!P404,",","")),0))</f>
        <v/>
      </c>
      <c r="I404" t="str">
        <f>IF(E404="","",IFERROR(VALUE(SUBSTITUTE('MSR RAW'!S404,",","")),0))</f>
        <v/>
      </c>
    </row>
    <row r="405" spans="1:9" ht="68.650000000000006" customHeight="1" x14ac:dyDescent="0.2">
      <c r="A405">
        <v>405</v>
      </c>
      <c r="B40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05" t="str">
        <f>IF(LEFT(TRIM('MSR RAW'!A405),11)="Department:",TRIM('MSR RAW'!A405),C404)</f>
        <v>Department: 36637 - SPECIALTY CONCESSIONS (VENDING)</v>
      </c>
      <c r="D405" t="str">
        <f>IF(LEFT(TRIM('MSR RAW'!B405),9)="Location:",TRIM(MID('MSR RAW'!B405,10,999)),D404)</f>
        <v>FB 155 - SUB ISLAND NOODLES</v>
      </c>
      <c r="E405" t="str">
        <f>IF(AND(ISNUMBER(SEARCH(" - ",TRIM('MSR RAW'!C405))),RIGHT(TRIM('MSR RAW'!C405),6)="Total:"),LEFT(TRIM('MSR RAW'!C405),SEARCH(" - ",TRIM('MSR RAW'!C405))-1),"")</f>
        <v/>
      </c>
      <c r="F405" t="str">
        <f>IF(E405="","",TRIM(MID(TRIM('MSR RAW'!C405),SEARCH(" - ",TRIM('MSR RAW'!C405))+3,LEN(TRIM('MSR RAW'!C405))-SEARCH(" - ",TRIM('MSR RAW'!C405))-9)))</f>
        <v/>
      </c>
      <c r="G405" t="str">
        <f>IF(E405="","",IFERROR(VLOOKUP(E405,'CATEGORY MAP'!$A$2:$B$20,2,FALSE()),"REVIEW"))</f>
        <v/>
      </c>
      <c r="H405" t="str">
        <f>IF(E405="","",IFERROR(VALUE(SUBSTITUTE('MSR RAW'!P405,",","")),0))</f>
        <v/>
      </c>
      <c r="I405" t="str">
        <f>IF(E405="","",IFERROR(VALUE(SUBSTITUTE('MSR RAW'!S405,",","")),0))</f>
        <v/>
      </c>
    </row>
    <row r="406" spans="1:9" ht="68.650000000000006" customHeight="1" x14ac:dyDescent="0.2">
      <c r="A406">
        <v>406</v>
      </c>
      <c r="B40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06" t="str">
        <f>IF(LEFT(TRIM('MSR RAW'!A406),11)="Department:",TRIM('MSR RAW'!A406),C405)</f>
        <v>Department: 36637 - SPECIALTY CONCESSIONS (VENDING)</v>
      </c>
      <c r="D406" t="str">
        <f>IF(LEFT(TRIM('MSR RAW'!B406),9)="Location:",TRIM(MID('MSR RAW'!B406,10,999)),D405)</f>
        <v>FB 155 - SUB ISLAND NOODLES</v>
      </c>
      <c r="E406" t="str">
        <f>IF(AND(ISNUMBER(SEARCH(" - ",TRIM('MSR RAW'!C406))),RIGHT(TRIM('MSR RAW'!C406),6)="Total:"),LEFT(TRIM('MSR RAW'!C406),SEARCH(" - ",TRIM('MSR RAW'!C406))-1),"")</f>
        <v/>
      </c>
      <c r="F406" t="str">
        <f>IF(E406="","",TRIM(MID(TRIM('MSR RAW'!C406),SEARCH(" - ",TRIM('MSR RAW'!C406))+3,LEN(TRIM('MSR RAW'!C406))-SEARCH(" - ",TRIM('MSR RAW'!C406))-9)))</f>
        <v/>
      </c>
      <c r="G406" t="str">
        <f>IF(E406="","",IFERROR(VLOOKUP(E406,'CATEGORY MAP'!$A$2:$B$20,2,FALSE()),"REVIEW"))</f>
        <v/>
      </c>
      <c r="H406" t="str">
        <f>IF(E406="","",IFERROR(VALUE(SUBSTITUTE('MSR RAW'!P406,",","")),0))</f>
        <v/>
      </c>
      <c r="I406" t="str">
        <f>IF(E406="","",IFERROR(VALUE(SUBSTITUTE('MSR RAW'!S406,",","")),0))</f>
        <v/>
      </c>
    </row>
    <row r="407" spans="1:9" ht="68.650000000000006" customHeight="1" x14ac:dyDescent="0.2">
      <c r="A407">
        <v>407</v>
      </c>
      <c r="B40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07" t="str">
        <f>IF(LEFT(TRIM('MSR RAW'!A407),11)="Department:",TRIM('MSR RAW'!A407),C406)</f>
        <v>Department: 36637 - SPECIALTY CONCESSIONS (VENDING)</v>
      </c>
      <c r="D407" t="str">
        <f>IF(LEFT(TRIM('MSR RAW'!B407),9)="Location:",TRIM(MID('MSR RAW'!B407,10,999)),D406)</f>
        <v>FB 155 - SUB ISLAND NOODLES</v>
      </c>
      <c r="E407" t="str">
        <f>IF(AND(ISNUMBER(SEARCH(" - ",TRIM('MSR RAW'!C407))),RIGHT(TRIM('MSR RAW'!C407),6)="Total:"),LEFT(TRIM('MSR RAW'!C407),SEARCH(" - ",TRIM('MSR RAW'!C407))-1),"")</f>
        <v/>
      </c>
      <c r="F407" t="str">
        <f>IF(E407="","",TRIM(MID(TRIM('MSR RAW'!C407),SEARCH(" - ",TRIM('MSR RAW'!C407))+3,LEN(TRIM('MSR RAW'!C407))-SEARCH(" - ",TRIM('MSR RAW'!C407))-9)))</f>
        <v/>
      </c>
      <c r="G407" t="str">
        <f>IF(E407="","",IFERROR(VLOOKUP(E407,'CATEGORY MAP'!$A$2:$B$20,2,FALSE()),"REVIEW"))</f>
        <v/>
      </c>
      <c r="H407" t="str">
        <f>IF(E407="","",IFERROR(VALUE(SUBSTITUTE('MSR RAW'!P407,",","")),0))</f>
        <v/>
      </c>
      <c r="I407" t="str">
        <f>IF(E407="","",IFERROR(VALUE(SUBSTITUTE('MSR RAW'!S407,",","")),0))</f>
        <v/>
      </c>
    </row>
    <row r="408" spans="1:9" ht="68.650000000000006" customHeight="1" x14ac:dyDescent="0.2">
      <c r="A408">
        <v>408</v>
      </c>
      <c r="B40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08" t="str">
        <f>IF(LEFT(TRIM('MSR RAW'!A408),11)="Department:",TRIM('MSR RAW'!A408),C407)</f>
        <v>Department: 36637 - SPECIALTY CONCESSIONS (VENDING)</v>
      </c>
      <c r="D408" t="str">
        <f>IF(LEFT(TRIM('MSR RAW'!B408),9)="Location:",TRIM(MID('MSR RAW'!B408,10,999)),D407)</f>
        <v>FB 155 - SUB ISLAND NOODLES</v>
      </c>
      <c r="E408" t="str">
        <f>IF(AND(ISNUMBER(SEARCH(" - ",TRIM('MSR RAW'!C408))),RIGHT(TRIM('MSR RAW'!C408),6)="Total:"),LEFT(TRIM('MSR RAW'!C408),SEARCH(" - ",TRIM('MSR RAW'!C408))-1),"")</f>
        <v/>
      </c>
      <c r="F408" t="str">
        <f>IF(E408="","",TRIM(MID(TRIM('MSR RAW'!C408),SEARCH(" - ",TRIM('MSR RAW'!C408))+3,LEN(TRIM('MSR RAW'!C408))-SEARCH(" - ",TRIM('MSR RAW'!C408))-9)))</f>
        <v/>
      </c>
      <c r="G408" t="str">
        <f>IF(E408="","",IFERROR(VLOOKUP(E408,'CATEGORY MAP'!$A$2:$B$20,2,FALSE()),"REVIEW"))</f>
        <v/>
      </c>
      <c r="H408" t="str">
        <f>IF(E408="","",IFERROR(VALUE(SUBSTITUTE('MSR RAW'!P408,",","")),0))</f>
        <v/>
      </c>
      <c r="I408" t="str">
        <f>IF(E408="","",IFERROR(VALUE(SUBSTITUTE('MSR RAW'!S408,",","")),0))</f>
        <v/>
      </c>
    </row>
    <row r="409" spans="1:9" ht="68.650000000000006" customHeight="1" x14ac:dyDescent="0.2">
      <c r="A409">
        <v>409</v>
      </c>
      <c r="B40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09" t="str">
        <f>IF(LEFT(TRIM('MSR RAW'!A409),11)="Department:",TRIM('MSR RAW'!A409),C408)</f>
        <v>Department: 36637 - SPECIALTY CONCESSIONS (VENDING)</v>
      </c>
      <c r="D409" t="str">
        <f>IF(LEFT(TRIM('MSR RAW'!B409),9)="Location:",TRIM(MID('MSR RAW'!B409,10,999)),D408)</f>
        <v>FB 155 - SUB ISLAND NOODLES</v>
      </c>
      <c r="E409" t="str">
        <f>IF(AND(ISNUMBER(SEARCH(" - ",TRIM('MSR RAW'!C409))),RIGHT(TRIM('MSR RAW'!C409),6)="Total:"),LEFT(TRIM('MSR RAW'!C409),SEARCH(" - ",TRIM('MSR RAW'!C409))-1),"")</f>
        <v/>
      </c>
      <c r="F409" t="str">
        <f>IF(E409="","",TRIM(MID(TRIM('MSR RAW'!C409),SEARCH(" - ",TRIM('MSR RAW'!C409))+3,LEN(TRIM('MSR RAW'!C409))-SEARCH(" - ",TRIM('MSR RAW'!C409))-9)))</f>
        <v/>
      </c>
      <c r="G409" t="str">
        <f>IF(E409="","",IFERROR(VLOOKUP(E409,'CATEGORY MAP'!$A$2:$B$20,2,FALSE()),"REVIEW"))</f>
        <v/>
      </c>
      <c r="H409" t="str">
        <f>IF(E409="","",IFERROR(VALUE(SUBSTITUTE('MSR RAW'!P409,",","")),0))</f>
        <v/>
      </c>
      <c r="I409" t="str">
        <f>IF(E409="","",IFERROR(VALUE(SUBSTITUTE('MSR RAW'!S409,",","")),0))</f>
        <v/>
      </c>
    </row>
    <row r="410" spans="1:9" ht="68.650000000000006" customHeight="1" x14ac:dyDescent="0.2">
      <c r="A410">
        <v>410</v>
      </c>
      <c r="B41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10" t="str">
        <f>IF(LEFT(TRIM('MSR RAW'!A410),11)="Department:",TRIM('MSR RAW'!A410),C409)</f>
        <v>Department: 36637 - SPECIALTY CONCESSIONS (VENDING)</v>
      </c>
      <c r="D410" t="str">
        <f>IF(LEFT(TRIM('MSR RAW'!B410),9)="Location:",TRIM(MID('MSR RAW'!B410,10,999)),D409)</f>
        <v>FB 155 - SUB ISLAND NOODLES</v>
      </c>
      <c r="E410" t="str">
        <f>IF(AND(ISNUMBER(SEARCH(" - ",TRIM('MSR RAW'!C410))),RIGHT(TRIM('MSR RAW'!C410),6)="Total:"),LEFT(TRIM('MSR RAW'!C410),SEARCH(" - ",TRIM('MSR RAW'!C410))-1),"")</f>
        <v/>
      </c>
      <c r="F410" t="str">
        <f>IF(E410="","",TRIM(MID(TRIM('MSR RAW'!C410),SEARCH(" - ",TRIM('MSR RAW'!C410))+3,LEN(TRIM('MSR RAW'!C410))-SEARCH(" - ",TRIM('MSR RAW'!C410))-9)))</f>
        <v/>
      </c>
      <c r="G410" t="str">
        <f>IF(E410="","",IFERROR(VLOOKUP(E410,'CATEGORY MAP'!$A$2:$B$20,2,FALSE()),"REVIEW"))</f>
        <v/>
      </c>
      <c r="H410" t="str">
        <f>IF(E410="","",IFERROR(VALUE(SUBSTITUTE('MSR RAW'!P410,",","")),0))</f>
        <v/>
      </c>
      <c r="I410" t="str">
        <f>IF(E410="","",IFERROR(VALUE(SUBSTITUTE('MSR RAW'!S410,",","")),0))</f>
        <v/>
      </c>
    </row>
    <row r="411" spans="1:9" ht="68.650000000000006" customHeight="1" x14ac:dyDescent="0.2">
      <c r="A411">
        <v>411</v>
      </c>
      <c r="B41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11" t="str">
        <f>IF(LEFT(TRIM('MSR RAW'!A411),11)="Department:",TRIM('MSR RAW'!A411),C410)</f>
        <v>Department: 36637 - SPECIALTY CONCESSIONS (VENDING)</v>
      </c>
      <c r="D411" t="str">
        <f>IF(LEFT(TRIM('MSR RAW'!B411),9)="Location:",TRIM(MID('MSR RAW'!B411,10,999)),D410)</f>
        <v>FB 155 - SUB ISLAND NOODLES</v>
      </c>
      <c r="E411" t="str">
        <f>IF(AND(ISNUMBER(SEARCH(" - ",TRIM('MSR RAW'!C411))),RIGHT(TRIM('MSR RAW'!C411),6)="Total:"),LEFT(TRIM('MSR RAW'!C411),SEARCH(" - ",TRIM('MSR RAW'!C411))-1),"")</f>
        <v/>
      </c>
      <c r="F411" t="str">
        <f>IF(E411="","",TRIM(MID(TRIM('MSR RAW'!C411),SEARCH(" - ",TRIM('MSR RAW'!C411))+3,LEN(TRIM('MSR RAW'!C411))-SEARCH(" - ",TRIM('MSR RAW'!C411))-9)))</f>
        <v/>
      </c>
      <c r="G411" t="str">
        <f>IF(E411="","",IFERROR(VLOOKUP(E411,'CATEGORY MAP'!$A$2:$B$20,2,FALSE()),"REVIEW"))</f>
        <v/>
      </c>
      <c r="H411" t="str">
        <f>IF(E411="","",IFERROR(VALUE(SUBSTITUTE('MSR RAW'!P411,",","")),0))</f>
        <v/>
      </c>
      <c r="I411" t="str">
        <f>IF(E411="","",IFERROR(VALUE(SUBSTITUTE('MSR RAW'!S411,",","")),0))</f>
        <v/>
      </c>
    </row>
    <row r="412" spans="1:9" ht="68.650000000000006" customHeight="1" x14ac:dyDescent="0.2">
      <c r="A412">
        <v>412</v>
      </c>
      <c r="B41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12" t="str">
        <f>IF(LEFT(TRIM('MSR RAW'!A412),11)="Department:",TRIM('MSR RAW'!A412),C411)</f>
        <v>Department: 36637 - SPECIALTY CONCESSIONS (VENDING)</v>
      </c>
      <c r="D412" t="str">
        <f>IF(LEFT(TRIM('MSR RAW'!B412),9)="Location:",TRIM(MID('MSR RAW'!B412,10,999)),D411)</f>
        <v>FB 155 - SUB ISLAND NOODLES</v>
      </c>
      <c r="E412" t="str">
        <f>IF(AND(ISNUMBER(SEARCH(" - ",TRIM('MSR RAW'!C412))),RIGHT(TRIM('MSR RAW'!C412),6)="Total:"),LEFT(TRIM('MSR RAW'!C412),SEARCH(" - ",TRIM('MSR RAW'!C412))-1),"")</f>
        <v/>
      </c>
      <c r="F412" t="str">
        <f>IF(E412="","",TRIM(MID(TRIM('MSR RAW'!C412),SEARCH(" - ",TRIM('MSR RAW'!C412))+3,LEN(TRIM('MSR RAW'!C412))-SEARCH(" - ",TRIM('MSR RAW'!C412))-9)))</f>
        <v/>
      </c>
      <c r="G412" t="str">
        <f>IF(E412="","",IFERROR(VLOOKUP(E412,'CATEGORY MAP'!$A$2:$B$20,2,FALSE()),"REVIEW"))</f>
        <v/>
      </c>
      <c r="H412" t="str">
        <f>IF(E412="","",IFERROR(VALUE(SUBSTITUTE('MSR RAW'!P412,",","")),0))</f>
        <v/>
      </c>
      <c r="I412" t="str">
        <f>IF(E412="","",IFERROR(VALUE(SUBSTITUTE('MSR RAW'!S412,",","")),0))</f>
        <v/>
      </c>
    </row>
    <row r="413" spans="1:9" ht="68.650000000000006" customHeight="1" x14ac:dyDescent="0.2">
      <c r="A413">
        <v>413</v>
      </c>
      <c r="B41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13" t="str">
        <f>IF(LEFT(TRIM('MSR RAW'!A413),11)="Department:",TRIM('MSR RAW'!A413),C412)</f>
        <v>Department: 36637 - SPECIALTY CONCESSIONS (VENDING)</v>
      </c>
      <c r="D413" t="str">
        <f>IF(LEFT(TRIM('MSR RAW'!B413),9)="Location:",TRIM(MID('MSR RAW'!B413,10,999)),D412)</f>
        <v>FB 155 - SUB ISLAND NOODLES</v>
      </c>
      <c r="E413" t="str">
        <f>IF(AND(ISNUMBER(SEARCH(" - ",TRIM('MSR RAW'!C413))),RIGHT(TRIM('MSR RAW'!C413),6)="Total:"),LEFT(TRIM('MSR RAW'!C413),SEARCH(" - ",TRIM('MSR RAW'!C413))-1),"")</f>
        <v/>
      </c>
      <c r="F413" t="str">
        <f>IF(E413="","",TRIM(MID(TRIM('MSR RAW'!C413),SEARCH(" - ",TRIM('MSR RAW'!C413))+3,LEN(TRIM('MSR RAW'!C413))-SEARCH(" - ",TRIM('MSR RAW'!C413))-9)))</f>
        <v/>
      </c>
      <c r="G413" t="str">
        <f>IF(E413="","",IFERROR(VLOOKUP(E413,'CATEGORY MAP'!$A$2:$B$20,2,FALSE()),"REVIEW"))</f>
        <v/>
      </c>
      <c r="H413" t="str">
        <f>IF(E413="","",IFERROR(VALUE(SUBSTITUTE('MSR RAW'!P413,",","")),0))</f>
        <v/>
      </c>
      <c r="I413" t="str">
        <f>IF(E413="","",IFERROR(VALUE(SUBSTITUTE('MSR RAW'!S413,",","")),0))</f>
        <v/>
      </c>
    </row>
    <row r="414" spans="1:9" ht="68.650000000000006" customHeight="1" x14ac:dyDescent="0.2">
      <c r="A414">
        <v>414</v>
      </c>
      <c r="B41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14" t="str">
        <f>IF(LEFT(TRIM('MSR RAW'!A414),11)="Department:",TRIM('MSR RAW'!A414),C413)</f>
        <v>Department: 36637 - SPECIALTY CONCESSIONS (VENDING)</v>
      </c>
      <c r="D414" t="str">
        <f>IF(LEFT(TRIM('MSR RAW'!B414),9)="Location:",TRIM(MID('MSR RAW'!B414,10,999)),D413)</f>
        <v>FB 155 - SUB ISLAND NOODLES</v>
      </c>
      <c r="E414" t="str">
        <f>IF(AND(ISNUMBER(SEARCH(" - ",TRIM('MSR RAW'!C414))),RIGHT(TRIM('MSR RAW'!C414),6)="Total:"),LEFT(TRIM('MSR RAW'!C414),SEARCH(" - ",TRIM('MSR RAW'!C414))-1),"")</f>
        <v/>
      </c>
      <c r="F414" t="str">
        <f>IF(E414="","",TRIM(MID(TRIM('MSR RAW'!C414),SEARCH(" - ",TRIM('MSR RAW'!C414))+3,LEN(TRIM('MSR RAW'!C414))-SEARCH(" - ",TRIM('MSR RAW'!C414))-9)))</f>
        <v/>
      </c>
      <c r="G414" t="str">
        <f>IF(E414="","",IFERROR(VLOOKUP(E414,'CATEGORY MAP'!$A$2:$B$20,2,FALSE()),"REVIEW"))</f>
        <v/>
      </c>
      <c r="H414" t="str">
        <f>IF(E414="","",IFERROR(VALUE(SUBSTITUTE('MSR RAW'!P414,",","")),0))</f>
        <v/>
      </c>
      <c r="I414" t="str">
        <f>IF(E414="","",IFERROR(VALUE(SUBSTITUTE('MSR RAW'!S414,",","")),0))</f>
        <v/>
      </c>
    </row>
    <row r="415" spans="1:9" ht="68.650000000000006" customHeight="1" x14ac:dyDescent="0.2">
      <c r="A415">
        <v>415</v>
      </c>
      <c r="B41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15" t="str">
        <f>IF(LEFT(TRIM('MSR RAW'!A415),11)="Department:",TRIM('MSR RAW'!A415),C414)</f>
        <v>Department: 36637 - SPECIALTY CONCESSIONS (VENDING)</v>
      </c>
      <c r="D415" t="str">
        <f>IF(LEFT(TRIM('MSR RAW'!B415),9)="Location:",TRIM(MID('MSR RAW'!B415,10,999)),D414)</f>
        <v>FB 155 - SUB ISLAND NOODLES</v>
      </c>
      <c r="E415" t="str">
        <f>IF(AND(ISNUMBER(SEARCH(" - ",TRIM('MSR RAW'!C415))),RIGHT(TRIM('MSR RAW'!C415),6)="Total:"),LEFT(TRIM('MSR RAW'!C415),SEARCH(" - ",TRIM('MSR RAW'!C415))-1),"")</f>
        <v/>
      </c>
      <c r="F415" t="str">
        <f>IF(E415="","",TRIM(MID(TRIM('MSR RAW'!C415),SEARCH(" - ",TRIM('MSR RAW'!C415))+3,LEN(TRIM('MSR RAW'!C415))-SEARCH(" - ",TRIM('MSR RAW'!C415))-9)))</f>
        <v/>
      </c>
      <c r="G415" t="str">
        <f>IF(E415="","",IFERROR(VLOOKUP(E415,'CATEGORY MAP'!$A$2:$B$20,2,FALSE()),"REVIEW"))</f>
        <v/>
      </c>
      <c r="H415" t="str">
        <f>IF(E415="","",IFERROR(VALUE(SUBSTITUTE('MSR RAW'!P415,",","")),0))</f>
        <v/>
      </c>
      <c r="I415" t="str">
        <f>IF(E415="","",IFERROR(VALUE(SUBSTITUTE('MSR RAW'!S415,",","")),0))</f>
        <v/>
      </c>
    </row>
    <row r="416" spans="1:9" ht="68.650000000000006" customHeight="1" x14ac:dyDescent="0.2">
      <c r="A416">
        <v>416</v>
      </c>
      <c r="B41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16" t="str">
        <f>IF(LEFT(TRIM('MSR RAW'!A416),11)="Department:",TRIM('MSR RAW'!A416),C415)</f>
        <v>Department: 36637 - SPECIALTY CONCESSIONS (VENDING)</v>
      </c>
      <c r="D416" t="str">
        <f>IF(LEFT(TRIM('MSR RAW'!B416),9)="Location:",TRIM(MID('MSR RAW'!B416,10,999)),D415)</f>
        <v>FB 155 - SUB ISLAND NOODLES</v>
      </c>
      <c r="E416" t="str">
        <f>IF(AND(ISNUMBER(SEARCH(" - ",TRIM('MSR RAW'!C416))),RIGHT(TRIM('MSR RAW'!C416),6)="Total:"),LEFT(TRIM('MSR RAW'!C416),SEARCH(" - ",TRIM('MSR RAW'!C416))-1),"")</f>
        <v/>
      </c>
      <c r="F416" t="str">
        <f>IF(E416="","",TRIM(MID(TRIM('MSR RAW'!C416),SEARCH(" - ",TRIM('MSR RAW'!C416))+3,LEN(TRIM('MSR RAW'!C416))-SEARCH(" - ",TRIM('MSR RAW'!C416))-9)))</f>
        <v/>
      </c>
      <c r="G416" t="str">
        <f>IF(E416="","",IFERROR(VLOOKUP(E416,'CATEGORY MAP'!$A$2:$B$20,2,FALSE()),"REVIEW"))</f>
        <v/>
      </c>
      <c r="H416" t="str">
        <f>IF(E416="","",IFERROR(VALUE(SUBSTITUTE('MSR RAW'!P416,",","")),0))</f>
        <v/>
      </c>
      <c r="I416" t="str">
        <f>IF(E416="","",IFERROR(VALUE(SUBSTITUTE('MSR RAW'!S416,",","")),0))</f>
        <v/>
      </c>
    </row>
    <row r="417" spans="1:9" ht="68.650000000000006" customHeight="1" x14ac:dyDescent="0.2">
      <c r="A417">
        <v>417</v>
      </c>
      <c r="B41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17" t="str">
        <f>IF(LEFT(TRIM('MSR RAW'!A417),11)="Department:",TRIM('MSR RAW'!A417),C416)</f>
        <v>Department: 36637 - SPECIALTY CONCESSIONS (VENDING)</v>
      </c>
      <c r="D417" t="str">
        <f>IF(LEFT(TRIM('MSR RAW'!B417),9)="Location:",TRIM(MID('MSR RAW'!B417,10,999)),D416)</f>
        <v>FB 155 - SUB ISLAND NOODLES</v>
      </c>
      <c r="E417" t="str">
        <f>IF(AND(ISNUMBER(SEARCH(" - ",TRIM('MSR RAW'!C417))),RIGHT(TRIM('MSR RAW'!C417),6)="Total:"),LEFT(TRIM('MSR RAW'!C417),SEARCH(" - ",TRIM('MSR RAW'!C417))-1),"")</f>
        <v/>
      </c>
      <c r="F417" t="str">
        <f>IF(E417="","",TRIM(MID(TRIM('MSR RAW'!C417),SEARCH(" - ",TRIM('MSR RAW'!C417))+3,LEN(TRIM('MSR RAW'!C417))-SEARCH(" - ",TRIM('MSR RAW'!C417))-9)))</f>
        <v/>
      </c>
      <c r="G417" t="str">
        <f>IF(E417="","",IFERROR(VLOOKUP(E417,'CATEGORY MAP'!$A$2:$B$20,2,FALSE()),"REVIEW"))</f>
        <v/>
      </c>
      <c r="H417" t="str">
        <f>IF(E417="","",IFERROR(VALUE(SUBSTITUTE('MSR RAW'!P417,",","")),0))</f>
        <v/>
      </c>
      <c r="I417" t="str">
        <f>IF(E417="","",IFERROR(VALUE(SUBSTITUTE('MSR RAW'!S417,",","")),0))</f>
        <v/>
      </c>
    </row>
    <row r="418" spans="1:9" ht="68.650000000000006" customHeight="1" x14ac:dyDescent="0.2">
      <c r="A418">
        <v>418</v>
      </c>
      <c r="B41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18" t="str">
        <f>IF(LEFT(TRIM('MSR RAW'!A418),11)="Department:",TRIM('MSR RAW'!A418),C417)</f>
        <v>Department: 36637 - SPECIALTY CONCESSIONS (VENDING)</v>
      </c>
      <c r="D418" t="str">
        <f>IF(LEFT(TRIM('MSR RAW'!B418),9)="Location:",TRIM(MID('MSR RAW'!B418,10,999)),D417)</f>
        <v>FB 155 - SUB ISLAND NOODLES</v>
      </c>
      <c r="E418" t="str">
        <f>IF(AND(ISNUMBER(SEARCH(" - ",TRIM('MSR RAW'!C418))),RIGHT(TRIM('MSR RAW'!C418),6)="Total:"),LEFT(TRIM('MSR RAW'!C418),SEARCH(" - ",TRIM('MSR RAW'!C418))-1),"")</f>
        <v/>
      </c>
      <c r="F418" t="str">
        <f>IF(E418="","",TRIM(MID(TRIM('MSR RAW'!C418),SEARCH(" - ",TRIM('MSR RAW'!C418))+3,LEN(TRIM('MSR RAW'!C418))-SEARCH(" - ",TRIM('MSR RAW'!C418))-9)))</f>
        <v/>
      </c>
      <c r="G418" t="str">
        <f>IF(E418="","",IFERROR(VLOOKUP(E418,'CATEGORY MAP'!$A$2:$B$20,2,FALSE()),"REVIEW"))</f>
        <v/>
      </c>
      <c r="H418" t="str">
        <f>IF(E418="","",IFERROR(VALUE(SUBSTITUTE('MSR RAW'!P418,",","")),0))</f>
        <v/>
      </c>
      <c r="I418" t="str">
        <f>IF(E418="","",IFERROR(VALUE(SUBSTITUTE('MSR RAW'!S418,",","")),0))</f>
        <v/>
      </c>
    </row>
    <row r="419" spans="1:9" ht="68.650000000000006" customHeight="1" x14ac:dyDescent="0.2">
      <c r="A419">
        <v>419</v>
      </c>
      <c r="B41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19" t="str">
        <f>IF(LEFT(TRIM('MSR RAW'!A419),11)="Department:",TRIM('MSR RAW'!A419),C418)</f>
        <v>Department: 36637 - SPECIALTY CONCESSIONS (VENDING)</v>
      </c>
      <c r="D419" t="str">
        <f>IF(LEFT(TRIM('MSR RAW'!B419),9)="Location:",TRIM(MID('MSR RAW'!B419,10,999)),D418)</f>
        <v>FB 155 - SUB ISLAND NOODLES</v>
      </c>
      <c r="E419" t="str">
        <f>IF(AND(ISNUMBER(SEARCH(" - ",TRIM('MSR RAW'!C419))),RIGHT(TRIM('MSR RAW'!C419),6)="Total:"),LEFT(TRIM('MSR RAW'!C419),SEARCH(" - ",TRIM('MSR RAW'!C419))-1),"")</f>
        <v/>
      </c>
      <c r="F419" t="str">
        <f>IF(E419="","",TRIM(MID(TRIM('MSR RAW'!C419),SEARCH(" - ",TRIM('MSR RAW'!C419))+3,LEN(TRIM('MSR RAW'!C419))-SEARCH(" - ",TRIM('MSR RAW'!C419))-9)))</f>
        <v/>
      </c>
      <c r="G419" t="str">
        <f>IF(E419="","",IFERROR(VLOOKUP(E419,'CATEGORY MAP'!$A$2:$B$20,2,FALSE()),"REVIEW"))</f>
        <v/>
      </c>
      <c r="H419" t="str">
        <f>IF(E419="","",IFERROR(VALUE(SUBSTITUTE('MSR RAW'!P419,",","")),0))</f>
        <v/>
      </c>
      <c r="I419" t="str">
        <f>IF(E419="","",IFERROR(VALUE(SUBSTITUTE('MSR RAW'!S419,",","")),0))</f>
        <v/>
      </c>
    </row>
    <row r="420" spans="1:9" ht="68.650000000000006" customHeight="1" x14ac:dyDescent="0.2">
      <c r="A420">
        <v>420</v>
      </c>
      <c r="B42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20" t="str">
        <f>IF(LEFT(TRIM('MSR RAW'!A420),11)="Department:",TRIM('MSR RAW'!A420),C419)</f>
        <v>Department: 36637 - SPECIALTY CONCESSIONS (VENDING)</v>
      </c>
      <c r="D420" t="str">
        <f>IF(LEFT(TRIM('MSR RAW'!B420),9)="Location:",TRIM(MID('MSR RAW'!B420,10,999)),D419)</f>
        <v>FB 155 - SUB ISLAND NOODLES</v>
      </c>
      <c r="E420" t="str">
        <f>IF(AND(ISNUMBER(SEARCH(" - ",TRIM('MSR RAW'!C420))),RIGHT(TRIM('MSR RAW'!C420),6)="Total:"),LEFT(TRIM('MSR RAW'!C420),SEARCH(" - ",TRIM('MSR RAW'!C420))-1),"")</f>
        <v/>
      </c>
      <c r="F420" t="str">
        <f>IF(E420="","",TRIM(MID(TRIM('MSR RAW'!C420),SEARCH(" - ",TRIM('MSR RAW'!C420))+3,LEN(TRIM('MSR RAW'!C420))-SEARCH(" - ",TRIM('MSR RAW'!C420))-9)))</f>
        <v/>
      </c>
      <c r="G420" t="str">
        <f>IF(E420="","",IFERROR(VLOOKUP(E420,'CATEGORY MAP'!$A$2:$B$20,2,FALSE()),"REVIEW"))</f>
        <v/>
      </c>
      <c r="H420" t="str">
        <f>IF(E420="","",IFERROR(VALUE(SUBSTITUTE('MSR RAW'!P420,",","")),0))</f>
        <v/>
      </c>
      <c r="I420" t="str">
        <f>IF(E420="","",IFERROR(VALUE(SUBSTITUTE('MSR RAW'!S420,",","")),0))</f>
        <v/>
      </c>
    </row>
    <row r="421" spans="1:9" ht="68.650000000000006" customHeight="1" x14ac:dyDescent="0.2">
      <c r="A421">
        <v>421</v>
      </c>
      <c r="B42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21" t="str">
        <f>IF(LEFT(TRIM('MSR RAW'!A421),11)="Department:",TRIM('MSR RAW'!A421),C420)</f>
        <v>Department: 36637 - SPECIALTY CONCESSIONS (VENDING)</v>
      </c>
      <c r="D421" t="str">
        <f>IF(LEFT(TRIM('MSR RAW'!B421),9)="Location:",TRIM(MID('MSR RAW'!B421,10,999)),D420)</f>
        <v>FB 155 - SUB ISLAND NOODLES</v>
      </c>
      <c r="E421" t="str">
        <f>IF(AND(ISNUMBER(SEARCH(" - ",TRIM('MSR RAW'!C421))),RIGHT(TRIM('MSR RAW'!C421),6)="Total:"),LEFT(TRIM('MSR RAW'!C421),SEARCH(" - ",TRIM('MSR RAW'!C421))-1),"")</f>
        <v/>
      </c>
      <c r="F421" t="str">
        <f>IF(E421="","",TRIM(MID(TRIM('MSR RAW'!C421),SEARCH(" - ",TRIM('MSR RAW'!C421))+3,LEN(TRIM('MSR RAW'!C421))-SEARCH(" - ",TRIM('MSR RAW'!C421))-9)))</f>
        <v/>
      </c>
      <c r="G421" t="str">
        <f>IF(E421="","",IFERROR(VLOOKUP(E421,'CATEGORY MAP'!$A$2:$B$20,2,FALSE()),"REVIEW"))</f>
        <v/>
      </c>
      <c r="H421" t="str">
        <f>IF(E421="","",IFERROR(VALUE(SUBSTITUTE('MSR RAW'!P421,",","")),0))</f>
        <v/>
      </c>
      <c r="I421" t="str">
        <f>IF(E421="","",IFERROR(VALUE(SUBSTITUTE('MSR RAW'!S421,",","")),0))</f>
        <v/>
      </c>
    </row>
    <row r="422" spans="1:9" ht="68.650000000000006" customHeight="1" x14ac:dyDescent="0.2">
      <c r="A422">
        <v>422</v>
      </c>
      <c r="B42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22" t="str">
        <f>IF(LEFT(TRIM('MSR RAW'!A422),11)="Department:",TRIM('MSR RAW'!A422),C421)</f>
        <v>Department: 36637 - SPECIALTY CONCESSIONS (VENDING)</v>
      </c>
      <c r="D422" t="str">
        <f>IF(LEFT(TRIM('MSR RAW'!B422),9)="Location:",TRIM(MID('MSR RAW'!B422,10,999)),D421)</f>
        <v>FB 155 - SUB ISLAND NOODLES</v>
      </c>
      <c r="E422" t="str">
        <f>IF(AND(ISNUMBER(SEARCH(" - ",TRIM('MSR RAW'!C422))),RIGHT(TRIM('MSR RAW'!C422),6)="Total:"),LEFT(TRIM('MSR RAW'!C422),SEARCH(" - ",TRIM('MSR RAW'!C422))-1),"")</f>
        <v/>
      </c>
      <c r="F422" t="str">
        <f>IF(E422="","",TRIM(MID(TRIM('MSR RAW'!C422),SEARCH(" - ",TRIM('MSR RAW'!C422))+3,LEN(TRIM('MSR RAW'!C422))-SEARCH(" - ",TRIM('MSR RAW'!C422))-9)))</f>
        <v/>
      </c>
      <c r="G422" t="str">
        <f>IF(E422="","",IFERROR(VLOOKUP(E422,'CATEGORY MAP'!$A$2:$B$20,2,FALSE()),"REVIEW"))</f>
        <v/>
      </c>
      <c r="H422" t="str">
        <f>IF(E422="","",IFERROR(VALUE(SUBSTITUTE('MSR RAW'!P422,",","")),0))</f>
        <v/>
      </c>
      <c r="I422" t="str">
        <f>IF(E422="","",IFERROR(VALUE(SUBSTITUTE('MSR RAW'!S422,",","")),0))</f>
        <v/>
      </c>
    </row>
    <row r="423" spans="1:9" ht="68.650000000000006" customHeight="1" x14ac:dyDescent="0.2">
      <c r="A423">
        <v>423</v>
      </c>
      <c r="B42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23" t="str">
        <f>IF(LEFT(TRIM('MSR RAW'!A423),11)="Department:",TRIM('MSR RAW'!A423),C422)</f>
        <v>Department: 36637 - SPECIALTY CONCESSIONS (VENDING)</v>
      </c>
      <c r="D423" t="str">
        <f>IF(LEFT(TRIM('MSR RAW'!B423),9)="Location:",TRIM(MID('MSR RAW'!B423,10,999)),D422)</f>
        <v>FB 155 - SUB ISLAND NOODLES</v>
      </c>
      <c r="E423" t="str">
        <f>IF(AND(ISNUMBER(SEARCH(" - ",TRIM('MSR RAW'!C423))),RIGHT(TRIM('MSR RAW'!C423),6)="Total:"),LEFT(TRIM('MSR RAW'!C423),SEARCH(" - ",TRIM('MSR RAW'!C423))-1),"")</f>
        <v/>
      </c>
      <c r="F423" t="str">
        <f>IF(E423="","",TRIM(MID(TRIM('MSR RAW'!C423),SEARCH(" - ",TRIM('MSR RAW'!C423))+3,LEN(TRIM('MSR RAW'!C423))-SEARCH(" - ",TRIM('MSR RAW'!C423))-9)))</f>
        <v/>
      </c>
      <c r="G423" t="str">
        <f>IF(E423="","",IFERROR(VLOOKUP(E423,'CATEGORY MAP'!$A$2:$B$20,2,FALSE()),"REVIEW"))</f>
        <v/>
      </c>
      <c r="H423" t="str">
        <f>IF(E423="","",IFERROR(VALUE(SUBSTITUTE('MSR RAW'!P423,",","")),0))</f>
        <v/>
      </c>
      <c r="I423" t="str">
        <f>IF(E423="","",IFERROR(VALUE(SUBSTITUTE('MSR RAW'!S423,",","")),0))</f>
        <v/>
      </c>
    </row>
    <row r="424" spans="1:9" ht="68.650000000000006" customHeight="1" x14ac:dyDescent="0.2">
      <c r="A424">
        <v>424</v>
      </c>
      <c r="B42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24" t="str">
        <f>IF(LEFT(TRIM('MSR RAW'!A424),11)="Department:",TRIM('MSR RAW'!A424),C423)</f>
        <v>Department: 36637 - SPECIALTY CONCESSIONS (VENDING)</v>
      </c>
      <c r="D424" t="str">
        <f>IF(LEFT(TRIM('MSR RAW'!B424),9)="Location:",TRIM(MID('MSR RAW'!B424,10,999)),D423)</f>
        <v>FB 155 - SUB ISLAND NOODLES</v>
      </c>
      <c r="E424" t="str">
        <f>IF(AND(ISNUMBER(SEARCH(" - ",TRIM('MSR RAW'!C424))),RIGHT(TRIM('MSR RAW'!C424),6)="Total:"),LEFT(TRIM('MSR RAW'!C424),SEARCH(" - ",TRIM('MSR RAW'!C424))-1),"")</f>
        <v/>
      </c>
      <c r="F424" t="str">
        <f>IF(E424="","",TRIM(MID(TRIM('MSR RAW'!C424),SEARCH(" - ",TRIM('MSR RAW'!C424))+3,LEN(TRIM('MSR RAW'!C424))-SEARCH(" - ",TRIM('MSR RAW'!C424))-9)))</f>
        <v/>
      </c>
      <c r="G424" t="str">
        <f>IF(E424="","",IFERROR(VLOOKUP(E424,'CATEGORY MAP'!$A$2:$B$20,2,FALSE()),"REVIEW"))</f>
        <v/>
      </c>
      <c r="H424" t="str">
        <f>IF(E424="","",IFERROR(VALUE(SUBSTITUTE('MSR RAW'!P424,",","")),0))</f>
        <v/>
      </c>
      <c r="I424" t="str">
        <f>IF(E424="","",IFERROR(VALUE(SUBSTITUTE('MSR RAW'!S424,",","")),0))</f>
        <v/>
      </c>
    </row>
    <row r="425" spans="1:9" ht="68.650000000000006" customHeight="1" x14ac:dyDescent="0.2">
      <c r="A425">
        <v>425</v>
      </c>
      <c r="B42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25" t="str">
        <f>IF(LEFT(TRIM('MSR RAW'!A425),11)="Department:",TRIM('MSR RAW'!A425),C424)</f>
        <v>Department: 36637 - SPECIALTY CONCESSIONS (VENDING)</v>
      </c>
      <c r="D425" t="str">
        <f>IF(LEFT(TRIM('MSR RAW'!B425),9)="Location:",TRIM(MID('MSR RAW'!B425,10,999)),D424)</f>
        <v>FB 155 - SUB ISLAND NOODLES</v>
      </c>
      <c r="E425" t="str">
        <f>IF(AND(ISNUMBER(SEARCH(" - ",TRIM('MSR RAW'!C425))),RIGHT(TRIM('MSR RAW'!C425),6)="Total:"),LEFT(TRIM('MSR RAW'!C425),SEARCH(" - ",TRIM('MSR RAW'!C425))-1),"")</f>
        <v/>
      </c>
      <c r="F425" t="str">
        <f>IF(E425="","",TRIM(MID(TRIM('MSR RAW'!C425),SEARCH(" - ",TRIM('MSR RAW'!C425))+3,LEN(TRIM('MSR RAW'!C425))-SEARCH(" - ",TRIM('MSR RAW'!C425))-9)))</f>
        <v/>
      </c>
      <c r="G425" t="str">
        <f>IF(E425="","",IFERROR(VLOOKUP(E425,'CATEGORY MAP'!$A$2:$B$20,2,FALSE()),"REVIEW"))</f>
        <v/>
      </c>
      <c r="H425" t="str">
        <f>IF(E425="","",IFERROR(VALUE(SUBSTITUTE('MSR RAW'!P425,",","")),0))</f>
        <v/>
      </c>
      <c r="I425" t="str">
        <f>IF(E425="","",IFERROR(VALUE(SUBSTITUTE('MSR RAW'!S425,",","")),0))</f>
        <v/>
      </c>
    </row>
    <row r="426" spans="1:9" ht="68.650000000000006" customHeight="1" x14ac:dyDescent="0.2">
      <c r="A426">
        <v>426</v>
      </c>
      <c r="B42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26" t="str">
        <f>IF(LEFT(TRIM('MSR RAW'!A426),11)="Department:",TRIM('MSR RAW'!A426),C425)</f>
        <v>Department: 36637 - SPECIALTY CONCESSIONS (VENDING)</v>
      </c>
      <c r="D426" t="str">
        <f>IF(LEFT(TRIM('MSR RAW'!B426),9)="Location:",TRIM(MID('MSR RAW'!B426,10,999)),D425)</f>
        <v>FB 155 - SUB ISLAND NOODLES</v>
      </c>
      <c r="E426" t="str">
        <f>IF(AND(ISNUMBER(SEARCH(" - ",TRIM('MSR RAW'!C426))),RIGHT(TRIM('MSR RAW'!C426),6)="Total:"),LEFT(TRIM('MSR RAW'!C426),SEARCH(" - ",TRIM('MSR RAW'!C426))-1),"")</f>
        <v/>
      </c>
      <c r="F426" t="str">
        <f>IF(E426="","",TRIM(MID(TRIM('MSR RAW'!C426),SEARCH(" - ",TRIM('MSR RAW'!C426))+3,LEN(TRIM('MSR RAW'!C426))-SEARCH(" - ",TRIM('MSR RAW'!C426))-9)))</f>
        <v/>
      </c>
      <c r="G426" t="str">
        <f>IF(E426="","",IFERROR(VLOOKUP(E426,'CATEGORY MAP'!$A$2:$B$20,2,FALSE()),"REVIEW"))</f>
        <v/>
      </c>
      <c r="H426" t="str">
        <f>IF(E426="","",IFERROR(VALUE(SUBSTITUTE('MSR RAW'!P426,",","")),0))</f>
        <v/>
      </c>
      <c r="I426" t="str">
        <f>IF(E426="","",IFERROR(VALUE(SUBSTITUTE('MSR RAW'!S426,",","")),0))</f>
        <v/>
      </c>
    </row>
    <row r="427" spans="1:9" ht="68.650000000000006" customHeight="1" x14ac:dyDescent="0.2">
      <c r="A427">
        <v>427</v>
      </c>
      <c r="B42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27" t="str">
        <f>IF(LEFT(TRIM('MSR RAW'!A427),11)="Department:",TRIM('MSR RAW'!A427),C426)</f>
        <v>Department: 36637 - SPECIALTY CONCESSIONS (VENDING)</v>
      </c>
      <c r="D427" t="str">
        <f>IF(LEFT(TRIM('MSR RAW'!B427),9)="Location:",TRIM(MID('MSR RAW'!B427,10,999)),D426)</f>
        <v>FB 155 - SUB ISLAND NOODLES</v>
      </c>
      <c r="E427" t="str">
        <f>IF(AND(ISNUMBER(SEARCH(" - ",TRIM('MSR RAW'!C427))),RIGHT(TRIM('MSR RAW'!C427),6)="Total:"),LEFT(TRIM('MSR RAW'!C427),SEARCH(" - ",TRIM('MSR RAW'!C427))-1),"")</f>
        <v/>
      </c>
      <c r="F427" t="str">
        <f>IF(E427="","",TRIM(MID(TRIM('MSR RAW'!C427),SEARCH(" - ",TRIM('MSR RAW'!C427))+3,LEN(TRIM('MSR RAW'!C427))-SEARCH(" - ",TRIM('MSR RAW'!C427))-9)))</f>
        <v/>
      </c>
      <c r="G427" t="str">
        <f>IF(E427="","",IFERROR(VLOOKUP(E427,'CATEGORY MAP'!$A$2:$B$20,2,FALSE()),"REVIEW"))</f>
        <v/>
      </c>
      <c r="H427" t="str">
        <f>IF(E427="","",IFERROR(VALUE(SUBSTITUTE('MSR RAW'!P427,",","")),0))</f>
        <v/>
      </c>
      <c r="I427" t="str">
        <f>IF(E427="","",IFERROR(VALUE(SUBSTITUTE('MSR RAW'!S427,",","")),0))</f>
        <v/>
      </c>
    </row>
    <row r="428" spans="1:9" ht="68.650000000000006" customHeight="1" x14ac:dyDescent="0.2">
      <c r="A428">
        <v>428</v>
      </c>
      <c r="B42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28" t="str">
        <f>IF(LEFT(TRIM('MSR RAW'!A428),11)="Department:",TRIM('MSR RAW'!A428),C427)</f>
        <v>Department: 36637 - SPECIALTY CONCESSIONS (VENDING)</v>
      </c>
      <c r="D428" t="str">
        <f>IF(LEFT(TRIM('MSR RAW'!B428),9)="Location:",TRIM(MID('MSR RAW'!B428,10,999)),D427)</f>
        <v>FB 155 - SUB ISLAND NOODLES</v>
      </c>
      <c r="E428" t="str">
        <f>IF(AND(ISNUMBER(SEARCH(" - ",TRIM('MSR RAW'!C428))),RIGHT(TRIM('MSR RAW'!C428),6)="Total:"),LEFT(TRIM('MSR RAW'!C428),SEARCH(" - ",TRIM('MSR RAW'!C428))-1),"")</f>
        <v/>
      </c>
      <c r="F428" t="str">
        <f>IF(E428="","",TRIM(MID(TRIM('MSR RAW'!C428),SEARCH(" - ",TRIM('MSR RAW'!C428))+3,LEN(TRIM('MSR RAW'!C428))-SEARCH(" - ",TRIM('MSR RAW'!C428))-9)))</f>
        <v/>
      </c>
      <c r="G428" t="str">
        <f>IF(E428="","",IFERROR(VLOOKUP(E428,'CATEGORY MAP'!$A$2:$B$20,2,FALSE()),"REVIEW"))</f>
        <v/>
      </c>
      <c r="H428" t="str">
        <f>IF(E428="","",IFERROR(VALUE(SUBSTITUTE('MSR RAW'!P428,",","")),0))</f>
        <v/>
      </c>
      <c r="I428" t="str">
        <f>IF(E428="","",IFERROR(VALUE(SUBSTITUTE('MSR RAW'!S428,",","")),0))</f>
        <v/>
      </c>
    </row>
    <row r="429" spans="1:9" ht="68.650000000000006" customHeight="1" x14ac:dyDescent="0.2">
      <c r="A429">
        <v>429</v>
      </c>
      <c r="B42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29" t="str">
        <f>IF(LEFT(TRIM('MSR RAW'!A429),11)="Department:",TRIM('MSR RAW'!A429),C428)</f>
        <v>Department: 36637 - SPECIALTY CONCESSIONS (VENDING)</v>
      </c>
      <c r="D429" t="str">
        <f>IF(LEFT(TRIM('MSR RAW'!B429),9)="Location:",TRIM(MID('MSR RAW'!B429,10,999)),D428)</f>
        <v>FB 155 - SUB ISLAND NOODLES</v>
      </c>
      <c r="E429" t="str">
        <f>IF(AND(ISNUMBER(SEARCH(" - ",TRIM('MSR RAW'!C429))),RIGHT(TRIM('MSR RAW'!C429),6)="Total:"),LEFT(TRIM('MSR RAW'!C429),SEARCH(" - ",TRIM('MSR RAW'!C429))-1),"")</f>
        <v/>
      </c>
      <c r="F429" t="str">
        <f>IF(E429="","",TRIM(MID(TRIM('MSR RAW'!C429),SEARCH(" - ",TRIM('MSR RAW'!C429))+3,LEN(TRIM('MSR RAW'!C429))-SEARCH(" - ",TRIM('MSR RAW'!C429))-9)))</f>
        <v/>
      </c>
      <c r="G429" t="str">
        <f>IF(E429="","",IFERROR(VLOOKUP(E429,'CATEGORY MAP'!$A$2:$B$20,2,FALSE()),"REVIEW"))</f>
        <v/>
      </c>
      <c r="H429" t="str">
        <f>IF(E429="","",IFERROR(VALUE(SUBSTITUTE('MSR RAW'!P429,",","")),0))</f>
        <v/>
      </c>
      <c r="I429" t="str">
        <f>IF(E429="","",IFERROR(VALUE(SUBSTITUTE('MSR RAW'!S429,",","")),0))</f>
        <v/>
      </c>
    </row>
    <row r="430" spans="1:9" ht="68.650000000000006" customHeight="1" x14ac:dyDescent="0.2">
      <c r="A430">
        <v>430</v>
      </c>
      <c r="B43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30" t="str">
        <f>IF(LEFT(TRIM('MSR RAW'!A430),11)="Department:",TRIM('MSR RAW'!A430),C429)</f>
        <v>Department: 36637 - SPECIALTY CONCESSIONS (VENDING)</v>
      </c>
      <c r="D430" t="str">
        <f>IF(LEFT(TRIM('MSR RAW'!B430),9)="Location:",TRIM(MID('MSR RAW'!B430,10,999)),D429)</f>
        <v>FB 155 - SUB ISLAND NOODLES</v>
      </c>
      <c r="E430" t="str">
        <f>IF(AND(ISNUMBER(SEARCH(" - ",TRIM('MSR RAW'!C430))),RIGHT(TRIM('MSR RAW'!C430),6)="Total:"),LEFT(TRIM('MSR RAW'!C430),SEARCH(" - ",TRIM('MSR RAW'!C430))-1),"")</f>
        <v/>
      </c>
      <c r="F430" t="str">
        <f>IF(E430="","",TRIM(MID(TRIM('MSR RAW'!C430),SEARCH(" - ",TRIM('MSR RAW'!C430))+3,LEN(TRIM('MSR RAW'!C430))-SEARCH(" - ",TRIM('MSR RAW'!C430))-9)))</f>
        <v/>
      </c>
      <c r="G430" t="str">
        <f>IF(E430="","",IFERROR(VLOOKUP(E430,'CATEGORY MAP'!$A$2:$B$20,2,FALSE()),"REVIEW"))</f>
        <v/>
      </c>
      <c r="H430" t="str">
        <f>IF(E430="","",IFERROR(VALUE(SUBSTITUTE('MSR RAW'!P430,",","")),0))</f>
        <v/>
      </c>
      <c r="I430" t="str">
        <f>IF(E430="","",IFERROR(VALUE(SUBSTITUTE('MSR RAW'!S430,",","")),0))</f>
        <v/>
      </c>
    </row>
    <row r="431" spans="1:9" ht="68.650000000000006" customHeight="1" x14ac:dyDescent="0.2">
      <c r="A431">
        <v>431</v>
      </c>
      <c r="B43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31" t="str">
        <f>IF(LEFT(TRIM('MSR RAW'!A431),11)="Department:",TRIM('MSR RAW'!A431),C430)</f>
        <v>Department: 36637 - SPECIALTY CONCESSIONS (VENDING)</v>
      </c>
      <c r="D431" t="str">
        <f>IF(LEFT(TRIM('MSR RAW'!B431),9)="Location:",TRIM(MID('MSR RAW'!B431,10,999)),D430)</f>
        <v>FB 155 - SUB ISLAND NOODLES</v>
      </c>
      <c r="E431" t="str">
        <f>IF(AND(ISNUMBER(SEARCH(" - ",TRIM('MSR RAW'!C431))),RIGHT(TRIM('MSR RAW'!C431),6)="Total:"),LEFT(TRIM('MSR RAW'!C431),SEARCH(" - ",TRIM('MSR RAW'!C431))-1),"")</f>
        <v/>
      </c>
      <c r="F431" t="str">
        <f>IF(E431="","",TRIM(MID(TRIM('MSR RAW'!C431),SEARCH(" - ",TRIM('MSR RAW'!C431))+3,LEN(TRIM('MSR RAW'!C431))-SEARCH(" - ",TRIM('MSR RAW'!C431))-9)))</f>
        <v/>
      </c>
      <c r="G431" t="str">
        <f>IF(E431="","",IFERROR(VLOOKUP(E431,'CATEGORY MAP'!$A$2:$B$20,2,FALSE()),"REVIEW"))</f>
        <v/>
      </c>
      <c r="H431" t="str">
        <f>IF(E431="","",IFERROR(VALUE(SUBSTITUTE('MSR RAW'!P431,",","")),0))</f>
        <v/>
      </c>
      <c r="I431" t="str">
        <f>IF(E431="","",IFERROR(VALUE(SUBSTITUTE('MSR RAW'!S431,",","")),0))</f>
        <v/>
      </c>
    </row>
    <row r="432" spans="1:9" ht="68.650000000000006" customHeight="1" x14ac:dyDescent="0.2">
      <c r="A432">
        <v>432</v>
      </c>
      <c r="B43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32" t="str">
        <f>IF(LEFT(TRIM('MSR RAW'!A432),11)="Department:",TRIM('MSR RAW'!A432),C431)</f>
        <v>Department: 36637 - SPECIALTY CONCESSIONS (VENDING)</v>
      </c>
      <c r="D432" t="str">
        <f>IF(LEFT(TRIM('MSR RAW'!B432),9)="Location:",TRIM(MID('MSR RAW'!B432,10,999)),D431)</f>
        <v>FB 155 - SUB ISLAND NOODLES</v>
      </c>
      <c r="E432" t="str">
        <f>IF(AND(ISNUMBER(SEARCH(" - ",TRIM('MSR RAW'!C432))),RIGHT(TRIM('MSR RAW'!C432),6)="Total:"),LEFT(TRIM('MSR RAW'!C432),SEARCH(" - ",TRIM('MSR RAW'!C432))-1),"")</f>
        <v/>
      </c>
      <c r="F432" t="str">
        <f>IF(E432="","",TRIM(MID(TRIM('MSR RAW'!C432),SEARCH(" - ",TRIM('MSR RAW'!C432))+3,LEN(TRIM('MSR RAW'!C432))-SEARCH(" - ",TRIM('MSR RAW'!C432))-9)))</f>
        <v/>
      </c>
      <c r="G432" t="str">
        <f>IF(E432="","",IFERROR(VLOOKUP(E432,'CATEGORY MAP'!$A$2:$B$20,2,FALSE()),"REVIEW"))</f>
        <v/>
      </c>
      <c r="H432" t="str">
        <f>IF(E432="","",IFERROR(VALUE(SUBSTITUTE('MSR RAW'!P432,",","")),0))</f>
        <v/>
      </c>
      <c r="I432" t="str">
        <f>IF(E432="","",IFERROR(VALUE(SUBSTITUTE('MSR RAW'!S432,",","")),0))</f>
        <v/>
      </c>
    </row>
    <row r="433" spans="1:9" ht="68.650000000000006" customHeight="1" x14ac:dyDescent="0.2">
      <c r="A433">
        <v>433</v>
      </c>
      <c r="B43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33" t="str">
        <f>IF(LEFT(TRIM('MSR RAW'!A433),11)="Department:",TRIM('MSR RAW'!A433),C432)</f>
        <v>Department: 36637 - SPECIALTY CONCESSIONS (VENDING)</v>
      </c>
      <c r="D433" t="str">
        <f>IF(LEFT(TRIM('MSR RAW'!B433),9)="Location:",TRIM(MID('MSR RAW'!B433,10,999)),D432)</f>
        <v>FB 155 - SUB ISLAND NOODLES</v>
      </c>
      <c r="E433" t="str">
        <f>IF(AND(ISNUMBER(SEARCH(" - ",TRIM('MSR RAW'!C433))),RIGHT(TRIM('MSR RAW'!C433),6)="Total:"),LEFT(TRIM('MSR RAW'!C433),SEARCH(" - ",TRIM('MSR RAW'!C433))-1),"")</f>
        <v/>
      </c>
      <c r="F433" t="str">
        <f>IF(E433="","",TRIM(MID(TRIM('MSR RAW'!C433),SEARCH(" - ",TRIM('MSR RAW'!C433))+3,LEN(TRIM('MSR RAW'!C433))-SEARCH(" - ",TRIM('MSR RAW'!C433))-9)))</f>
        <v/>
      </c>
      <c r="G433" t="str">
        <f>IF(E433="","",IFERROR(VLOOKUP(E433,'CATEGORY MAP'!$A$2:$B$20,2,FALSE()),"REVIEW"))</f>
        <v/>
      </c>
      <c r="H433" t="str">
        <f>IF(E433="","",IFERROR(VALUE(SUBSTITUTE('MSR RAW'!P433,",","")),0))</f>
        <v/>
      </c>
      <c r="I433" t="str">
        <f>IF(E433="","",IFERROR(VALUE(SUBSTITUTE('MSR RAW'!S433,",","")),0))</f>
        <v/>
      </c>
    </row>
    <row r="434" spans="1:9" ht="68.650000000000006" customHeight="1" x14ac:dyDescent="0.2">
      <c r="A434">
        <v>434</v>
      </c>
      <c r="B43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34" t="str">
        <f>IF(LEFT(TRIM('MSR RAW'!A434),11)="Department:",TRIM('MSR RAW'!A434),C433)</f>
        <v>Department: 36637 - SPECIALTY CONCESSIONS (VENDING)</v>
      </c>
      <c r="D434" t="str">
        <f>IF(LEFT(TRIM('MSR RAW'!B434),9)="Location:",TRIM(MID('MSR RAW'!B434,10,999)),D433)</f>
        <v>FB 155 - SUB ISLAND NOODLES</v>
      </c>
      <c r="E434" t="str">
        <f>IF(AND(ISNUMBER(SEARCH(" - ",TRIM('MSR RAW'!C434))),RIGHT(TRIM('MSR RAW'!C434),6)="Total:"),LEFT(TRIM('MSR RAW'!C434),SEARCH(" - ",TRIM('MSR RAW'!C434))-1),"")</f>
        <v/>
      </c>
      <c r="F434" t="str">
        <f>IF(E434="","",TRIM(MID(TRIM('MSR RAW'!C434),SEARCH(" - ",TRIM('MSR RAW'!C434))+3,LEN(TRIM('MSR RAW'!C434))-SEARCH(" - ",TRIM('MSR RAW'!C434))-9)))</f>
        <v/>
      </c>
      <c r="G434" t="str">
        <f>IF(E434="","",IFERROR(VLOOKUP(E434,'CATEGORY MAP'!$A$2:$B$20,2,FALSE()),"REVIEW"))</f>
        <v/>
      </c>
      <c r="H434" t="str">
        <f>IF(E434="","",IFERROR(VALUE(SUBSTITUTE('MSR RAW'!P434,",","")),0))</f>
        <v/>
      </c>
      <c r="I434" t="str">
        <f>IF(E434="","",IFERROR(VALUE(SUBSTITUTE('MSR RAW'!S434,",","")),0))</f>
        <v/>
      </c>
    </row>
    <row r="435" spans="1:9" ht="68.650000000000006" customHeight="1" x14ac:dyDescent="0.2">
      <c r="A435">
        <v>435</v>
      </c>
      <c r="B43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35" t="str">
        <f>IF(LEFT(TRIM('MSR RAW'!A435),11)="Department:",TRIM('MSR RAW'!A435),C434)</f>
        <v>Department: 36637 - SPECIALTY CONCESSIONS (VENDING)</v>
      </c>
      <c r="D435" t="str">
        <f>IF(LEFT(TRIM('MSR RAW'!B435),9)="Location:",TRIM(MID('MSR RAW'!B435,10,999)),D434)</f>
        <v>FB 155 - SUB ISLAND NOODLES</v>
      </c>
      <c r="E435" t="str">
        <f>IF(AND(ISNUMBER(SEARCH(" - ",TRIM('MSR RAW'!C435))),RIGHT(TRIM('MSR RAW'!C435),6)="Total:"),LEFT(TRIM('MSR RAW'!C435),SEARCH(" - ",TRIM('MSR RAW'!C435))-1),"")</f>
        <v/>
      </c>
      <c r="F435" t="str">
        <f>IF(E435="","",TRIM(MID(TRIM('MSR RAW'!C435),SEARCH(" - ",TRIM('MSR RAW'!C435))+3,LEN(TRIM('MSR RAW'!C435))-SEARCH(" - ",TRIM('MSR RAW'!C435))-9)))</f>
        <v/>
      </c>
      <c r="G435" t="str">
        <f>IF(E435="","",IFERROR(VLOOKUP(E435,'CATEGORY MAP'!$A$2:$B$20,2,FALSE()),"REVIEW"))</f>
        <v/>
      </c>
      <c r="H435" t="str">
        <f>IF(E435="","",IFERROR(VALUE(SUBSTITUTE('MSR RAW'!P435,",","")),0))</f>
        <v/>
      </c>
      <c r="I435" t="str">
        <f>IF(E435="","",IFERROR(VALUE(SUBSTITUTE('MSR RAW'!S435,",","")),0))</f>
        <v/>
      </c>
    </row>
    <row r="436" spans="1:9" ht="68.650000000000006" customHeight="1" x14ac:dyDescent="0.2">
      <c r="A436">
        <v>436</v>
      </c>
      <c r="B43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36" t="str">
        <f>IF(LEFT(TRIM('MSR RAW'!A436),11)="Department:",TRIM('MSR RAW'!A436),C435)</f>
        <v>Department: 36637 - SPECIALTY CONCESSIONS (VENDING)</v>
      </c>
      <c r="D436" t="str">
        <f>IF(LEFT(TRIM('MSR RAW'!B436),9)="Location:",TRIM(MID('MSR RAW'!B436,10,999)),D435)</f>
        <v>FB 155 - SUB ISLAND NOODLES</v>
      </c>
      <c r="E436" t="str">
        <f>IF(AND(ISNUMBER(SEARCH(" - ",TRIM('MSR RAW'!C436))),RIGHT(TRIM('MSR RAW'!C436),6)="Total:"),LEFT(TRIM('MSR RAW'!C436),SEARCH(" - ",TRIM('MSR RAW'!C436))-1),"")</f>
        <v/>
      </c>
      <c r="F436" t="str">
        <f>IF(E436="","",TRIM(MID(TRIM('MSR RAW'!C436),SEARCH(" - ",TRIM('MSR RAW'!C436))+3,LEN(TRIM('MSR RAW'!C436))-SEARCH(" - ",TRIM('MSR RAW'!C436))-9)))</f>
        <v/>
      </c>
      <c r="G436" t="str">
        <f>IF(E436="","",IFERROR(VLOOKUP(E436,'CATEGORY MAP'!$A$2:$B$20,2,FALSE()),"REVIEW"))</f>
        <v/>
      </c>
      <c r="H436" t="str">
        <f>IF(E436="","",IFERROR(VALUE(SUBSTITUTE('MSR RAW'!P436,",","")),0))</f>
        <v/>
      </c>
      <c r="I436" t="str">
        <f>IF(E436="","",IFERROR(VALUE(SUBSTITUTE('MSR RAW'!S436,",","")),0))</f>
        <v/>
      </c>
    </row>
    <row r="437" spans="1:9" ht="68.650000000000006" customHeight="1" x14ac:dyDescent="0.2">
      <c r="A437">
        <v>437</v>
      </c>
      <c r="B43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37" t="str">
        <f>IF(LEFT(TRIM('MSR RAW'!A437),11)="Department:",TRIM('MSR RAW'!A437),C436)</f>
        <v>Department: 36637 - SPECIALTY CONCESSIONS (VENDING)</v>
      </c>
      <c r="D437" t="str">
        <f>IF(LEFT(TRIM('MSR RAW'!B437),9)="Location:",TRIM(MID('MSR RAW'!B437,10,999)),D436)</f>
        <v>FB 155 - SUB ISLAND NOODLES</v>
      </c>
      <c r="E437" t="str">
        <f>IF(AND(ISNUMBER(SEARCH(" - ",TRIM('MSR RAW'!C437))),RIGHT(TRIM('MSR RAW'!C437),6)="Total:"),LEFT(TRIM('MSR RAW'!C437),SEARCH(" - ",TRIM('MSR RAW'!C437))-1),"")</f>
        <v/>
      </c>
      <c r="F437" t="str">
        <f>IF(E437="","",TRIM(MID(TRIM('MSR RAW'!C437),SEARCH(" - ",TRIM('MSR RAW'!C437))+3,LEN(TRIM('MSR RAW'!C437))-SEARCH(" - ",TRIM('MSR RAW'!C437))-9)))</f>
        <v/>
      </c>
      <c r="G437" t="str">
        <f>IF(E437="","",IFERROR(VLOOKUP(E437,'CATEGORY MAP'!$A$2:$B$20,2,FALSE()),"REVIEW"))</f>
        <v/>
      </c>
      <c r="H437" t="str">
        <f>IF(E437="","",IFERROR(VALUE(SUBSTITUTE('MSR RAW'!P437,",","")),0))</f>
        <v/>
      </c>
      <c r="I437" t="str">
        <f>IF(E437="","",IFERROR(VALUE(SUBSTITUTE('MSR RAW'!S437,",","")),0))</f>
        <v/>
      </c>
    </row>
    <row r="438" spans="1:9" ht="68.650000000000006" customHeight="1" x14ac:dyDescent="0.2">
      <c r="A438">
        <v>438</v>
      </c>
      <c r="B43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38" t="str">
        <f>IF(LEFT(TRIM('MSR RAW'!A438),11)="Department:",TRIM('MSR RAW'!A438),C437)</f>
        <v>Department: 36637 - SPECIALTY CONCESSIONS (VENDING)</v>
      </c>
      <c r="D438" t="str">
        <f>IF(LEFT(TRIM('MSR RAW'!B438),9)="Location:",TRIM(MID('MSR RAW'!B438,10,999)),D437)</f>
        <v>FB 155 - SUB ISLAND NOODLES</v>
      </c>
      <c r="E438" t="str">
        <f>IF(AND(ISNUMBER(SEARCH(" - ",TRIM('MSR RAW'!C438))),RIGHT(TRIM('MSR RAW'!C438),6)="Total:"),LEFT(TRIM('MSR RAW'!C438),SEARCH(" - ",TRIM('MSR RAW'!C438))-1),"")</f>
        <v/>
      </c>
      <c r="F438" t="str">
        <f>IF(E438="","",TRIM(MID(TRIM('MSR RAW'!C438),SEARCH(" - ",TRIM('MSR RAW'!C438))+3,LEN(TRIM('MSR RAW'!C438))-SEARCH(" - ",TRIM('MSR RAW'!C438))-9)))</f>
        <v/>
      </c>
      <c r="G438" t="str">
        <f>IF(E438="","",IFERROR(VLOOKUP(E438,'CATEGORY MAP'!$A$2:$B$20,2,FALSE()),"REVIEW"))</f>
        <v/>
      </c>
      <c r="H438" t="str">
        <f>IF(E438="","",IFERROR(VALUE(SUBSTITUTE('MSR RAW'!P438,",","")),0))</f>
        <v/>
      </c>
      <c r="I438" t="str">
        <f>IF(E438="","",IFERROR(VALUE(SUBSTITUTE('MSR RAW'!S438,",","")),0))</f>
        <v/>
      </c>
    </row>
    <row r="439" spans="1:9" ht="68.650000000000006" customHeight="1" x14ac:dyDescent="0.2">
      <c r="A439">
        <v>439</v>
      </c>
      <c r="B43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39" t="str">
        <f>IF(LEFT(TRIM('MSR RAW'!A439),11)="Department:",TRIM('MSR RAW'!A439),C438)</f>
        <v>Department: 36637 - SPECIALTY CONCESSIONS (VENDING)</v>
      </c>
      <c r="D439" t="str">
        <f>IF(LEFT(TRIM('MSR RAW'!B439),9)="Location:",TRIM(MID('MSR RAW'!B439,10,999)),D438)</f>
        <v>FB 155 - SUB ISLAND NOODLES</v>
      </c>
      <c r="E439" t="str">
        <f>IF(AND(ISNUMBER(SEARCH(" - ",TRIM('MSR RAW'!C439))),RIGHT(TRIM('MSR RAW'!C439),6)="Total:"),LEFT(TRIM('MSR RAW'!C439),SEARCH(" - ",TRIM('MSR RAW'!C439))-1),"")</f>
        <v/>
      </c>
      <c r="F439" t="str">
        <f>IF(E439="","",TRIM(MID(TRIM('MSR RAW'!C439),SEARCH(" - ",TRIM('MSR RAW'!C439))+3,LEN(TRIM('MSR RAW'!C439))-SEARCH(" - ",TRIM('MSR RAW'!C439))-9)))</f>
        <v/>
      </c>
      <c r="G439" t="str">
        <f>IF(E439="","",IFERROR(VLOOKUP(E439,'CATEGORY MAP'!$A$2:$B$20,2,FALSE()),"REVIEW"))</f>
        <v/>
      </c>
      <c r="H439" t="str">
        <f>IF(E439="","",IFERROR(VALUE(SUBSTITUTE('MSR RAW'!P439,",","")),0))</f>
        <v/>
      </c>
      <c r="I439" t="str">
        <f>IF(E439="","",IFERROR(VALUE(SUBSTITUTE('MSR RAW'!S439,",","")),0))</f>
        <v/>
      </c>
    </row>
    <row r="440" spans="1:9" ht="68.650000000000006" customHeight="1" x14ac:dyDescent="0.2">
      <c r="A440">
        <v>440</v>
      </c>
      <c r="B44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40" t="str">
        <f>IF(LEFT(TRIM('MSR RAW'!A440),11)="Department:",TRIM('MSR RAW'!A440),C439)</f>
        <v>Department: 36637 - SPECIALTY CONCESSIONS (VENDING)</v>
      </c>
      <c r="D440" t="str">
        <f>IF(LEFT(TRIM('MSR RAW'!B440),9)="Location:",TRIM(MID('MSR RAW'!B440,10,999)),D439)</f>
        <v>FB 155 - SUB ISLAND NOODLES</v>
      </c>
      <c r="E440" t="str">
        <f>IF(AND(ISNUMBER(SEARCH(" - ",TRIM('MSR RAW'!C440))),RIGHT(TRIM('MSR RAW'!C440),6)="Total:"),LEFT(TRIM('MSR RAW'!C440),SEARCH(" - ",TRIM('MSR RAW'!C440))-1),"")</f>
        <v/>
      </c>
      <c r="F440" t="str">
        <f>IF(E440="","",TRIM(MID(TRIM('MSR RAW'!C440),SEARCH(" - ",TRIM('MSR RAW'!C440))+3,LEN(TRIM('MSR RAW'!C440))-SEARCH(" - ",TRIM('MSR RAW'!C440))-9)))</f>
        <v/>
      </c>
      <c r="G440" t="str">
        <f>IF(E440="","",IFERROR(VLOOKUP(E440,'CATEGORY MAP'!$A$2:$B$20,2,FALSE()),"REVIEW"))</f>
        <v/>
      </c>
      <c r="H440" t="str">
        <f>IF(E440="","",IFERROR(VALUE(SUBSTITUTE('MSR RAW'!P440,",","")),0))</f>
        <v/>
      </c>
      <c r="I440" t="str">
        <f>IF(E440="","",IFERROR(VALUE(SUBSTITUTE('MSR RAW'!S440,",","")),0))</f>
        <v/>
      </c>
    </row>
    <row r="441" spans="1:9" ht="68.650000000000006" customHeight="1" x14ac:dyDescent="0.2">
      <c r="A441">
        <v>441</v>
      </c>
      <c r="B44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41" t="str">
        <f>IF(LEFT(TRIM('MSR RAW'!A441),11)="Department:",TRIM('MSR RAW'!A441),C440)</f>
        <v>Department: 36637 - SPECIALTY CONCESSIONS (VENDING)</v>
      </c>
      <c r="D441" t="str">
        <f>IF(LEFT(TRIM('MSR RAW'!B441),9)="Location:",TRIM(MID('MSR RAW'!B441,10,999)),D440)</f>
        <v>FB 155 - SUB ISLAND NOODLES</v>
      </c>
      <c r="E441" t="str">
        <f>IF(AND(ISNUMBER(SEARCH(" - ",TRIM('MSR RAW'!C441))),RIGHT(TRIM('MSR RAW'!C441),6)="Total:"),LEFT(TRIM('MSR RAW'!C441),SEARCH(" - ",TRIM('MSR RAW'!C441))-1),"")</f>
        <v/>
      </c>
      <c r="F441" t="str">
        <f>IF(E441="","",TRIM(MID(TRIM('MSR RAW'!C441),SEARCH(" - ",TRIM('MSR RAW'!C441))+3,LEN(TRIM('MSR RAW'!C441))-SEARCH(" - ",TRIM('MSR RAW'!C441))-9)))</f>
        <v/>
      </c>
      <c r="G441" t="str">
        <f>IF(E441="","",IFERROR(VLOOKUP(E441,'CATEGORY MAP'!$A$2:$B$20,2,FALSE()),"REVIEW"))</f>
        <v/>
      </c>
      <c r="H441" t="str">
        <f>IF(E441="","",IFERROR(VALUE(SUBSTITUTE('MSR RAW'!P441,",","")),0))</f>
        <v/>
      </c>
      <c r="I441" t="str">
        <f>IF(E441="","",IFERROR(VALUE(SUBSTITUTE('MSR RAW'!S441,",","")),0))</f>
        <v/>
      </c>
    </row>
    <row r="442" spans="1:9" ht="68.650000000000006" customHeight="1" x14ac:dyDescent="0.2">
      <c r="A442">
        <v>442</v>
      </c>
      <c r="B44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42" t="str">
        <f>IF(LEFT(TRIM('MSR RAW'!A442),11)="Department:",TRIM('MSR RAW'!A442),C441)</f>
        <v>Department: 36637 - SPECIALTY CONCESSIONS (VENDING)</v>
      </c>
      <c r="D442" t="str">
        <f>IF(LEFT(TRIM('MSR RAW'!B442),9)="Location:",TRIM(MID('MSR RAW'!B442,10,999)),D441)</f>
        <v>FB 155 - SUB ISLAND NOODLES</v>
      </c>
      <c r="E442" t="str">
        <f>IF(AND(ISNUMBER(SEARCH(" - ",TRIM('MSR RAW'!C442))),RIGHT(TRIM('MSR RAW'!C442),6)="Total:"),LEFT(TRIM('MSR RAW'!C442),SEARCH(" - ",TRIM('MSR RAW'!C442))-1),"")</f>
        <v/>
      </c>
      <c r="F442" t="str">
        <f>IF(E442="","",TRIM(MID(TRIM('MSR RAW'!C442),SEARCH(" - ",TRIM('MSR RAW'!C442))+3,LEN(TRIM('MSR RAW'!C442))-SEARCH(" - ",TRIM('MSR RAW'!C442))-9)))</f>
        <v/>
      </c>
      <c r="G442" t="str">
        <f>IF(E442="","",IFERROR(VLOOKUP(E442,'CATEGORY MAP'!$A$2:$B$20,2,FALSE()),"REVIEW"))</f>
        <v/>
      </c>
      <c r="H442" t="str">
        <f>IF(E442="","",IFERROR(VALUE(SUBSTITUTE('MSR RAW'!P442,",","")),0))</f>
        <v/>
      </c>
      <c r="I442" t="str">
        <f>IF(E442="","",IFERROR(VALUE(SUBSTITUTE('MSR RAW'!S442,",","")),0))</f>
        <v/>
      </c>
    </row>
    <row r="443" spans="1:9" ht="68.650000000000006" customHeight="1" x14ac:dyDescent="0.2">
      <c r="A443">
        <v>443</v>
      </c>
      <c r="B44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43" t="str">
        <f>IF(LEFT(TRIM('MSR RAW'!A443),11)="Department:",TRIM('MSR RAW'!A443),C442)</f>
        <v>Department: 36637 - SPECIALTY CONCESSIONS (VENDING)</v>
      </c>
      <c r="D443" t="str">
        <f>IF(LEFT(TRIM('MSR RAW'!B443),9)="Location:",TRIM(MID('MSR RAW'!B443,10,999)),D442)</f>
        <v>FB 155 - SUB ISLAND NOODLES</v>
      </c>
      <c r="E443" t="str">
        <f>IF(AND(ISNUMBER(SEARCH(" - ",TRIM('MSR RAW'!C443))),RIGHT(TRIM('MSR RAW'!C443),6)="Total:"),LEFT(TRIM('MSR RAW'!C443),SEARCH(" - ",TRIM('MSR RAW'!C443))-1),"")</f>
        <v/>
      </c>
      <c r="F443" t="str">
        <f>IF(E443="","",TRIM(MID(TRIM('MSR RAW'!C443),SEARCH(" - ",TRIM('MSR RAW'!C443))+3,LEN(TRIM('MSR RAW'!C443))-SEARCH(" - ",TRIM('MSR RAW'!C443))-9)))</f>
        <v/>
      </c>
      <c r="G443" t="str">
        <f>IF(E443="","",IFERROR(VLOOKUP(E443,'CATEGORY MAP'!$A$2:$B$20,2,FALSE()),"REVIEW"))</f>
        <v/>
      </c>
      <c r="H443" t="str">
        <f>IF(E443="","",IFERROR(VALUE(SUBSTITUTE('MSR RAW'!P443,",","")),0))</f>
        <v/>
      </c>
      <c r="I443" t="str">
        <f>IF(E443="","",IFERROR(VALUE(SUBSTITUTE('MSR RAW'!S443,",","")),0))</f>
        <v/>
      </c>
    </row>
    <row r="444" spans="1:9" ht="68.650000000000006" customHeight="1" x14ac:dyDescent="0.2">
      <c r="A444">
        <v>444</v>
      </c>
      <c r="B44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44" t="str">
        <f>IF(LEFT(TRIM('MSR RAW'!A444),11)="Department:",TRIM('MSR RAW'!A444),C443)</f>
        <v>Department: 36637 - SPECIALTY CONCESSIONS (VENDING)</v>
      </c>
      <c r="D444" t="str">
        <f>IF(LEFT(TRIM('MSR RAW'!B444),9)="Location:",TRIM(MID('MSR RAW'!B444,10,999)),D443)</f>
        <v>FB 155 - SUB ISLAND NOODLES</v>
      </c>
      <c r="E444" t="str">
        <f>IF(AND(ISNUMBER(SEARCH(" - ",TRIM('MSR RAW'!C444))),RIGHT(TRIM('MSR RAW'!C444),6)="Total:"),LEFT(TRIM('MSR RAW'!C444),SEARCH(" - ",TRIM('MSR RAW'!C444))-1),"")</f>
        <v/>
      </c>
      <c r="F444" t="str">
        <f>IF(E444="","",TRIM(MID(TRIM('MSR RAW'!C444),SEARCH(" - ",TRIM('MSR RAW'!C444))+3,LEN(TRIM('MSR RAW'!C444))-SEARCH(" - ",TRIM('MSR RAW'!C444))-9)))</f>
        <v/>
      </c>
      <c r="G444" t="str">
        <f>IF(E444="","",IFERROR(VLOOKUP(E444,'CATEGORY MAP'!$A$2:$B$20,2,FALSE()),"REVIEW"))</f>
        <v/>
      </c>
      <c r="H444" t="str">
        <f>IF(E444="","",IFERROR(VALUE(SUBSTITUTE('MSR RAW'!P444,",","")),0))</f>
        <v/>
      </c>
      <c r="I444" t="str">
        <f>IF(E444="","",IFERROR(VALUE(SUBSTITUTE('MSR RAW'!S444,",","")),0))</f>
        <v/>
      </c>
    </row>
    <row r="445" spans="1:9" ht="68.650000000000006" customHeight="1" x14ac:dyDescent="0.2">
      <c r="A445">
        <v>445</v>
      </c>
      <c r="B44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45" t="str">
        <f>IF(LEFT(TRIM('MSR RAW'!A445),11)="Department:",TRIM('MSR RAW'!A445),C444)</f>
        <v>Department: 36637 - SPECIALTY CONCESSIONS (VENDING)</v>
      </c>
      <c r="D445" t="str">
        <f>IF(LEFT(TRIM('MSR RAW'!B445),9)="Location:",TRIM(MID('MSR RAW'!B445,10,999)),D444)</f>
        <v>FB 155 - SUB ISLAND NOODLES</v>
      </c>
      <c r="E445" t="str">
        <f>IF(AND(ISNUMBER(SEARCH(" - ",TRIM('MSR RAW'!C445))),RIGHT(TRIM('MSR RAW'!C445),6)="Total:"),LEFT(TRIM('MSR RAW'!C445),SEARCH(" - ",TRIM('MSR RAW'!C445))-1),"")</f>
        <v/>
      </c>
      <c r="F445" t="str">
        <f>IF(E445="","",TRIM(MID(TRIM('MSR RAW'!C445),SEARCH(" - ",TRIM('MSR RAW'!C445))+3,LEN(TRIM('MSR RAW'!C445))-SEARCH(" - ",TRIM('MSR RAW'!C445))-9)))</f>
        <v/>
      </c>
      <c r="G445" t="str">
        <f>IF(E445="","",IFERROR(VLOOKUP(E445,'CATEGORY MAP'!$A$2:$B$20,2,FALSE()),"REVIEW"))</f>
        <v/>
      </c>
      <c r="H445" t="str">
        <f>IF(E445="","",IFERROR(VALUE(SUBSTITUTE('MSR RAW'!P445,",","")),0))</f>
        <v/>
      </c>
      <c r="I445" t="str">
        <f>IF(E445="","",IFERROR(VALUE(SUBSTITUTE('MSR RAW'!S445,",","")),0))</f>
        <v/>
      </c>
    </row>
    <row r="446" spans="1:9" ht="68.650000000000006" customHeight="1" x14ac:dyDescent="0.2">
      <c r="A446">
        <v>446</v>
      </c>
      <c r="B44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46" t="str">
        <f>IF(LEFT(TRIM('MSR RAW'!A446),11)="Department:",TRIM('MSR RAW'!A446),C445)</f>
        <v>Department: 36637 - SPECIALTY CONCESSIONS (VENDING)</v>
      </c>
      <c r="D446" t="str">
        <f>IF(LEFT(TRIM('MSR RAW'!B446),9)="Location:",TRIM(MID('MSR RAW'!B446,10,999)),D445)</f>
        <v>FB 155 - SUB ISLAND NOODLES</v>
      </c>
      <c r="E446" t="str">
        <f>IF(AND(ISNUMBER(SEARCH(" - ",TRIM('MSR RAW'!C446))),RIGHT(TRIM('MSR RAW'!C446),6)="Total:"),LEFT(TRIM('MSR RAW'!C446),SEARCH(" - ",TRIM('MSR RAW'!C446))-1),"")</f>
        <v/>
      </c>
      <c r="F446" t="str">
        <f>IF(E446="","",TRIM(MID(TRIM('MSR RAW'!C446),SEARCH(" - ",TRIM('MSR RAW'!C446))+3,LEN(TRIM('MSR RAW'!C446))-SEARCH(" - ",TRIM('MSR RAW'!C446))-9)))</f>
        <v/>
      </c>
      <c r="G446" t="str">
        <f>IF(E446="","",IFERROR(VLOOKUP(E446,'CATEGORY MAP'!$A$2:$B$20,2,FALSE()),"REVIEW"))</f>
        <v/>
      </c>
      <c r="H446" t="str">
        <f>IF(E446="","",IFERROR(VALUE(SUBSTITUTE('MSR RAW'!P446,",","")),0))</f>
        <v/>
      </c>
      <c r="I446" t="str">
        <f>IF(E446="","",IFERROR(VALUE(SUBSTITUTE('MSR RAW'!S446,",","")),0))</f>
        <v/>
      </c>
    </row>
    <row r="447" spans="1:9" ht="68.650000000000006" customHeight="1" x14ac:dyDescent="0.2">
      <c r="A447">
        <v>447</v>
      </c>
      <c r="B44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47" t="str">
        <f>IF(LEFT(TRIM('MSR RAW'!A447),11)="Department:",TRIM('MSR RAW'!A447),C446)</f>
        <v>Department: 36637 - SPECIALTY CONCESSIONS (VENDING)</v>
      </c>
      <c r="D447" t="str">
        <f>IF(LEFT(TRIM('MSR RAW'!B447),9)="Location:",TRIM(MID('MSR RAW'!B447,10,999)),D446)</f>
        <v>FB 155 - SUB ISLAND NOODLES</v>
      </c>
      <c r="E447" t="str">
        <f>IF(AND(ISNUMBER(SEARCH(" - ",TRIM('MSR RAW'!C447))),RIGHT(TRIM('MSR RAW'!C447),6)="Total:"),LEFT(TRIM('MSR RAW'!C447),SEARCH(" - ",TRIM('MSR RAW'!C447))-1),"")</f>
        <v/>
      </c>
      <c r="F447" t="str">
        <f>IF(E447="","",TRIM(MID(TRIM('MSR RAW'!C447),SEARCH(" - ",TRIM('MSR RAW'!C447))+3,LEN(TRIM('MSR RAW'!C447))-SEARCH(" - ",TRIM('MSR RAW'!C447))-9)))</f>
        <v/>
      </c>
      <c r="G447" t="str">
        <f>IF(E447="","",IFERROR(VLOOKUP(E447,'CATEGORY MAP'!$A$2:$B$20,2,FALSE()),"REVIEW"))</f>
        <v/>
      </c>
      <c r="H447" t="str">
        <f>IF(E447="","",IFERROR(VALUE(SUBSTITUTE('MSR RAW'!P447,",","")),0))</f>
        <v/>
      </c>
      <c r="I447" t="str">
        <f>IF(E447="","",IFERROR(VALUE(SUBSTITUTE('MSR RAW'!S447,",","")),0))</f>
        <v/>
      </c>
    </row>
    <row r="448" spans="1:9" ht="68.650000000000006" customHeight="1" x14ac:dyDescent="0.2">
      <c r="A448">
        <v>448</v>
      </c>
      <c r="B44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48" t="str">
        <f>IF(LEFT(TRIM('MSR RAW'!A448),11)="Department:",TRIM('MSR RAW'!A448),C447)</f>
        <v>Department: 36637 - SPECIALTY CONCESSIONS (VENDING)</v>
      </c>
      <c r="D448" t="str">
        <f>IF(LEFT(TRIM('MSR RAW'!B448),9)="Location:",TRIM(MID('MSR RAW'!B448,10,999)),D447)</f>
        <v>FB 155 - SUB ISLAND NOODLES</v>
      </c>
      <c r="E448" t="str">
        <f>IF(AND(ISNUMBER(SEARCH(" - ",TRIM('MSR RAW'!C448))),RIGHT(TRIM('MSR RAW'!C448),6)="Total:"),LEFT(TRIM('MSR RAW'!C448),SEARCH(" - ",TRIM('MSR RAW'!C448))-1),"")</f>
        <v/>
      </c>
      <c r="F448" t="str">
        <f>IF(E448="","",TRIM(MID(TRIM('MSR RAW'!C448),SEARCH(" - ",TRIM('MSR RAW'!C448))+3,LEN(TRIM('MSR RAW'!C448))-SEARCH(" - ",TRIM('MSR RAW'!C448))-9)))</f>
        <v/>
      </c>
      <c r="G448" t="str">
        <f>IF(E448="","",IFERROR(VLOOKUP(E448,'CATEGORY MAP'!$A$2:$B$20,2,FALSE()),"REVIEW"))</f>
        <v/>
      </c>
      <c r="H448" t="str">
        <f>IF(E448="","",IFERROR(VALUE(SUBSTITUTE('MSR RAW'!P448,",","")),0))</f>
        <v/>
      </c>
      <c r="I448" t="str">
        <f>IF(E448="","",IFERROR(VALUE(SUBSTITUTE('MSR RAW'!S448,",","")),0))</f>
        <v/>
      </c>
    </row>
    <row r="449" spans="1:9" ht="68.650000000000006" customHeight="1" x14ac:dyDescent="0.2">
      <c r="A449">
        <v>449</v>
      </c>
      <c r="B44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49" t="str">
        <f>IF(LEFT(TRIM('MSR RAW'!A449),11)="Department:",TRIM('MSR RAW'!A449),C448)</f>
        <v>Department: 36637 - SPECIALTY CONCESSIONS (VENDING)</v>
      </c>
      <c r="D449" t="str">
        <f>IF(LEFT(TRIM('MSR RAW'!B449),9)="Location:",TRIM(MID('MSR RAW'!B449,10,999)),D448)</f>
        <v>FB 155 - SUB ISLAND NOODLES</v>
      </c>
      <c r="E449" t="str">
        <f>IF(AND(ISNUMBER(SEARCH(" - ",TRIM('MSR RAW'!C449))),RIGHT(TRIM('MSR RAW'!C449),6)="Total:"),LEFT(TRIM('MSR RAW'!C449),SEARCH(" - ",TRIM('MSR RAW'!C449))-1),"")</f>
        <v/>
      </c>
      <c r="F449" t="str">
        <f>IF(E449="","",TRIM(MID(TRIM('MSR RAW'!C449),SEARCH(" - ",TRIM('MSR RAW'!C449))+3,LEN(TRIM('MSR RAW'!C449))-SEARCH(" - ",TRIM('MSR RAW'!C449))-9)))</f>
        <v/>
      </c>
      <c r="G449" t="str">
        <f>IF(E449="","",IFERROR(VLOOKUP(E449,'CATEGORY MAP'!$A$2:$B$20,2,FALSE()),"REVIEW"))</f>
        <v/>
      </c>
      <c r="H449" t="str">
        <f>IF(E449="","",IFERROR(VALUE(SUBSTITUTE('MSR RAW'!P449,",","")),0))</f>
        <v/>
      </c>
      <c r="I449" t="str">
        <f>IF(E449="","",IFERROR(VALUE(SUBSTITUTE('MSR RAW'!S449,",","")),0))</f>
        <v/>
      </c>
    </row>
    <row r="450" spans="1:9" ht="68.650000000000006" customHeight="1" x14ac:dyDescent="0.2">
      <c r="A450">
        <v>450</v>
      </c>
      <c r="B45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50" t="str">
        <f>IF(LEFT(TRIM('MSR RAW'!A450),11)="Department:",TRIM('MSR RAW'!A450),C449)</f>
        <v>Department: 36637 - SPECIALTY CONCESSIONS (VENDING)</v>
      </c>
      <c r="D450" t="str">
        <f>IF(LEFT(TRIM('MSR RAW'!B450),9)="Location:",TRIM(MID('MSR RAW'!B450,10,999)),D449)</f>
        <v>FB 155 - SUB ISLAND NOODLES</v>
      </c>
      <c r="E450" t="str">
        <f>IF(AND(ISNUMBER(SEARCH(" - ",TRIM('MSR RAW'!C450))),RIGHT(TRIM('MSR RAW'!C450),6)="Total:"),LEFT(TRIM('MSR RAW'!C450),SEARCH(" - ",TRIM('MSR RAW'!C450))-1),"")</f>
        <v/>
      </c>
      <c r="F450" t="str">
        <f>IF(E450="","",TRIM(MID(TRIM('MSR RAW'!C450),SEARCH(" - ",TRIM('MSR RAW'!C450))+3,LEN(TRIM('MSR RAW'!C450))-SEARCH(" - ",TRIM('MSR RAW'!C450))-9)))</f>
        <v/>
      </c>
      <c r="G450" t="str">
        <f>IF(E450="","",IFERROR(VLOOKUP(E450,'CATEGORY MAP'!$A$2:$B$20,2,FALSE()),"REVIEW"))</f>
        <v/>
      </c>
      <c r="H450" t="str">
        <f>IF(E450="","",IFERROR(VALUE(SUBSTITUTE('MSR RAW'!P450,",","")),0))</f>
        <v/>
      </c>
      <c r="I450" t="str">
        <f>IF(E450="","",IFERROR(VALUE(SUBSTITUTE('MSR RAW'!S450,",","")),0))</f>
        <v/>
      </c>
    </row>
    <row r="451" spans="1:9" ht="68.650000000000006" customHeight="1" x14ac:dyDescent="0.2">
      <c r="A451">
        <v>451</v>
      </c>
      <c r="B45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51" t="str">
        <f>IF(LEFT(TRIM('MSR RAW'!A451),11)="Department:",TRIM('MSR RAW'!A451),C450)</f>
        <v>Department: 36637 - SPECIALTY CONCESSIONS (VENDING)</v>
      </c>
      <c r="D451" t="str">
        <f>IF(LEFT(TRIM('MSR RAW'!B451),9)="Location:",TRIM(MID('MSR RAW'!B451,10,999)),D450)</f>
        <v>FB 155 - SUB ISLAND NOODLES</v>
      </c>
      <c r="E451" t="str">
        <f>IF(AND(ISNUMBER(SEARCH(" - ",TRIM('MSR RAW'!C451))),RIGHT(TRIM('MSR RAW'!C451),6)="Total:"),LEFT(TRIM('MSR RAW'!C451),SEARCH(" - ",TRIM('MSR RAW'!C451))-1),"")</f>
        <v/>
      </c>
      <c r="F451" t="str">
        <f>IF(E451="","",TRIM(MID(TRIM('MSR RAW'!C451),SEARCH(" - ",TRIM('MSR RAW'!C451))+3,LEN(TRIM('MSR RAW'!C451))-SEARCH(" - ",TRIM('MSR RAW'!C451))-9)))</f>
        <v/>
      </c>
      <c r="G451" t="str">
        <f>IF(E451="","",IFERROR(VLOOKUP(E451,'CATEGORY MAP'!$A$2:$B$20,2,FALSE()),"REVIEW"))</f>
        <v/>
      </c>
      <c r="H451" t="str">
        <f>IF(E451="","",IFERROR(VALUE(SUBSTITUTE('MSR RAW'!P451,",","")),0))</f>
        <v/>
      </c>
      <c r="I451" t="str">
        <f>IF(E451="","",IFERROR(VALUE(SUBSTITUTE('MSR RAW'!S451,",","")),0))</f>
        <v/>
      </c>
    </row>
    <row r="452" spans="1:9" ht="68.650000000000006" customHeight="1" x14ac:dyDescent="0.2">
      <c r="A452">
        <v>452</v>
      </c>
      <c r="B45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52" t="str">
        <f>IF(LEFT(TRIM('MSR RAW'!A452),11)="Department:",TRIM('MSR RAW'!A452),C451)</f>
        <v>Department: 36637 - SPECIALTY CONCESSIONS (VENDING)</v>
      </c>
      <c r="D452" t="str">
        <f>IF(LEFT(TRIM('MSR RAW'!B452),9)="Location:",TRIM(MID('MSR RAW'!B452,10,999)),D451)</f>
        <v>FB 155 - SUB ISLAND NOODLES</v>
      </c>
      <c r="E452" t="str">
        <f>IF(AND(ISNUMBER(SEARCH(" - ",TRIM('MSR RAW'!C452))),RIGHT(TRIM('MSR RAW'!C452),6)="Total:"),LEFT(TRIM('MSR RAW'!C452),SEARCH(" - ",TRIM('MSR RAW'!C452))-1),"")</f>
        <v/>
      </c>
      <c r="F452" t="str">
        <f>IF(E452="","",TRIM(MID(TRIM('MSR RAW'!C452),SEARCH(" - ",TRIM('MSR RAW'!C452))+3,LEN(TRIM('MSR RAW'!C452))-SEARCH(" - ",TRIM('MSR RAW'!C452))-9)))</f>
        <v/>
      </c>
      <c r="G452" t="str">
        <f>IF(E452="","",IFERROR(VLOOKUP(E452,'CATEGORY MAP'!$A$2:$B$20,2,FALSE()),"REVIEW"))</f>
        <v/>
      </c>
      <c r="H452" t="str">
        <f>IF(E452="","",IFERROR(VALUE(SUBSTITUTE('MSR RAW'!P452,",","")),0))</f>
        <v/>
      </c>
      <c r="I452" t="str">
        <f>IF(E452="","",IFERROR(VALUE(SUBSTITUTE('MSR RAW'!S452,",","")),0))</f>
        <v/>
      </c>
    </row>
    <row r="453" spans="1:9" ht="68.650000000000006" customHeight="1" x14ac:dyDescent="0.2">
      <c r="A453">
        <v>453</v>
      </c>
      <c r="B45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53" t="str">
        <f>IF(LEFT(TRIM('MSR RAW'!A453),11)="Department:",TRIM('MSR RAW'!A453),C452)</f>
        <v>Department: 36637 - SPECIALTY CONCESSIONS (VENDING)</v>
      </c>
      <c r="D453" t="str">
        <f>IF(LEFT(TRIM('MSR RAW'!B453),9)="Location:",TRIM(MID('MSR RAW'!B453,10,999)),D452)</f>
        <v>FB 155 - SUB ISLAND NOODLES</v>
      </c>
      <c r="E453" t="str">
        <f>IF(AND(ISNUMBER(SEARCH(" - ",TRIM('MSR RAW'!C453))),RIGHT(TRIM('MSR RAW'!C453),6)="Total:"),LEFT(TRIM('MSR RAW'!C453),SEARCH(" - ",TRIM('MSR RAW'!C453))-1),"")</f>
        <v/>
      </c>
      <c r="F453" t="str">
        <f>IF(E453="","",TRIM(MID(TRIM('MSR RAW'!C453),SEARCH(" - ",TRIM('MSR RAW'!C453))+3,LEN(TRIM('MSR RAW'!C453))-SEARCH(" - ",TRIM('MSR RAW'!C453))-9)))</f>
        <v/>
      </c>
      <c r="G453" t="str">
        <f>IF(E453="","",IFERROR(VLOOKUP(E453,'CATEGORY MAP'!$A$2:$B$20,2,FALSE()),"REVIEW"))</f>
        <v/>
      </c>
      <c r="H453" t="str">
        <f>IF(E453="","",IFERROR(VALUE(SUBSTITUTE('MSR RAW'!P453,",","")),0))</f>
        <v/>
      </c>
      <c r="I453" t="str">
        <f>IF(E453="","",IFERROR(VALUE(SUBSTITUTE('MSR RAW'!S453,",","")),0))</f>
        <v/>
      </c>
    </row>
    <row r="454" spans="1:9" ht="68.650000000000006" customHeight="1" x14ac:dyDescent="0.2">
      <c r="A454">
        <v>454</v>
      </c>
      <c r="B45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54" t="str">
        <f>IF(LEFT(TRIM('MSR RAW'!A454),11)="Department:",TRIM('MSR RAW'!A454),C453)</f>
        <v>Department: 36637 - SPECIALTY CONCESSIONS (VENDING)</v>
      </c>
      <c r="D454" t="str">
        <f>IF(LEFT(TRIM('MSR RAW'!B454),9)="Location:",TRIM(MID('MSR RAW'!B454,10,999)),D453)</f>
        <v>FB 155 - SUB ISLAND NOODLES</v>
      </c>
      <c r="E454" t="str">
        <f>IF(AND(ISNUMBER(SEARCH(" - ",TRIM('MSR RAW'!C454))),RIGHT(TRIM('MSR RAW'!C454),6)="Total:"),LEFT(TRIM('MSR RAW'!C454),SEARCH(" - ",TRIM('MSR RAW'!C454))-1),"")</f>
        <v/>
      </c>
      <c r="F454" t="str">
        <f>IF(E454="","",TRIM(MID(TRIM('MSR RAW'!C454),SEARCH(" - ",TRIM('MSR RAW'!C454))+3,LEN(TRIM('MSR RAW'!C454))-SEARCH(" - ",TRIM('MSR RAW'!C454))-9)))</f>
        <v/>
      </c>
      <c r="G454" t="str">
        <f>IF(E454="","",IFERROR(VLOOKUP(E454,'CATEGORY MAP'!$A$2:$B$20,2,FALSE()),"REVIEW"))</f>
        <v/>
      </c>
      <c r="H454" t="str">
        <f>IF(E454="","",IFERROR(VALUE(SUBSTITUTE('MSR RAW'!P454,",","")),0))</f>
        <v/>
      </c>
      <c r="I454" t="str">
        <f>IF(E454="","",IFERROR(VALUE(SUBSTITUTE('MSR RAW'!S454,",","")),0))</f>
        <v/>
      </c>
    </row>
    <row r="455" spans="1:9" ht="68.650000000000006" customHeight="1" x14ac:dyDescent="0.2">
      <c r="A455">
        <v>455</v>
      </c>
      <c r="B45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55" t="str">
        <f>IF(LEFT(TRIM('MSR RAW'!A455),11)="Department:",TRIM('MSR RAW'!A455),C454)</f>
        <v>Department: 36637 - SPECIALTY CONCESSIONS (VENDING)</v>
      </c>
      <c r="D455" t="str">
        <f>IF(LEFT(TRIM('MSR RAW'!B455),9)="Location:",TRIM(MID('MSR RAW'!B455,10,999)),D454)</f>
        <v>FB 155 - SUB ISLAND NOODLES</v>
      </c>
      <c r="E455" t="str">
        <f>IF(AND(ISNUMBER(SEARCH(" - ",TRIM('MSR RAW'!C455))),RIGHT(TRIM('MSR RAW'!C455),6)="Total:"),LEFT(TRIM('MSR RAW'!C455),SEARCH(" - ",TRIM('MSR RAW'!C455))-1),"")</f>
        <v/>
      </c>
      <c r="F455" t="str">
        <f>IF(E455="","",TRIM(MID(TRIM('MSR RAW'!C455),SEARCH(" - ",TRIM('MSR RAW'!C455))+3,LEN(TRIM('MSR RAW'!C455))-SEARCH(" - ",TRIM('MSR RAW'!C455))-9)))</f>
        <v/>
      </c>
      <c r="G455" t="str">
        <f>IF(E455="","",IFERROR(VLOOKUP(E455,'CATEGORY MAP'!$A$2:$B$20,2,FALSE()),"REVIEW"))</f>
        <v/>
      </c>
      <c r="H455" t="str">
        <f>IF(E455="","",IFERROR(VALUE(SUBSTITUTE('MSR RAW'!P455,",","")),0))</f>
        <v/>
      </c>
      <c r="I455" t="str">
        <f>IF(E455="","",IFERROR(VALUE(SUBSTITUTE('MSR RAW'!S455,",","")),0))</f>
        <v/>
      </c>
    </row>
    <row r="456" spans="1:9" ht="68.650000000000006" customHeight="1" x14ac:dyDescent="0.2">
      <c r="A456">
        <v>456</v>
      </c>
      <c r="B45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56" t="str">
        <f>IF(LEFT(TRIM('MSR RAW'!A456),11)="Department:",TRIM('MSR RAW'!A456),C455)</f>
        <v>Department: 36637 - SPECIALTY CONCESSIONS (VENDING)</v>
      </c>
      <c r="D456" t="str">
        <f>IF(LEFT(TRIM('MSR RAW'!B456),9)="Location:",TRIM(MID('MSR RAW'!B456,10,999)),D455)</f>
        <v>FB 155 - SUB ISLAND NOODLES</v>
      </c>
      <c r="E456" t="str">
        <f>IF(AND(ISNUMBER(SEARCH(" - ",TRIM('MSR RAW'!C456))),RIGHT(TRIM('MSR RAW'!C456),6)="Total:"),LEFT(TRIM('MSR RAW'!C456),SEARCH(" - ",TRIM('MSR RAW'!C456))-1),"")</f>
        <v/>
      </c>
      <c r="F456" t="str">
        <f>IF(E456="","",TRIM(MID(TRIM('MSR RAW'!C456),SEARCH(" - ",TRIM('MSR RAW'!C456))+3,LEN(TRIM('MSR RAW'!C456))-SEARCH(" - ",TRIM('MSR RAW'!C456))-9)))</f>
        <v/>
      </c>
      <c r="G456" t="str">
        <f>IF(E456="","",IFERROR(VLOOKUP(E456,'CATEGORY MAP'!$A$2:$B$20,2,FALSE()),"REVIEW"))</f>
        <v/>
      </c>
      <c r="H456" t="str">
        <f>IF(E456="","",IFERROR(VALUE(SUBSTITUTE('MSR RAW'!P456,",","")),0))</f>
        <v/>
      </c>
      <c r="I456" t="str">
        <f>IF(E456="","",IFERROR(VALUE(SUBSTITUTE('MSR RAW'!S456,",","")),0))</f>
        <v/>
      </c>
    </row>
    <row r="457" spans="1:9" ht="68.650000000000006" customHeight="1" x14ac:dyDescent="0.2">
      <c r="A457">
        <v>457</v>
      </c>
      <c r="B45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57" t="str">
        <f>IF(LEFT(TRIM('MSR RAW'!A457),11)="Department:",TRIM('MSR RAW'!A457),C456)</f>
        <v>Department: 36637 - SPECIALTY CONCESSIONS (VENDING)</v>
      </c>
      <c r="D457" t="str">
        <f>IF(LEFT(TRIM('MSR RAW'!B457),9)="Location:",TRIM(MID('MSR RAW'!B457,10,999)),D456)</f>
        <v>FB 155 - SUB ISLAND NOODLES</v>
      </c>
      <c r="E457" t="str">
        <f>IF(AND(ISNUMBER(SEARCH(" - ",TRIM('MSR RAW'!C457))),RIGHT(TRIM('MSR RAW'!C457),6)="Total:"),LEFT(TRIM('MSR RAW'!C457),SEARCH(" - ",TRIM('MSR RAW'!C457))-1),"")</f>
        <v/>
      </c>
      <c r="F457" t="str">
        <f>IF(E457="","",TRIM(MID(TRIM('MSR RAW'!C457),SEARCH(" - ",TRIM('MSR RAW'!C457))+3,LEN(TRIM('MSR RAW'!C457))-SEARCH(" - ",TRIM('MSR RAW'!C457))-9)))</f>
        <v/>
      </c>
      <c r="G457" t="str">
        <f>IF(E457="","",IFERROR(VLOOKUP(E457,'CATEGORY MAP'!$A$2:$B$20,2,FALSE()),"REVIEW"))</f>
        <v/>
      </c>
      <c r="H457" t="str">
        <f>IF(E457="","",IFERROR(VALUE(SUBSTITUTE('MSR RAW'!P457,",","")),0))</f>
        <v/>
      </c>
      <c r="I457" t="str">
        <f>IF(E457="","",IFERROR(VALUE(SUBSTITUTE('MSR RAW'!S457,",","")),0))</f>
        <v/>
      </c>
    </row>
    <row r="458" spans="1:9" ht="68.650000000000006" customHeight="1" x14ac:dyDescent="0.2">
      <c r="A458">
        <v>458</v>
      </c>
      <c r="B45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58" t="str">
        <f>IF(LEFT(TRIM('MSR RAW'!A458),11)="Department:",TRIM('MSR RAW'!A458),C457)</f>
        <v>Department: 36637 - SPECIALTY CONCESSIONS (VENDING)</v>
      </c>
      <c r="D458" t="str">
        <f>IF(LEFT(TRIM('MSR RAW'!B458),9)="Location:",TRIM(MID('MSR RAW'!B458,10,999)),D457)</f>
        <v>FB 155 - SUB ISLAND NOODLES</v>
      </c>
      <c r="E458" t="str">
        <f>IF(AND(ISNUMBER(SEARCH(" - ",TRIM('MSR RAW'!C458))),RIGHT(TRIM('MSR RAW'!C458),6)="Total:"),LEFT(TRIM('MSR RAW'!C458),SEARCH(" - ",TRIM('MSR RAW'!C458))-1),"")</f>
        <v/>
      </c>
      <c r="F458" t="str">
        <f>IF(E458="","",TRIM(MID(TRIM('MSR RAW'!C458),SEARCH(" - ",TRIM('MSR RAW'!C458))+3,LEN(TRIM('MSR RAW'!C458))-SEARCH(" - ",TRIM('MSR RAW'!C458))-9)))</f>
        <v/>
      </c>
      <c r="G458" t="str">
        <f>IF(E458="","",IFERROR(VLOOKUP(E458,'CATEGORY MAP'!$A$2:$B$20,2,FALSE()),"REVIEW"))</f>
        <v/>
      </c>
      <c r="H458" t="str">
        <f>IF(E458="","",IFERROR(VALUE(SUBSTITUTE('MSR RAW'!P458,",","")),0))</f>
        <v/>
      </c>
      <c r="I458" t="str">
        <f>IF(E458="","",IFERROR(VALUE(SUBSTITUTE('MSR RAW'!S458,",","")),0))</f>
        <v/>
      </c>
    </row>
    <row r="459" spans="1:9" ht="68.650000000000006" customHeight="1" x14ac:dyDescent="0.2">
      <c r="A459">
        <v>459</v>
      </c>
      <c r="B45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59" t="str">
        <f>IF(LEFT(TRIM('MSR RAW'!A459),11)="Department:",TRIM('MSR RAW'!A459),C458)</f>
        <v>Department: 36637 - SPECIALTY CONCESSIONS (VENDING)</v>
      </c>
      <c r="D459" t="str">
        <f>IF(LEFT(TRIM('MSR RAW'!B459),9)="Location:",TRIM(MID('MSR RAW'!B459,10,999)),D458)</f>
        <v>FB 155 - SUB ISLAND NOODLES</v>
      </c>
      <c r="E459" t="str">
        <f>IF(AND(ISNUMBER(SEARCH(" - ",TRIM('MSR RAW'!C459))),RIGHT(TRIM('MSR RAW'!C459),6)="Total:"),LEFT(TRIM('MSR RAW'!C459),SEARCH(" - ",TRIM('MSR RAW'!C459))-1),"")</f>
        <v/>
      </c>
      <c r="F459" t="str">
        <f>IF(E459="","",TRIM(MID(TRIM('MSR RAW'!C459),SEARCH(" - ",TRIM('MSR RAW'!C459))+3,LEN(TRIM('MSR RAW'!C459))-SEARCH(" - ",TRIM('MSR RAW'!C459))-9)))</f>
        <v/>
      </c>
      <c r="G459" t="str">
        <f>IF(E459="","",IFERROR(VLOOKUP(E459,'CATEGORY MAP'!$A$2:$B$20,2,FALSE()),"REVIEW"))</f>
        <v/>
      </c>
      <c r="H459" t="str">
        <f>IF(E459="","",IFERROR(VALUE(SUBSTITUTE('MSR RAW'!P459,",","")),0))</f>
        <v/>
      </c>
      <c r="I459" t="str">
        <f>IF(E459="","",IFERROR(VALUE(SUBSTITUTE('MSR RAW'!S459,",","")),0))</f>
        <v/>
      </c>
    </row>
    <row r="460" spans="1:9" ht="68.650000000000006" customHeight="1" x14ac:dyDescent="0.2">
      <c r="A460">
        <v>460</v>
      </c>
      <c r="B46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60" t="str">
        <f>IF(LEFT(TRIM('MSR RAW'!A460),11)="Department:",TRIM('MSR RAW'!A460),C459)</f>
        <v>Department: 36637 - SPECIALTY CONCESSIONS (VENDING)</v>
      </c>
      <c r="D460" t="str">
        <f>IF(LEFT(TRIM('MSR RAW'!B460),9)="Location:",TRIM(MID('MSR RAW'!B460,10,999)),D459)</f>
        <v>FB 155 - SUB ISLAND NOODLES</v>
      </c>
      <c r="E460" t="str">
        <f>IF(AND(ISNUMBER(SEARCH(" - ",TRIM('MSR RAW'!C460))),RIGHT(TRIM('MSR RAW'!C460),6)="Total:"),LEFT(TRIM('MSR RAW'!C460),SEARCH(" - ",TRIM('MSR RAW'!C460))-1),"")</f>
        <v/>
      </c>
      <c r="F460" t="str">
        <f>IF(E460="","",TRIM(MID(TRIM('MSR RAW'!C460),SEARCH(" - ",TRIM('MSR RAW'!C460))+3,LEN(TRIM('MSR RAW'!C460))-SEARCH(" - ",TRIM('MSR RAW'!C460))-9)))</f>
        <v/>
      </c>
      <c r="G460" t="str">
        <f>IF(E460="","",IFERROR(VLOOKUP(E460,'CATEGORY MAP'!$A$2:$B$20,2,FALSE()),"REVIEW"))</f>
        <v/>
      </c>
      <c r="H460" t="str">
        <f>IF(E460="","",IFERROR(VALUE(SUBSTITUTE('MSR RAW'!P460,",","")),0))</f>
        <v/>
      </c>
      <c r="I460" t="str">
        <f>IF(E460="","",IFERROR(VALUE(SUBSTITUTE('MSR RAW'!S460,",","")),0))</f>
        <v/>
      </c>
    </row>
    <row r="461" spans="1:9" ht="68.650000000000006" customHeight="1" x14ac:dyDescent="0.2">
      <c r="A461">
        <v>461</v>
      </c>
      <c r="B46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61" t="str">
        <f>IF(LEFT(TRIM('MSR RAW'!A461),11)="Department:",TRIM('MSR RAW'!A461),C460)</f>
        <v>Department: 36637 - SPECIALTY CONCESSIONS (VENDING)</v>
      </c>
      <c r="D461" t="str">
        <f>IF(LEFT(TRIM('MSR RAW'!B461),9)="Location:",TRIM(MID('MSR RAW'!B461,10,999)),D460)</f>
        <v>FB 155 - SUB ISLAND NOODLES</v>
      </c>
      <c r="E461" t="str">
        <f>IF(AND(ISNUMBER(SEARCH(" - ",TRIM('MSR RAW'!C461))),RIGHT(TRIM('MSR RAW'!C461),6)="Total:"),LEFT(TRIM('MSR RAW'!C461),SEARCH(" - ",TRIM('MSR RAW'!C461))-1),"")</f>
        <v/>
      </c>
      <c r="F461" t="str">
        <f>IF(E461="","",TRIM(MID(TRIM('MSR RAW'!C461),SEARCH(" - ",TRIM('MSR RAW'!C461))+3,LEN(TRIM('MSR RAW'!C461))-SEARCH(" - ",TRIM('MSR RAW'!C461))-9)))</f>
        <v/>
      </c>
      <c r="G461" t="str">
        <f>IF(E461="","",IFERROR(VLOOKUP(E461,'CATEGORY MAP'!$A$2:$B$20,2,FALSE()),"REVIEW"))</f>
        <v/>
      </c>
      <c r="H461" t="str">
        <f>IF(E461="","",IFERROR(VALUE(SUBSTITUTE('MSR RAW'!P461,",","")),0))</f>
        <v/>
      </c>
      <c r="I461" t="str">
        <f>IF(E461="","",IFERROR(VALUE(SUBSTITUTE('MSR RAW'!S461,",","")),0))</f>
        <v/>
      </c>
    </row>
    <row r="462" spans="1:9" ht="68.650000000000006" customHeight="1" x14ac:dyDescent="0.2">
      <c r="A462">
        <v>462</v>
      </c>
      <c r="B46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62" t="str">
        <f>IF(LEFT(TRIM('MSR RAW'!A462),11)="Department:",TRIM('MSR RAW'!A462),C461)</f>
        <v>Department: 36637 - SPECIALTY CONCESSIONS (VENDING)</v>
      </c>
      <c r="D462" t="str">
        <f>IF(LEFT(TRIM('MSR RAW'!B462),9)="Location:",TRIM(MID('MSR RAW'!B462,10,999)),D461)</f>
        <v>FB 155 - SUB ISLAND NOODLES</v>
      </c>
      <c r="E462" t="str">
        <f>IF(AND(ISNUMBER(SEARCH(" - ",TRIM('MSR RAW'!C462))),RIGHT(TRIM('MSR RAW'!C462),6)="Total:"),LEFT(TRIM('MSR RAW'!C462),SEARCH(" - ",TRIM('MSR RAW'!C462))-1),"")</f>
        <v/>
      </c>
      <c r="F462" t="str">
        <f>IF(E462="","",TRIM(MID(TRIM('MSR RAW'!C462),SEARCH(" - ",TRIM('MSR RAW'!C462))+3,LEN(TRIM('MSR RAW'!C462))-SEARCH(" - ",TRIM('MSR RAW'!C462))-9)))</f>
        <v/>
      </c>
      <c r="G462" t="str">
        <f>IF(E462="","",IFERROR(VLOOKUP(E462,'CATEGORY MAP'!$A$2:$B$20,2,FALSE()),"REVIEW"))</f>
        <v/>
      </c>
      <c r="H462" t="str">
        <f>IF(E462="","",IFERROR(VALUE(SUBSTITUTE('MSR RAW'!P462,",","")),0))</f>
        <v/>
      </c>
      <c r="I462" t="str">
        <f>IF(E462="","",IFERROR(VALUE(SUBSTITUTE('MSR RAW'!S462,",","")),0))</f>
        <v/>
      </c>
    </row>
    <row r="463" spans="1:9" ht="68.650000000000006" customHeight="1" x14ac:dyDescent="0.2">
      <c r="A463">
        <v>463</v>
      </c>
      <c r="B46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63" t="str">
        <f>IF(LEFT(TRIM('MSR RAW'!A463),11)="Department:",TRIM('MSR RAW'!A463),C462)</f>
        <v>Department: 36637 - SPECIALTY CONCESSIONS (VENDING)</v>
      </c>
      <c r="D463" t="str">
        <f>IF(LEFT(TRIM('MSR RAW'!B463),9)="Location:",TRIM(MID('MSR RAW'!B463,10,999)),D462)</f>
        <v>FB 155 - SUB ISLAND NOODLES</v>
      </c>
      <c r="E463" t="str">
        <f>IF(AND(ISNUMBER(SEARCH(" - ",TRIM('MSR RAW'!C463))),RIGHT(TRIM('MSR RAW'!C463),6)="Total:"),LEFT(TRIM('MSR RAW'!C463),SEARCH(" - ",TRIM('MSR RAW'!C463))-1),"")</f>
        <v/>
      </c>
      <c r="F463" t="str">
        <f>IF(E463="","",TRIM(MID(TRIM('MSR RAW'!C463),SEARCH(" - ",TRIM('MSR RAW'!C463))+3,LEN(TRIM('MSR RAW'!C463))-SEARCH(" - ",TRIM('MSR RAW'!C463))-9)))</f>
        <v/>
      </c>
      <c r="G463" t="str">
        <f>IF(E463="","",IFERROR(VLOOKUP(E463,'CATEGORY MAP'!$A$2:$B$20,2,FALSE()),"REVIEW"))</f>
        <v/>
      </c>
      <c r="H463" t="str">
        <f>IF(E463="","",IFERROR(VALUE(SUBSTITUTE('MSR RAW'!P463,",","")),0))</f>
        <v/>
      </c>
      <c r="I463" t="str">
        <f>IF(E463="","",IFERROR(VALUE(SUBSTITUTE('MSR RAW'!S463,",","")),0))</f>
        <v/>
      </c>
    </row>
    <row r="464" spans="1:9" ht="68.650000000000006" customHeight="1" x14ac:dyDescent="0.2">
      <c r="A464">
        <v>464</v>
      </c>
      <c r="B46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64" t="str">
        <f>IF(LEFT(TRIM('MSR RAW'!A464),11)="Department:",TRIM('MSR RAW'!A464),C463)</f>
        <v>Department: 36637 - SPECIALTY CONCESSIONS (VENDING)</v>
      </c>
      <c r="D464" t="str">
        <f>IF(LEFT(TRIM('MSR RAW'!B464),9)="Location:",TRIM(MID('MSR RAW'!B464,10,999)),D463)</f>
        <v>FB 155 - SUB ISLAND NOODLES</v>
      </c>
      <c r="E464" t="str">
        <f>IF(AND(ISNUMBER(SEARCH(" - ",TRIM('MSR RAW'!C464))),RIGHT(TRIM('MSR RAW'!C464),6)="Total:"),LEFT(TRIM('MSR RAW'!C464),SEARCH(" - ",TRIM('MSR RAW'!C464))-1),"")</f>
        <v/>
      </c>
      <c r="F464" t="str">
        <f>IF(E464="","",TRIM(MID(TRIM('MSR RAW'!C464),SEARCH(" - ",TRIM('MSR RAW'!C464))+3,LEN(TRIM('MSR RAW'!C464))-SEARCH(" - ",TRIM('MSR RAW'!C464))-9)))</f>
        <v/>
      </c>
      <c r="G464" t="str">
        <f>IF(E464="","",IFERROR(VLOOKUP(E464,'CATEGORY MAP'!$A$2:$B$20,2,FALSE()),"REVIEW"))</f>
        <v/>
      </c>
      <c r="H464" t="str">
        <f>IF(E464="","",IFERROR(VALUE(SUBSTITUTE('MSR RAW'!P464,",","")),0))</f>
        <v/>
      </c>
      <c r="I464" t="str">
        <f>IF(E464="","",IFERROR(VALUE(SUBSTITUTE('MSR RAW'!S464,",","")),0))</f>
        <v/>
      </c>
    </row>
    <row r="465" spans="1:9" ht="68.650000000000006" customHeight="1" x14ac:dyDescent="0.2">
      <c r="A465">
        <v>465</v>
      </c>
      <c r="B46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65" t="str">
        <f>IF(LEFT(TRIM('MSR RAW'!A465),11)="Department:",TRIM('MSR RAW'!A465),C464)</f>
        <v>Department: 36637 - SPECIALTY CONCESSIONS (VENDING)</v>
      </c>
      <c r="D465" t="str">
        <f>IF(LEFT(TRIM('MSR RAW'!B465),9)="Location:",TRIM(MID('MSR RAW'!B465,10,999)),D464)</f>
        <v>FB 155 - SUB ISLAND NOODLES</v>
      </c>
      <c r="E465" t="str">
        <f>IF(AND(ISNUMBER(SEARCH(" - ",TRIM('MSR RAW'!C465))),RIGHT(TRIM('MSR RAW'!C465),6)="Total:"),LEFT(TRIM('MSR RAW'!C465),SEARCH(" - ",TRIM('MSR RAW'!C465))-1),"")</f>
        <v/>
      </c>
      <c r="F465" t="str">
        <f>IF(E465="","",TRIM(MID(TRIM('MSR RAW'!C465),SEARCH(" - ",TRIM('MSR RAW'!C465))+3,LEN(TRIM('MSR RAW'!C465))-SEARCH(" - ",TRIM('MSR RAW'!C465))-9)))</f>
        <v/>
      </c>
      <c r="G465" t="str">
        <f>IF(E465="","",IFERROR(VLOOKUP(E465,'CATEGORY MAP'!$A$2:$B$20,2,FALSE()),"REVIEW"))</f>
        <v/>
      </c>
      <c r="H465" t="str">
        <f>IF(E465="","",IFERROR(VALUE(SUBSTITUTE('MSR RAW'!P465,",","")),0))</f>
        <v/>
      </c>
      <c r="I465" t="str">
        <f>IF(E465="","",IFERROR(VALUE(SUBSTITUTE('MSR RAW'!S465,",","")),0))</f>
        <v/>
      </c>
    </row>
    <row r="466" spans="1:9" ht="68.650000000000006" customHeight="1" x14ac:dyDescent="0.2">
      <c r="A466">
        <v>466</v>
      </c>
      <c r="B46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66" t="str">
        <f>IF(LEFT(TRIM('MSR RAW'!A466),11)="Department:",TRIM('MSR RAW'!A466),C465)</f>
        <v>Department: 36637 - SPECIALTY CONCESSIONS (VENDING)</v>
      </c>
      <c r="D466" t="str">
        <f>IF(LEFT(TRIM('MSR RAW'!B466),9)="Location:",TRIM(MID('MSR RAW'!B466,10,999)),D465)</f>
        <v>FB 155 - SUB ISLAND NOODLES</v>
      </c>
      <c r="E466" t="str">
        <f>IF(AND(ISNUMBER(SEARCH(" - ",TRIM('MSR RAW'!C466))),RIGHT(TRIM('MSR RAW'!C466),6)="Total:"),LEFT(TRIM('MSR RAW'!C466),SEARCH(" - ",TRIM('MSR RAW'!C466))-1),"")</f>
        <v/>
      </c>
      <c r="F466" t="str">
        <f>IF(E466="","",TRIM(MID(TRIM('MSR RAW'!C466),SEARCH(" - ",TRIM('MSR RAW'!C466))+3,LEN(TRIM('MSR RAW'!C466))-SEARCH(" - ",TRIM('MSR RAW'!C466))-9)))</f>
        <v/>
      </c>
      <c r="G466" t="str">
        <f>IF(E466="","",IFERROR(VLOOKUP(E466,'CATEGORY MAP'!$A$2:$B$20,2,FALSE()),"REVIEW"))</f>
        <v/>
      </c>
      <c r="H466" t="str">
        <f>IF(E466="","",IFERROR(VALUE(SUBSTITUTE('MSR RAW'!P466,",","")),0))</f>
        <v/>
      </c>
      <c r="I466" t="str">
        <f>IF(E466="","",IFERROR(VALUE(SUBSTITUTE('MSR RAW'!S466,",","")),0))</f>
        <v/>
      </c>
    </row>
    <row r="467" spans="1:9" ht="68.650000000000006" customHeight="1" x14ac:dyDescent="0.2">
      <c r="A467">
        <v>467</v>
      </c>
      <c r="B46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67" t="str">
        <f>IF(LEFT(TRIM('MSR RAW'!A467),11)="Department:",TRIM('MSR RAW'!A467),C466)</f>
        <v>Department: 36637 - SPECIALTY CONCESSIONS (VENDING)</v>
      </c>
      <c r="D467" t="str">
        <f>IF(LEFT(TRIM('MSR RAW'!B467),9)="Location:",TRIM(MID('MSR RAW'!B467,10,999)),D466)</f>
        <v>FB 155 - SUB ISLAND NOODLES</v>
      </c>
      <c r="E467" t="str">
        <f>IF(AND(ISNUMBER(SEARCH(" - ",TRIM('MSR RAW'!C467))),RIGHT(TRIM('MSR RAW'!C467),6)="Total:"),LEFT(TRIM('MSR RAW'!C467),SEARCH(" - ",TRIM('MSR RAW'!C467))-1),"")</f>
        <v/>
      </c>
      <c r="F467" t="str">
        <f>IF(E467="","",TRIM(MID(TRIM('MSR RAW'!C467),SEARCH(" - ",TRIM('MSR RAW'!C467))+3,LEN(TRIM('MSR RAW'!C467))-SEARCH(" - ",TRIM('MSR RAW'!C467))-9)))</f>
        <v/>
      </c>
      <c r="G467" t="str">
        <f>IF(E467="","",IFERROR(VLOOKUP(E467,'CATEGORY MAP'!$A$2:$B$20,2,FALSE()),"REVIEW"))</f>
        <v/>
      </c>
      <c r="H467" t="str">
        <f>IF(E467="","",IFERROR(VALUE(SUBSTITUTE('MSR RAW'!P467,",","")),0))</f>
        <v/>
      </c>
      <c r="I467" t="str">
        <f>IF(E467="","",IFERROR(VALUE(SUBSTITUTE('MSR RAW'!S467,",","")),0))</f>
        <v/>
      </c>
    </row>
    <row r="468" spans="1:9" ht="68.650000000000006" customHeight="1" x14ac:dyDescent="0.2">
      <c r="A468">
        <v>468</v>
      </c>
      <c r="B46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68" t="str">
        <f>IF(LEFT(TRIM('MSR RAW'!A468),11)="Department:",TRIM('MSR RAW'!A468),C467)</f>
        <v>Department: 36637 - SPECIALTY CONCESSIONS (VENDING)</v>
      </c>
      <c r="D468" t="str">
        <f>IF(LEFT(TRIM('MSR RAW'!B468),9)="Location:",TRIM(MID('MSR RAW'!B468,10,999)),D467)</f>
        <v>FB 155 - SUB ISLAND NOODLES</v>
      </c>
      <c r="E468" t="str">
        <f>IF(AND(ISNUMBER(SEARCH(" - ",TRIM('MSR RAW'!C468))),RIGHT(TRIM('MSR RAW'!C468),6)="Total:"),LEFT(TRIM('MSR RAW'!C468),SEARCH(" - ",TRIM('MSR RAW'!C468))-1),"")</f>
        <v/>
      </c>
      <c r="F468" t="str">
        <f>IF(E468="","",TRIM(MID(TRIM('MSR RAW'!C468),SEARCH(" - ",TRIM('MSR RAW'!C468))+3,LEN(TRIM('MSR RAW'!C468))-SEARCH(" - ",TRIM('MSR RAW'!C468))-9)))</f>
        <v/>
      </c>
      <c r="G468" t="str">
        <f>IF(E468="","",IFERROR(VLOOKUP(E468,'CATEGORY MAP'!$A$2:$B$20,2,FALSE()),"REVIEW"))</f>
        <v/>
      </c>
      <c r="H468" t="str">
        <f>IF(E468="","",IFERROR(VALUE(SUBSTITUTE('MSR RAW'!P468,",","")),0))</f>
        <v/>
      </c>
      <c r="I468" t="str">
        <f>IF(E468="","",IFERROR(VALUE(SUBSTITUTE('MSR RAW'!S468,",","")),0))</f>
        <v/>
      </c>
    </row>
    <row r="469" spans="1:9" ht="68.650000000000006" customHeight="1" x14ac:dyDescent="0.2">
      <c r="A469">
        <v>469</v>
      </c>
      <c r="B46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69" t="str">
        <f>IF(LEFT(TRIM('MSR RAW'!A469),11)="Department:",TRIM('MSR RAW'!A469),C468)</f>
        <v>Department: 36637 - SPECIALTY CONCESSIONS (VENDING)</v>
      </c>
      <c r="D469" t="str">
        <f>IF(LEFT(TRIM('MSR RAW'!B469),9)="Location:",TRIM(MID('MSR RAW'!B469,10,999)),D468)</f>
        <v>FB 155 - SUB ISLAND NOODLES</v>
      </c>
      <c r="E469" t="str">
        <f>IF(AND(ISNUMBER(SEARCH(" - ",TRIM('MSR RAW'!C469))),RIGHT(TRIM('MSR RAW'!C469),6)="Total:"),LEFT(TRIM('MSR RAW'!C469),SEARCH(" - ",TRIM('MSR RAW'!C469))-1),"")</f>
        <v/>
      </c>
      <c r="F469" t="str">
        <f>IF(E469="","",TRIM(MID(TRIM('MSR RAW'!C469),SEARCH(" - ",TRIM('MSR RAW'!C469))+3,LEN(TRIM('MSR RAW'!C469))-SEARCH(" - ",TRIM('MSR RAW'!C469))-9)))</f>
        <v/>
      </c>
      <c r="G469" t="str">
        <f>IF(E469="","",IFERROR(VLOOKUP(E469,'CATEGORY MAP'!$A$2:$B$20,2,FALSE()),"REVIEW"))</f>
        <v/>
      </c>
      <c r="H469" t="str">
        <f>IF(E469="","",IFERROR(VALUE(SUBSTITUTE('MSR RAW'!P469,",","")),0))</f>
        <v/>
      </c>
      <c r="I469" t="str">
        <f>IF(E469="","",IFERROR(VALUE(SUBSTITUTE('MSR RAW'!S469,",","")),0))</f>
        <v/>
      </c>
    </row>
    <row r="470" spans="1:9" ht="68.650000000000006" customHeight="1" x14ac:dyDescent="0.2">
      <c r="A470">
        <v>470</v>
      </c>
      <c r="B47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70" t="str">
        <f>IF(LEFT(TRIM('MSR RAW'!A470),11)="Department:",TRIM('MSR RAW'!A470),C469)</f>
        <v>Department: 36637 - SPECIALTY CONCESSIONS (VENDING)</v>
      </c>
      <c r="D470" t="str">
        <f>IF(LEFT(TRIM('MSR RAW'!B470),9)="Location:",TRIM(MID('MSR RAW'!B470,10,999)),D469)</f>
        <v>FB 155 - SUB ISLAND NOODLES</v>
      </c>
      <c r="E470" t="str">
        <f>IF(AND(ISNUMBER(SEARCH(" - ",TRIM('MSR RAW'!C470))),RIGHT(TRIM('MSR RAW'!C470),6)="Total:"),LEFT(TRIM('MSR RAW'!C470),SEARCH(" - ",TRIM('MSR RAW'!C470))-1),"")</f>
        <v/>
      </c>
      <c r="F470" t="str">
        <f>IF(E470="","",TRIM(MID(TRIM('MSR RAW'!C470),SEARCH(" - ",TRIM('MSR RAW'!C470))+3,LEN(TRIM('MSR RAW'!C470))-SEARCH(" - ",TRIM('MSR RAW'!C470))-9)))</f>
        <v/>
      </c>
      <c r="G470" t="str">
        <f>IF(E470="","",IFERROR(VLOOKUP(E470,'CATEGORY MAP'!$A$2:$B$20,2,FALSE()),"REVIEW"))</f>
        <v/>
      </c>
      <c r="H470" t="str">
        <f>IF(E470="","",IFERROR(VALUE(SUBSTITUTE('MSR RAW'!P470,",","")),0))</f>
        <v/>
      </c>
      <c r="I470" t="str">
        <f>IF(E470="","",IFERROR(VALUE(SUBSTITUTE('MSR RAW'!S470,",","")),0))</f>
        <v/>
      </c>
    </row>
    <row r="471" spans="1:9" ht="68.650000000000006" customHeight="1" x14ac:dyDescent="0.2">
      <c r="A471">
        <v>471</v>
      </c>
      <c r="B47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71" t="str">
        <f>IF(LEFT(TRIM('MSR RAW'!A471),11)="Department:",TRIM('MSR RAW'!A471),C470)</f>
        <v>Department: 36637 - SPECIALTY CONCESSIONS (VENDING)</v>
      </c>
      <c r="D471" t="str">
        <f>IF(LEFT(TRIM('MSR RAW'!B471),9)="Location:",TRIM(MID('MSR RAW'!B471,10,999)),D470)</f>
        <v>FB 155 - SUB ISLAND NOODLES</v>
      </c>
      <c r="E471" t="str">
        <f>IF(AND(ISNUMBER(SEARCH(" - ",TRIM('MSR RAW'!C471))),RIGHT(TRIM('MSR RAW'!C471),6)="Total:"),LEFT(TRIM('MSR RAW'!C471),SEARCH(" - ",TRIM('MSR RAW'!C471))-1),"")</f>
        <v/>
      </c>
      <c r="F471" t="str">
        <f>IF(E471="","",TRIM(MID(TRIM('MSR RAW'!C471),SEARCH(" - ",TRIM('MSR RAW'!C471))+3,LEN(TRIM('MSR RAW'!C471))-SEARCH(" - ",TRIM('MSR RAW'!C471))-9)))</f>
        <v/>
      </c>
      <c r="G471" t="str">
        <f>IF(E471="","",IFERROR(VLOOKUP(E471,'CATEGORY MAP'!$A$2:$B$20,2,FALSE()),"REVIEW"))</f>
        <v/>
      </c>
      <c r="H471" t="str">
        <f>IF(E471="","",IFERROR(VALUE(SUBSTITUTE('MSR RAW'!P471,",","")),0))</f>
        <v/>
      </c>
      <c r="I471" t="str">
        <f>IF(E471="","",IFERROR(VALUE(SUBSTITUTE('MSR RAW'!S471,",","")),0))</f>
        <v/>
      </c>
    </row>
    <row r="472" spans="1:9" ht="68.650000000000006" customHeight="1" x14ac:dyDescent="0.2">
      <c r="A472">
        <v>472</v>
      </c>
      <c r="B47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72" t="str">
        <f>IF(LEFT(TRIM('MSR RAW'!A472),11)="Department:",TRIM('MSR RAW'!A472),C471)</f>
        <v>Department: 36637 - SPECIALTY CONCESSIONS (VENDING)</v>
      </c>
      <c r="D472" t="str">
        <f>IF(LEFT(TRIM('MSR RAW'!B472),9)="Location:",TRIM(MID('MSR RAW'!B472,10,999)),D471)</f>
        <v>FB 155 - SUB ISLAND NOODLES</v>
      </c>
      <c r="E472" t="str">
        <f>IF(AND(ISNUMBER(SEARCH(" - ",TRIM('MSR RAW'!C472))),RIGHT(TRIM('MSR RAW'!C472),6)="Total:"),LEFT(TRIM('MSR RAW'!C472),SEARCH(" - ",TRIM('MSR RAW'!C472))-1),"")</f>
        <v/>
      </c>
      <c r="F472" t="str">
        <f>IF(E472="","",TRIM(MID(TRIM('MSR RAW'!C472),SEARCH(" - ",TRIM('MSR RAW'!C472))+3,LEN(TRIM('MSR RAW'!C472))-SEARCH(" - ",TRIM('MSR RAW'!C472))-9)))</f>
        <v/>
      </c>
      <c r="G472" t="str">
        <f>IF(E472="","",IFERROR(VLOOKUP(E472,'CATEGORY MAP'!$A$2:$B$20,2,FALSE()),"REVIEW"))</f>
        <v/>
      </c>
      <c r="H472" t="str">
        <f>IF(E472="","",IFERROR(VALUE(SUBSTITUTE('MSR RAW'!P472,",","")),0))</f>
        <v/>
      </c>
      <c r="I472" t="str">
        <f>IF(E472="","",IFERROR(VALUE(SUBSTITUTE('MSR RAW'!S472,",","")),0))</f>
        <v/>
      </c>
    </row>
    <row r="473" spans="1:9" ht="68.650000000000006" customHeight="1" x14ac:dyDescent="0.2">
      <c r="A473">
        <v>473</v>
      </c>
      <c r="B47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73" t="str">
        <f>IF(LEFT(TRIM('MSR RAW'!A473),11)="Department:",TRIM('MSR RAW'!A473),C472)</f>
        <v>Department: 36637 - SPECIALTY CONCESSIONS (VENDING)</v>
      </c>
      <c r="D473" t="str">
        <f>IF(LEFT(TRIM('MSR RAW'!B473),9)="Location:",TRIM(MID('MSR RAW'!B473,10,999)),D472)</f>
        <v>FB 155 - SUB ISLAND NOODLES</v>
      </c>
      <c r="E473" t="str">
        <f>IF(AND(ISNUMBER(SEARCH(" - ",TRIM('MSR RAW'!C473))),RIGHT(TRIM('MSR RAW'!C473),6)="Total:"),LEFT(TRIM('MSR RAW'!C473),SEARCH(" - ",TRIM('MSR RAW'!C473))-1),"")</f>
        <v/>
      </c>
      <c r="F473" t="str">
        <f>IF(E473="","",TRIM(MID(TRIM('MSR RAW'!C473),SEARCH(" - ",TRIM('MSR RAW'!C473))+3,LEN(TRIM('MSR RAW'!C473))-SEARCH(" - ",TRIM('MSR RAW'!C473))-9)))</f>
        <v/>
      </c>
      <c r="G473" t="str">
        <f>IF(E473="","",IFERROR(VLOOKUP(E473,'CATEGORY MAP'!$A$2:$B$20,2,FALSE()),"REVIEW"))</f>
        <v/>
      </c>
      <c r="H473" t="str">
        <f>IF(E473="","",IFERROR(VALUE(SUBSTITUTE('MSR RAW'!P473,",","")),0))</f>
        <v/>
      </c>
      <c r="I473" t="str">
        <f>IF(E473="","",IFERROR(VALUE(SUBSTITUTE('MSR RAW'!S473,",","")),0))</f>
        <v/>
      </c>
    </row>
    <row r="474" spans="1:9" ht="68.650000000000006" customHeight="1" x14ac:dyDescent="0.2">
      <c r="A474">
        <v>474</v>
      </c>
      <c r="B47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74" t="str">
        <f>IF(LEFT(TRIM('MSR RAW'!A474),11)="Department:",TRIM('MSR RAW'!A474),C473)</f>
        <v>Department: 36637 - SPECIALTY CONCESSIONS (VENDING)</v>
      </c>
      <c r="D474" t="str">
        <f>IF(LEFT(TRIM('MSR RAW'!B474),9)="Location:",TRIM(MID('MSR RAW'!B474,10,999)),D473)</f>
        <v>FB 155 - SUB ISLAND NOODLES</v>
      </c>
      <c r="E474" t="str">
        <f>IF(AND(ISNUMBER(SEARCH(" - ",TRIM('MSR RAW'!C474))),RIGHT(TRIM('MSR RAW'!C474),6)="Total:"),LEFT(TRIM('MSR RAW'!C474),SEARCH(" - ",TRIM('MSR RAW'!C474))-1),"")</f>
        <v/>
      </c>
      <c r="F474" t="str">
        <f>IF(E474="","",TRIM(MID(TRIM('MSR RAW'!C474),SEARCH(" - ",TRIM('MSR RAW'!C474))+3,LEN(TRIM('MSR RAW'!C474))-SEARCH(" - ",TRIM('MSR RAW'!C474))-9)))</f>
        <v/>
      </c>
      <c r="G474" t="str">
        <f>IF(E474="","",IFERROR(VLOOKUP(E474,'CATEGORY MAP'!$A$2:$B$20,2,FALSE()),"REVIEW"))</f>
        <v/>
      </c>
      <c r="H474" t="str">
        <f>IF(E474="","",IFERROR(VALUE(SUBSTITUTE('MSR RAW'!P474,",","")),0))</f>
        <v/>
      </c>
      <c r="I474" t="str">
        <f>IF(E474="","",IFERROR(VALUE(SUBSTITUTE('MSR RAW'!S474,",","")),0))</f>
        <v/>
      </c>
    </row>
    <row r="475" spans="1:9" ht="68.650000000000006" customHeight="1" x14ac:dyDescent="0.2">
      <c r="A475">
        <v>475</v>
      </c>
      <c r="B47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75" t="str">
        <f>IF(LEFT(TRIM('MSR RAW'!A475),11)="Department:",TRIM('MSR RAW'!A475),C474)</f>
        <v>Department: 36637 - SPECIALTY CONCESSIONS (VENDING)</v>
      </c>
      <c r="D475" t="str">
        <f>IF(LEFT(TRIM('MSR RAW'!B475),9)="Location:",TRIM(MID('MSR RAW'!B475,10,999)),D474)</f>
        <v>FB 155 - SUB ISLAND NOODLES</v>
      </c>
      <c r="E475" t="str">
        <f>IF(AND(ISNUMBER(SEARCH(" - ",TRIM('MSR RAW'!C475))),RIGHT(TRIM('MSR RAW'!C475),6)="Total:"),LEFT(TRIM('MSR RAW'!C475),SEARCH(" - ",TRIM('MSR RAW'!C475))-1),"")</f>
        <v/>
      </c>
      <c r="F475" t="str">
        <f>IF(E475="","",TRIM(MID(TRIM('MSR RAW'!C475),SEARCH(" - ",TRIM('MSR RAW'!C475))+3,LEN(TRIM('MSR RAW'!C475))-SEARCH(" - ",TRIM('MSR RAW'!C475))-9)))</f>
        <v/>
      </c>
      <c r="G475" t="str">
        <f>IF(E475="","",IFERROR(VLOOKUP(E475,'CATEGORY MAP'!$A$2:$B$20,2,FALSE()),"REVIEW"))</f>
        <v/>
      </c>
      <c r="H475" t="str">
        <f>IF(E475="","",IFERROR(VALUE(SUBSTITUTE('MSR RAW'!P475,",","")),0))</f>
        <v/>
      </c>
      <c r="I475" t="str">
        <f>IF(E475="","",IFERROR(VALUE(SUBSTITUTE('MSR RAW'!S475,",","")),0))</f>
        <v/>
      </c>
    </row>
    <row r="476" spans="1:9" ht="68.650000000000006" customHeight="1" x14ac:dyDescent="0.2">
      <c r="A476">
        <v>476</v>
      </c>
      <c r="B47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76" t="str">
        <f>IF(LEFT(TRIM('MSR RAW'!A476),11)="Department:",TRIM('MSR RAW'!A476),C475)</f>
        <v>Department: 36637 - SPECIALTY CONCESSIONS (VENDING)</v>
      </c>
      <c r="D476" t="str">
        <f>IF(LEFT(TRIM('MSR RAW'!B476),9)="Location:",TRIM(MID('MSR RAW'!B476,10,999)),D475)</f>
        <v>FB 155 - SUB ISLAND NOODLES</v>
      </c>
      <c r="E476" t="str">
        <f>IF(AND(ISNUMBER(SEARCH(" - ",TRIM('MSR RAW'!C476))),RIGHT(TRIM('MSR RAW'!C476),6)="Total:"),LEFT(TRIM('MSR RAW'!C476),SEARCH(" - ",TRIM('MSR RAW'!C476))-1),"")</f>
        <v/>
      </c>
      <c r="F476" t="str">
        <f>IF(E476="","",TRIM(MID(TRIM('MSR RAW'!C476),SEARCH(" - ",TRIM('MSR RAW'!C476))+3,LEN(TRIM('MSR RAW'!C476))-SEARCH(" - ",TRIM('MSR RAW'!C476))-9)))</f>
        <v/>
      </c>
      <c r="G476" t="str">
        <f>IF(E476="","",IFERROR(VLOOKUP(E476,'CATEGORY MAP'!$A$2:$B$20,2,FALSE()),"REVIEW"))</f>
        <v/>
      </c>
      <c r="H476" t="str">
        <f>IF(E476="","",IFERROR(VALUE(SUBSTITUTE('MSR RAW'!P476,",","")),0))</f>
        <v/>
      </c>
      <c r="I476" t="str">
        <f>IF(E476="","",IFERROR(VALUE(SUBSTITUTE('MSR RAW'!S476,",","")),0))</f>
        <v/>
      </c>
    </row>
    <row r="477" spans="1:9" ht="68.650000000000006" customHeight="1" x14ac:dyDescent="0.2">
      <c r="A477">
        <v>477</v>
      </c>
      <c r="B47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77" t="str">
        <f>IF(LEFT(TRIM('MSR RAW'!A477),11)="Department:",TRIM('MSR RAW'!A477),C476)</f>
        <v>Department: 36637 - SPECIALTY CONCESSIONS (VENDING)</v>
      </c>
      <c r="D477" t="str">
        <f>IF(LEFT(TRIM('MSR RAW'!B477),9)="Location:",TRIM(MID('MSR RAW'!B477,10,999)),D476)</f>
        <v>FB 155 - SUB ISLAND NOODLES</v>
      </c>
      <c r="E477" t="str">
        <f>IF(AND(ISNUMBER(SEARCH(" - ",TRIM('MSR RAW'!C477))),RIGHT(TRIM('MSR RAW'!C477),6)="Total:"),LEFT(TRIM('MSR RAW'!C477),SEARCH(" - ",TRIM('MSR RAW'!C477))-1),"")</f>
        <v/>
      </c>
      <c r="F477" t="str">
        <f>IF(E477="","",TRIM(MID(TRIM('MSR RAW'!C477),SEARCH(" - ",TRIM('MSR RAW'!C477))+3,LEN(TRIM('MSR RAW'!C477))-SEARCH(" - ",TRIM('MSR RAW'!C477))-9)))</f>
        <v/>
      </c>
      <c r="G477" t="str">
        <f>IF(E477="","",IFERROR(VLOOKUP(E477,'CATEGORY MAP'!$A$2:$B$20,2,FALSE()),"REVIEW"))</f>
        <v/>
      </c>
      <c r="H477" t="str">
        <f>IF(E477="","",IFERROR(VALUE(SUBSTITUTE('MSR RAW'!P477,",","")),0))</f>
        <v/>
      </c>
      <c r="I477" t="str">
        <f>IF(E477="","",IFERROR(VALUE(SUBSTITUTE('MSR RAW'!S477,",","")),0))</f>
        <v/>
      </c>
    </row>
    <row r="478" spans="1:9" ht="68.650000000000006" customHeight="1" x14ac:dyDescent="0.2">
      <c r="A478">
        <v>478</v>
      </c>
      <c r="B47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78" t="str">
        <f>IF(LEFT(TRIM('MSR RAW'!A478),11)="Department:",TRIM('MSR RAW'!A478),C477)</f>
        <v>Department: 36637 - SPECIALTY CONCESSIONS (VENDING)</v>
      </c>
      <c r="D478" t="str">
        <f>IF(LEFT(TRIM('MSR RAW'!B478),9)="Location:",TRIM(MID('MSR RAW'!B478,10,999)),D477)</f>
        <v>FB 155 - SUB ISLAND NOODLES</v>
      </c>
      <c r="E478" t="str">
        <f>IF(AND(ISNUMBER(SEARCH(" - ",TRIM('MSR RAW'!C478))),RIGHT(TRIM('MSR RAW'!C478),6)="Total:"),LEFT(TRIM('MSR RAW'!C478),SEARCH(" - ",TRIM('MSR RAW'!C478))-1),"")</f>
        <v/>
      </c>
      <c r="F478" t="str">
        <f>IF(E478="","",TRIM(MID(TRIM('MSR RAW'!C478),SEARCH(" - ",TRIM('MSR RAW'!C478))+3,LEN(TRIM('MSR RAW'!C478))-SEARCH(" - ",TRIM('MSR RAW'!C478))-9)))</f>
        <v/>
      </c>
      <c r="G478" t="str">
        <f>IF(E478="","",IFERROR(VLOOKUP(E478,'CATEGORY MAP'!$A$2:$B$20,2,FALSE()),"REVIEW"))</f>
        <v/>
      </c>
      <c r="H478" t="str">
        <f>IF(E478="","",IFERROR(VALUE(SUBSTITUTE('MSR RAW'!P478,",","")),0))</f>
        <v/>
      </c>
      <c r="I478" t="str">
        <f>IF(E478="","",IFERROR(VALUE(SUBSTITUTE('MSR RAW'!S478,",","")),0))</f>
        <v/>
      </c>
    </row>
    <row r="479" spans="1:9" ht="68.650000000000006" customHeight="1" x14ac:dyDescent="0.2">
      <c r="A479">
        <v>479</v>
      </c>
      <c r="B47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79" t="str">
        <f>IF(LEFT(TRIM('MSR RAW'!A479),11)="Department:",TRIM('MSR RAW'!A479),C478)</f>
        <v>Department: 36637 - SPECIALTY CONCESSIONS (VENDING)</v>
      </c>
      <c r="D479" t="str">
        <f>IF(LEFT(TRIM('MSR RAW'!B479),9)="Location:",TRIM(MID('MSR RAW'!B479,10,999)),D478)</f>
        <v>FB 155 - SUB ISLAND NOODLES</v>
      </c>
      <c r="E479" t="str">
        <f>IF(AND(ISNUMBER(SEARCH(" - ",TRIM('MSR RAW'!C479))),RIGHT(TRIM('MSR RAW'!C479),6)="Total:"),LEFT(TRIM('MSR RAW'!C479),SEARCH(" - ",TRIM('MSR RAW'!C479))-1),"")</f>
        <v/>
      </c>
      <c r="F479" t="str">
        <f>IF(E479="","",TRIM(MID(TRIM('MSR RAW'!C479),SEARCH(" - ",TRIM('MSR RAW'!C479))+3,LEN(TRIM('MSR RAW'!C479))-SEARCH(" - ",TRIM('MSR RAW'!C479))-9)))</f>
        <v/>
      </c>
      <c r="G479" t="str">
        <f>IF(E479="","",IFERROR(VLOOKUP(E479,'CATEGORY MAP'!$A$2:$B$20,2,FALSE()),"REVIEW"))</f>
        <v/>
      </c>
      <c r="H479" t="str">
        <f>IF(E479="","",IFERROR(VALUE(SUBSTITUTE('MSR RAW'!P479,",","")),0))</f>
        <v/>
      </c>
      <c r="I479" t="str">
        <f>IF(E479="","",IFERROR(VALUE(SUBSTITUTE('MSR RAW'!S479,",","")),0))</f>
        <v/>
      </c>
    </row>
    <row r="480" spans="1:9" ht="68.650000000000006" customHeight="1" x14ac:dyDescent="0.2">
      <c r="A480">
        <v>480</v>
      </c>
      <c r="B48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80" t="str">
        <f>IF(LEFT(TRIM('MSR RAW'!A480),11)="Department:",TRIM('MSR RAW'!A480),C479)</f>
        <v>Department: 36637 - SPECIALTY CONCESSIONS (VENDING)</v>
      </c>
      <c r="D480" t="str">
        <f>IF(LEFT(TRIM('MSR RAW'!B480),9)="Location:",TRIM(MID('MSR RAW'!B480,10,999)),D479)</f>
        <v>FB 155 - SUB ISLAND NOODLES</v>
      </c>
      <c r="E480" t="str">
        <f>IF(AND(ISNUMBER(SEARCH(" - ",TRIM('MSR RAW'!C480))),RIGHT(TRIM('MSR RAW'!C480),6)="Total:"),LEFT(TRIM('MSR RAW'!C480),SEARCH(" - ",TRIM('MSR RAW'!C480))-1),"")</f>
        <v/>
      </c>
      <c r="F480" t="str">
        <f>IF(E480="","",TRIM(MID(TRIM('MSR RAW'!C480),SEARCH(" - ",TRIM('MSR RAW'!C480))+3,LEN(TRIM('MSR RAW'!C480))-SEARCH(" - ",TRIM('MSR RAW'!C480))-9)))</f>
        <v/>
      </c>
      <c r="G480" t="str">
        <f>IF(E480="","",IFERROR(VLOOKUP(E480,'CATEGORY MAP'!$A$2:$B$20,2,FALSE()),"REVIEW"))</f>
        <v/>
      </c>
      <c r="H480" t="str">
        <f>IF(E480="","",IFERROR(VALUE(SUBSTITUTE('MSR RAW'!P480,",","")),0))</f>
        <v/>
      </c>
      <c r="I480" t="str">
        <f>IF(E480="","",IFERROR(VALUE(SUBSTITUTE('MSR RAW'!S480,",","")),0))</f>
        <v/>
      </c>
    </row>
    <row r="481" spans="1:9" ht="68.650000000000006" customHeight="1" x14ac:dyDescent="0.2">
      <c r="A481">
        <v>481</v>
      </c>
      <c r="B48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81" t="str">
        <f>IF(LEFT(TRIM('MSR RAW'!A481),11)="Department:",TRIM('MSR RAW'!A481),C480)</f>
        <v>Department: 36637 - SPECIALTY CONCESSIONS (VENDING)</v>
      </c>
      <c r="D481" t="str">
        <f>IF(LEFT(TRIM('MSR RAW'!B481),9)="Location:",TRIM(MID('MSR RAW'!B481,10,999)),D480)</f>
        <v>FB 155 - SUB ISLAND NOODLES</v>
      </c>
      <c r="E481" t="str">
        <f>IF(AND(ISNUMBER(SEARCH(" - ",TRIM('MSR RAW'!C481))),RIGHT(TRIM('MSR RAW'!C481),6)="Total:"),LEFT(TRIM('MSR RAW'!C481),SEARCH(" - ",TRIM('MSR RAW'!C481))-1),"")</f>
        <v/>
      </c>
      <c r="F481" t="str">
        <f>IF(E481="","",TRIM(MID(TRIM('MSR RAW'!C481),SEARCH(" - ",TRIM('MSR RAW'!C481))+3,LEN(TRIM('MSR RAW'!C481))-SEARCH(" - ",TRIM('MSR RAW'!C481))-9)))</f>
        <v/>
      </c>
      <c r="G481" t="str">
        <f>IF(E481="","",IFERROR(VLOOKUP(E481,'CATEGORY MAP'!$A$2:$B$20,2,FALSE()),"REVIEW"))</f>
        <v/>
      </c>
      <c r="H481" t="str">
        <f>IF(E481="","",IFERROR(VALUE(SUBSTITUTE('MSR RAW'!P481,",","")),0))</f>
        <v/>
      </c>
      <c r="I481" t="str">
        <f>IF(E481="","",IFERROR(VALUE(SUBSTITUTE('MSR RAW'!S481,",","")),0))</f>
        <v/>
      </c>
    </row>
    <row r="482" spans="1:9" ht="68.650000000000006" customHeight="1" x14ac:dyDescent="0.2">
      <c r="A482">
        <v>482</v>
      </c>
      <c r="B48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82" t="str">
        <f>IF(LEFT(TRIM('MSR RAW'!A482),11)="Department:",TRIM('MSR RAW'!A482),C481)</f>
        <v>Department: 36637 - SPECIALTY CONCESSIONS (VENDING)</v>
      </c>
      <c r="D482" t="str">
        <f>IF(LEFT(TRIM('MSR RAW'!B482),9)="Location:",TRIM(MID('MSR RAW'!B482,10,999)),D481)</f>
        <v>FB 155 - SUB ISLAND NOODLES</v>
      </c>
      <c r="E482" t="str">
        <f>IF(AND(ISNUMBER(SEARCH(" - ",TRIM('MSR RAW'!C482))),RIGHT(TRIM('MSR RAW'!C482),6)="Total:"),LEFT(TRIM('MSR RAW'!C482),SEARCH(" - ",TRIM('MSR RAW'!C482))-1),"")</f>
        <v/>
      </c>
      <c r="F482" t="str">
        <f>IF(E482="","",TRIM(MID(TRIM('MSR RAW'!C482),SEARCH(" - ",TRIM('MSR RAW'!C482))+3,LEN(TRIM('MSR RAW'!C482))-SEARCH(" - ",TRIM('MSR RAW'!C482))-9)))</f>
        <v/>
      </c>
      <c r="G482" t="str">
        <f>IF(E482="","",IFERROR(VLOOKUP(E482,'CATEGORY MAP'!$A$2:$B$20,2,FALSE()),"REVIEW"))</f>
        <v/>
      </c>
      <c r="H482" t="str">
        <f>IF(E482="","",IFERROR(VALUE(SUBSTITUTE('MSR RAW'!P482,",","")),0))</f>
        <v/>
      </c>
      <c r="I482" t="str">
        <f>IF(E482="","",IFERROR(VALUE(SUBSTITUTE('MSR RAW'!S482,",","")),0))</f>
        <v/>
      </c>
    </row>
    <row r="483" spans="1:9" ht="68.650000000000006" customHeight="1" x14ac:dyDescent="0.2">
      <c r="A483">
        <v>483</v>
      </c>
      <c r="B48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83" t="str">
        <f>IF(LEFT(TRIM('MSR RAW'!A483),11)="Department:",TRIM('MSR RAW'!A483),C482)</f>
        <v>Department: 36637 - SPECIALTY CONCESSIONS (VENDING)</v>
      </c>
      <c r="D483" t="str">
        <f>IF(LEFT(TRIM('MSR RAW'!B483),9)="Location:",TRIM(MID('MSR RAW'!B483,10,999)),D482)</f>
        <v>FB 155 - SUB ISLAND NOODLES</v>
      </c>
      <c r="E483" t="str">
        <f>IF(AND(ISNUMBER(SEARCH(" - ",TRIM('MSR RAW'!C483))),RIGHT(TRIM('MSR RAW'!C483),6)="Total:"),LEFT(TRIM('MSR RAW'!C483),SEARCH(" - ",TRIM('MSR RAW'!C483))-1),"")</f>
        <v/>
      </c>
      <c r="F483" t="str">
        <f>IF(E483="","",TRIM(MID(TRIM('MSR RAW'!C483),SEARCH(" - ",TRIM('MSR RAW'!C483))+3,LEN(TRIM('MSR RAW'!C483))-SEARCH(" - ",TRIM('MSR RAW'!C483))-9)))</f>
        <v/>
      </c>
      <c r="G483" t="str">
        <f>IF(E483="","",IFERROR(VLOOKUP(E483,'CATEGORY MAP'!$A$2:$B$20,2,FALSE()),"REVIEW"))</f>
        <v/>
      </c>
      <c r="H483" t="str">
        <f>IF(E483="","",IFERROR(VALUE(SUBSTITUTE('MSR RAW'!P483,",","")),0))</f>
        <v/>
      </c>
      <c r="I483" t="str">
        <f>IF(E483="","",IFERROR(VALUE(SUBSTITUTE('MSR RAW'!S483,",","")),0))</f>
        <v/>
      </c>
    </row>
    <row r="484" spans="1:9" ht="68.650000000000006" customHeight="1" x14ac:dyDescent="0.2">
      <c r="A484">
        <v>484</v>
      </c>
      <c r="B48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84" t="str">
        <f>IF(LEFT(TRIM('MSR RAW'!A484),11)="Department:",TRIM('MSR RAW'!A484),C483)</f>
        <v>Department: 36637 - SPECIALTY CONCESSIONS (VENDING)</v>
      </c>
      <c r="D484" t="str">
        <f>IF(LEFT(TRIM('MSR RAW'!B484),9)="Location:",TRIM(MID('MSR RAW'!B484,10,999)),D483)</f>
        <v>FB 155 - SUB ISLAND NOODLES</v>
      </c>
      <c r="E484" t="str">
        <f>IF(AND(ISNUMBER(SEARCH(" - ",TRIM('MSR RAW'!C484))),RIGHT(TRIM('MSR RAW'!C484),6)="Total:"),LEFT(TRIM('MSR RAW'!C484),SEARCH(" - ",TRIM('MSR RAW'!C484))-1),"")</f>
        <v/>
      </c>
      <c r="F484" t="str">
        <f>IF(E484="","",TRIM(MID(TRIM('MSR RAW'!C484),SEARCH(" - ",TRIM('MSR RAW'!C484))+3,LEN(TRIM('MSR RAW'!C484))-SEARCH(" - ",TRIM('MSR RAW'!C484))-9)))</f>
        <v/>
      </c>
      <c r="G484" t="str">
        <f>IF(E484="","",IFERROR(VLOOKUP(E484,'CATEGORY MAP'!$A$2:$B$20,2,FALSE()),"REVIEW"))</f>
        <v/>
      </c>
      <c r="H484" t="str">
        <f>IF(E484="","",IFERROR(VALUE(SUBSTITUTE('MSR RAW'!P484,",","")),0))</f>
        <v/>
      </c>
      <c r="I484" t="str">
        <f>IF(E484="","",IFERROR(VALUE(SUBSTITUTE('MSR RAW'!S484,",","")),0))</f>
        <v/>
      </c>
    </row>
    <row r="485" spans="1:9" ht="68.650000000000006" customHeight="1" x14ac:dyDescent="0.2">
      <c r="A485">
        <v>485</v>
      </c>
      <c r="B48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85" t="str">
        <f>IF(LEFT(TRIM('MSR RAW'!A485),11)="Department:",TRIM('MSR RAW'!A485),C484)</f>
        <v>Department: 36637 - SPECIALTY CONCESSIONS (VENDING)</v>
      </c>
      <c r="D485" t="str">
        <f>IF(LEFT(TRIM('MSR RAW'!B485),9)="Location:",TRIM(MID('MSR RAW'!B485,10,999)),D484)</f>
        <v>FB 155 - SUB ISLAND NOODLES</v>
      </c>
      <c r="E485" t="str">
        <f>IF(AND(ISNUMBER(SEARCH(" - ",TRIM('MSR RAW'!C485))),RIGHT(TRIM('MSR RAW'!C485),6)="Total:"),LEFT(TRIM('MSR RAW'!C485),SEARCH(" - ",TRIM('MSR RAW'!C485))-1),"")</f>
        <v/>
      </c>
      <c r="F485" t="str">
        <f>IF(E485="","",TRIM(MID(TRIM('MSR RAW'!C485),SEARCH(" - ",TRIM('MSR RAW'!C485))+3,LEN(TRIM('MSR RAW'!C485))-SEARCH(" - ",TRIM('MSR RAW'!C485))-9)))</f>
        <v/>
      </c>
      <c r="G485" t="str">
        <f>IF(E485="","",IFERROR(VLOOKUP(E485,'CATEGORY MAP'!$A$2:$B$20,2,FALSE()),"REVIEW"))</f>
        <v/>
      </c>
      <c r="H485" t="str">
        <f>IF(E485="","",IFERROR(VALUE(SUBSTITUTE('MSR RAW'!P485,",","")),0))</f>
        <v/>
      </c>
      <c r="I485" t="str">
        <f>IF(E485="","",IFERROR(VALUE(SUBSTITUTE('MSR RAW'!S485,",","")),0))</f>
        <v/>
      </c>
    </row>
    <row r="486" spans="1:9" ht="68.650000000000006" customHeight="1" x14ac:dyDescent="0.2">
      <c r="A486">
        <v>486</v>
      </c>
      <c r="B48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86" t="str">
        <f>IF(LEFT(TRIM('MSR RAW'!A486),11)="Department:",TRIM('MSR RAW'!A486),C485)</f>
        <v>Department: 36637 - SPECIALTY CONCESSIONS (VENDING)</v>
      </c>
      <c r="D486" t="str">
        <f>IF(LEFT(TRIM('MSR RAW'!B486),9)="Location:",TRIM(MID('MSR RAW'!B486,10,999)),D485)</f>
        <v>FB 155 - SUB ISLAND NOODLES</v>
      </c>
      <c r="E486" t="str">
        <f>IF(AND(ISNUMBER(SEARCH(" - ",TRIM('MSR RAW'!C486))),RIGHT(TRIM('MSR RAW'!C486),6)="Total:"),LEFT(TRIM('MSR RAW'!C486),SEARCH(" - ",TRIM('MSR RAW'!C486))-1),"")</f>
        <v/>
      </c>
      <c r="F486" t="str">
        <f>IF(E486="","",TRIM(MID(TRIM('MSR RAW'!C486),SEARCH(" - ",TRIM('MSR RAW'!C486))+3,LEN(TRIM('MSR RAW'!C486))-SEARCH(" - ",TRIM('MSR RAW'!C486))-9)))</f>
        <v/>
      </c>
      <c r="G486" t="str">
        <f>IF(E486="","",IFERROR(VLOOKUP(E486,'CATEGORY MAP'!$A$2:$B$20,2,FALSE()),"REVIEW"))</f>
        <v/>
      </c>
      <c r="H486" t="str">
        <f>IF(E486="","",IFERROR(VALUE(SUBSTITUTE('MSR RAW'!P486,",","")),0))</f>
        <v/>
      </c>
      <c r="I486" t="str">
        <f>IF(E486="","",IFERROR(VALUE(SUBSTITUTE('MSR RAW'!S486,",","")),0))</f>
        <v/>
      </c>
    </row>
    <row r="487" spans="1:9" ht="68.650000000000006" customHeight="1" x14ac:dyDescent="0.2">
      <c r="A487">
        <v>487</v>
      </c>
      <c r="B48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87" t="str">
        <f>IF(LEFT(TRIM('MSR RAW'!A487),11)="Department:",TRIM('MSR RAW'!A487),C486)</f>
        <v>Department: 36637 - SPECIALTY CONCESSIONS (VENDING)</v>
      </c>
      <c r="D487" t="str">
        <f>IF(LEFT(TRIM('MSR RAW'!B487),9)="Location:",TRIM(MID('MSR RAW'!B487,10,999)),D486)</f>
        <v>FB 155 - SUB ISLAND NOODLES</v>
      </c>
      <c r="E487" t="str">
        <f>IF(AND(ISNUMBER(SEARCH(" - ",TRIM('MSR RAW'!C487))),RIGHT(TRIM('MSR RAW'!C487),6)="Total:"),LEFT(TRIM('MSR RAW'!C487),SEARCH(" - ",TRIM('MSR RAW'!C487))-1),"")</f>
        <v/>
      </c>
      <c r="F487" t="str">
        <f>IF(E487="","",TRIM(MID(TRIM('MSR RAW'!C487),SEARCH(" - ",TRIM('MSR RAW'!C487))+3,LEN(TRIM('MSR RAW'!C487))-SEARCH(" - ",TRIM('MSR RAW'!C487))-9)))</f>
        <v/>
      </c>
      <c r="G487" t="str">
        <f>IF(E487="","",IFERROR(VLOOKUP(E487,'CATEGORY MAP'!$A$2:$B$20,2,FALSE()),"REVIEW"))</f>
        <v/>
      </c>
      <c r="H487" t="str">
        <f>IF(E487="","",IFERROR(VALUE(SUBSTITUTE('MSR RAW'!P487,",","")),0))</f>
        <v/>
      </c>
      <c r="I487" t="str">
        <f>IF(E487="","",IFERROR(VALUE(SUBSTITUTE('MSR RAW'!S487,",","")),0))</f>
        <v/>
      </c>
    </row>
    <row r="488" spans="1:9" ht="68.650000000000006" customHeight="1" x14ac:dyDescent="0.2">
      <c r="A488">
        <v>488</v>
      </c>
      <c r="B48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88" t="str">
        <f>IF(LEFT(TRIM('MSR RAW'!A488),11)="Department:",TRIM('MSR RAW'!A488),C487)</f>
        <v>Department: 36637 - SPECIALTY CONCESSIONS (VENDING)</v>
      </c>
      <c r="D488" t="str">
        <f>IF(LEFT(TRIM('MSR RAW'!B488),9)="Location:",TRIM(MID('MSR RAW'!B488,10,999)),D487)</f>
        <v>FB 155 - SUB ISLAND NOODLES</v>
      </c>
      <c r="E488" t="str">
        <f>IF(AND(ISNUMBER(SEARCH(" - ",TRIM('MSR RAW'!C488))),RIGHT(TRIM('MSR RAW'!C488),6)="Total:"),LEFT(TRIM('MSR RAW'!C488),SEARCH(" - ",TRIM('MSR RAW'!C488))-1),"")</f>
        <v/>
      </c>
      <c r="F488" t="str">
        <f>IF(E488="","",TRIM(MID(TRIM('MSR RAW'!C488),SEARCH(" - ",TRIM('MSR RAW'!C488))+3,LEN(TRIM('MSR RAW'!C488))-SEARCH(" - ",TRIM('MSR RAW'!C488))-9)))</f>
        <v/>
      </c>
      <c r="G488" t="str">
        <f>IF(E488="","",IFERROR(VLOOKUP(E488,'CATEGORY MAP'!$A$2:$B$20,2,FALSE()),"REVIEW"))</f>
        <v/>
      </c>
      <c r="H488" t="str">
        <f>IF(E488="","",IFERROR(VALUE(SUBSTITUTE('MSR RAW'!P488,",","")),0))</f>
        <v/>
      </c>
      <c r="I488" t="str">
        <f>IF(E488="","",IFERROR(VALUE(SUBSTITUTE('MSR RAW'!S488,",","")),0))</f>
        <v/>
      </c>
    </row>
    <row r="489" spans="1:9" ht="68.650000000000006" customHeight="1" x14ac:dyDescent="0.2">
      <c r="A489">
        <v>489</v>
      </c>
      <c r="B48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89" t="str">
        <f>IF(LEFT(TRIM('MSR RAW'!A489),11)="Department:",TRIM('MSR RAW'!A489),C488)</f>
        <v>Department: 36637 - SPECIALTY CONCESSIONS (VENDING)</v>
      </c>
      <c r="D489" t="str">
        <f>IF(LEFT(TRIM('MSR RAW'!B489),9)="Location:",TRIM(MID('MSR RAW'!B489,10,999)),D488)</f>
        <v>FB 155 - SUB ISLAND NOODLES</v>
      </c>
      <c r="E489" t="str">
        <f>IF(AND(ISNUMBER(SEARCH(" - ",TRIM('MSR RAW'!C489))),RIGHT(TRIM('MSR RAW'!C489),6)="Total:"),LEFT(TRIM('MSR RAW'!C489),SEARCH(" - ",TRIM('MSR RAW'!C489))-1),"")</f>
        <v/>
      </c>
      <c r="F489" t="str">
        <f>IF(E489="","",TRIM(MID(TRIM('MSR RAW'!C489),SEARCH(" - ",TRIM('MSR RAW'!C489))+3,LEN(TRIM('MSR RAW'!C489))-SEARCH(" - ",TRIM('MSR RAW'!C489))-9)))</f>
        <v/>
      </c>
      <c r="G489" t="str">
        <f>IF(E489="","",IFERROR(VLOOKUP(E489,'CATEGORY MAP'!$A$2:$B$20,2,FALSE()),"REVIEW"))</f>
        <v/>
      </c>
      <c r="H489" t="str">
        <f>IF(E489="","",IFERROR(VALUE(SUBSTITUTE('MSR RAW'!P489,",","")),0))</f>
        <v/>
      </c>
      <c r="I489" t="str">
        <f>IF(E489="","",IFERROR(VALUE(SUBSTITUTE('MSR RAW'!S489,",","")),0))</f>
        <v/>
      </c>
    </row>
    <row r="490" spans="1:9" ht="68.650000000000006" customHeight="1" x14ac:dyDescent="0.2">
      <c r="A490">
        <v>490</v>
      </c>
      <c r="B49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90" t="str">
        <f>IF(LEFT(TRIM('MSR RAW'!A490),11)="Department:",TRIM('MSR RAW'!A490),C489)</f>
        <v>Department: 36637 - SPECIALTY CONCESSIONS (VENDING)</v>
      </c>
      <c r="D490" t="str">
        <f>IF(LEFT(TRIM('MSR RAW'!B490),9)="Location:",TRIM(MID('MSR RAW'!B490,10,999)),D489)</f>
        <v>FB 155 - SUB ISLAND NOODLES</v>
      </c>
      <c r="E490" t="str">
        <f>IF(AND(ISNUMBER(SEARCH(" - ",TRIM('MSR RAW'!C490))),RIGHT(TRIM('MSR RAW'!C490),6)="Total:"),LEFT(TRIM('MSR RAW'!C490),SEARCH(" - ",TRIM('MSR RAW'!C490))-1),"")</f>
        <v/>
      </c>
      <c r="F490" t="str">
        <f>IF(E490="","",TRIM(MID(TRIM('MSR RAW'!C490),SEARCH(" - ",TRIM('MSR RAW'!C490))+3,LEN(TRIM('MSR RAW'!C490))-SEARCH(" - ",TRIM('MSR RAW'!C490))-9)))</f>
        <v/>
      </c>
      <c r="G490" t="str">
        <f>IF(E490="","",IFERROR(VLOOKUP(E490,'CATEGORY MAP'!$A$2:$B$20,2,FALSE()),"REVIEW"))</f>
        <v/>
      </c>
      <c r="H490" t="str">
        <f>IF(E490="","",IFERROR(VALUE(SUBSTITUTE('MSR RAW'!P490,",","")),0))</f>
        <v/>
      </c>
      <c r="I490" t="str">
        <f>IF(E490="","",IFERROR(VALUE(SUBSTITUTE('MSR RAW'!S490,",","")),0))</f>
        <v/>
      </c>
    </row>
    <row r="491" spans="1:9" ht="68.650000000000006" customHeight="1" x14ac:dyDescent="0.2">
      <c r="A491">
        <v>491</v>
      </c>
      <c r="B49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91" t="str">
        <f>IF(LEFT(TRIM('MSR RAW'!A491),11)="Department:",TRIM('MSR RAW'!A491),C490)</f>
        <v>Department: 36637 - SPECIALTY CONCESSIONS (VENDING)</v>
      </c>
      <c r="D491" t="str">
        <f>IF(LEFT(TRIM('MSR RAW'!B491),9)="Location:",TRIM(MID('MSR RAW'!B491,10,999)),D490)</f>
        <v>FB 155 - SUB ISLAND NOODLES</v>
      </c>
      <c r="E491" t="str">
        <f>IF(AND(ISNUMBER(SEARCH(" - ",TRIM('MSR RAW'!C491))),RIGHT(TRIM('MSR RAW'!C491),6)="Total:"),LEFT(TRIM('MSR RAW'!C491),SEARCH(" - ",TRIM('MSR RAW'!C491))-1),"")</f>
        <v/>
      </c>
      <c r="F491" t="str">
        <f>IF(E491="","",TRIM(MID(TRIM('MSR RAW'!C491),SEARCH(" - ",TRIM('MSR RAW'!C491))+3,LEN(TRIM('MSR RAW'!C491))-SEARCH(" - ",TRIM('MSR RAW'!C491))-9)))</f>
        <v/>
      </c>
      <c r="G491" t="str">
        <f>IF(E491="","",IFERROR(VLOOKUP(E491,'CATEGORY MAP'!$A$2:$B$20,2,FALSE()),"REVIEW"))</f>
        <v/>
      </c>
      <c r="H491" t="str">
        <f>IF(E491="","",IFERROR(VALUE(SUBSTITUTE('MSR RAW'!P491,",","")),0))</f>
        <v/>
      </c>
      <c r="I491" t="str">
        <f>IF(E491="","",IFERROR(VALUE(SUBSTITUTE('MSR RAW'!S491,",","")),0))</f>
        <v/>
      </c>
    </row>
    <row r="492" spans="1:9" ht="68.650000000000006" customHeight="1" x14ac:dyDescent="0.2">
      <c r="A492">
        <v>492</v>
      </c>
      <c r="B49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92" t="str">
        <f>IF(LEFT(TRIM('MSR RAW'!A492),11)="Department:",TRIM('MSR RAW'!A492),C491)</f>
        <v>Department: 36637 - SPECIALTY CONCESSIONS (VENDING)</v>
      </c>
      <c r="D492" t="str">
        <f>IF(LEFT(TRIM('MSR RAW'!B492),9)="Location:",TRIM(MID('MSR RAW'!B492,10,999)),D491)</f>
        <v>FB 155 - SUB ISLAND NOODLES</v>
      </c>
      <c r="E492" t="str">
        <f>IF(AND(ISNUMBER(SEARCH(" - ",TRIM('MSR RAW'!C492))),RIGHT(TRIM('MSR RAW'!C492),6)="Total:"),LEFT(TRIM('MSR RAW'!C492),SEARCH(" - ",TRIM('MSR RAW'!C492))-1),"")</f>
        <v/>
      </c>
      <c r="F492" t="str">
        <f>IF(E492="","",TRIM(MID(TRIM('MSR RAW'!C492),SEARCH(" - ",TRIM('MSR RAW'!C492))+3,LEN(TRIM('MSR RAW'!C492))-SEARCH(" - ",TRIM('MSR RAW'!C492))-9)))</f>
        <v/>
      </c>
      <c r="G492" t="str">
        <f>IF(E492="","",IFERROR(VLOOKUP(E492,'CATEGORY MAP'!$A$2:$B$20,2,FALSE()),"REVIEW"))</f>
        <v/>
      </c>
      <c r="H492" t="str">
        <f>IF(E492="","",IFERROR(VALUE(SUBSTITUTE('MSR RAW'!P492,",","")),0))</f>
        <v/>
      </c>
      <c r="I492" t="str">
        <f>IF(E492="","",IFERROR(VALUE(SUBSTITUTE('MSR RAW'!S492,",","")),0))</f>
        <v/>
      </c>
    </row>
    <row r="493" spans="1:9" ht="68.650000000000006" customHeight="1" x14ac:dyDescent="0.2">
      <c r="A493">
        <v>493</v>
      </c>
      <c r="B49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93" t="str">
        <f>IF(LEFT(TRIM('MSR RAW'!A493),11)="Department:",TRIM('MSR RAW'!A493),C492)</f>
        <v>Department: 36637 - SPECIALTY CONCESSIONS (VENDING)</v>
      </c>
      <c r="D493" t="str">
        <f>IF(LEFT(TRIM('MSR RAW'!B493),9)="Location:",TRIM(MID('MSR RAW'!B493,10,999)),D492)</f>
        <v>FB 155 - SUB ISLAND NOODLES</v>
      </c>
      <c r="E493" t="str">
        <f>IF(AND(ISNUMBER(SEARCH(" - ",TRIM('MSR RAW'!C493))),RIGHT(TRIM('MSR RAW'!C493),6)="Total:"),LEFT(TRIM('MSR RAW'!C493),SEARCH(" - ",TRIM('MSR RAW'!C493))-1),"")</f>
        <v/>
      </c>
      <c r="F493" t="str">
        <f>IF(E493="","",TRIM(MID(TRIM('MSR RAW'!C493),SEARCH(" - ",TRIM('MSR RAW'!C493))+3,LEN(TRIM('MSR RAW'!C493))-SEARCH(" - ",TRIM('MSR RAW'!C493))-9)))</f>
        <v/>
      </c>
      <c r="G493" t="str">
        <f>IF(E493="","",IFERROR(VLOOKUP(E493,'CATEGORY MAP'!$A$2:$B$20,2,FALSE()),"REVIEW"))</f>
        <v/>
      </c>
      <c r="H493" t="str">
        <f>IF(E493="","",IFERROR(VALUE(SUBSTITUTE('MSR RAW'!P493,",","")),0))</f>
        <v/>
      </c>
      <c r="I493" t="str">
        <f>IF(E493="","",IFERROR(VALUE(SUBSTITUTE('MSR RAW'!S493,",","")),0))</f>
        <v/>
      </c>
    </row>
    <row r="494" spans="1:9" ht="68.650000000000006" customHeight="1" x14ac:dyDescent="0.2">
      <c r="A494">
        <v>494</v>
      </c>
      <c r="B49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94" t="str">
        <f>IF(LEFT(TRIM('MSR RAW'!A494),11)="Department:",TRIM('MSR RAW'!A494),C493)</f>
        <v>Department: 36637 - SPECIALTY CONCESSIONS (VENDING)</v>
      </c>
      <c r="D494" t="str">
        <f>IF(LEFT(TRIM('MSR RAW'!B494),9)="Location:",TRIM(MID('MSR RAW'!B494,10,999)),D493)</f>
        <v>FB 155 - SUB ISLAND NOODLES</v>
      </c>
      <c r="E494" t="str">
        <f>IF(AND(ISNUMBER(SEARCH(" - ",TRIM('MSR RAW'!C494))),RIGHT(TRIM('MSR RAW'!C494),6)="Total:"),LEFT(TRIM('MSR RAW'!C494),SEARCH(" - ",TRIM('MSR RAW'!C494))-1),"")</f>
        <v/>
      </c>
      <c r="F494" t="str">
        <f>IF(E494="","",TRIM(MID(TRIM('MSR RAW'!C494),SEARCH(" - ",TRIM('MSR RAW'!C494))+3,LEN(TRIM('MSR RAW'!C494))-SEARCH(" - ",TRIM('MSR RAW'!C494))-9)))</f>
        <v/>
      </c>
      <c r="G494" t="str">
        <f>IF(E494="","",IFERROR(VLOOKUP(E494,'CATEGORY MAP'!$A$2:$B$20,2,FALSE()),"REVIEW"))</f>
        <v/>
      </c>
      <c r="H494" t="str">
        <f>IF(E494="","",IFERROR(VALUE(SUBSTITUTE('MSR RAW'!P494,",","")),0))</f>
        <v/>
      </c>
      <c r="I494" t="str">
        <f>IF(E494="","",IFERROR(VALUE(SUBSTITUTE('MSR RAW'!S494,",","")),0))</f>
        <v/>
      </c>
    </row>
    <row r="495" spans="1:9" ht="68.650000000000006" customHeight="1" x14ac:dyDescent="0.2">
      <c r="A495">
        <v>495</v>
      </c>
      <c r="B49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95" t="str">
        <f>IF(LEFT(TRIM('MSR RAW'!A495),11)="Department:",TRIM('MSR RAW'!A495),C494)</f>
        <v>Department: 36637 - SPECIALTY CONCESSIONS (VENDING)</v>
      </c>
      <c r="D495" t="str">
        <f>IF(LEFT(TRIM('MSR RAW'!B495),9)="Location:",TRIM(MID('MSR RAW'!B495,10,999)),D494)</f>
        <v>FB 155 - SUB ISLAND NOODLES</v>
      </c>
      <c r="E495" t="str">
        <f>IF(AND(ISNUMBER(SEARCH(" - ",TRIM('MSR RAW'!C495))),RIGHT(TRIM('MSR RAW'!C495),6)="Total:"),LEFT(TRIM('MSR RAW'!C495),SEARCH(" - ",TRIM('MSR RAW'!C495))-1),"")</f>
        <v/>
      </c>
      <c r="F495" t="str">
        <f>IF(E495="","",TRIM(MID(TRIM('MSR RAW'!C495),SEARCH(" - ",TRIM('MSR RAW'!C495))+3,LEN(TRIM('MSR RAW'!C495))-SEARCH(" - ",TRIM('MSR RAW'!C495))-9)))</f>
        <v/>
      </c>
      <c r="G495" t="str">
        <f>IF(E495="","",IFERROR(VLOOKUP(E495,'CATEGORY MAP'!$A$2:$B$20,2,FALSE()),"REVIEW"))</f>
        <v/>
      </c>
      <c r="H495" t="str">
        <f>IF(E495="","",IFERROR(VALUE(SUBSTITUTE('MSR RAW'!P495,",","")),0))</f>
        <v/>
      </c>
      <c r="I495" t="str">
        <f>IF(E495="","",IFERROR(VALUE(SUBSTITUTE('MSR RAW'!S495,",","")),0))</f>
        <v/>
      </c>
    </row>
    <row r="496" spans="1:9" ht="68.650000000000006" customHeight="1" x14ac:dyDescent="0.2">
      <c r="A496">
        <v>496</v>
      </c>
      <c r="B49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96" t="str">
        <f>IF(LEFT(TRIM('MSR RAW'!A496),11)="Department:",TRIM('MSR RAW'!A496),C495)</f>
        <v>Department: 36637 - SPECIALTY CONCESSIONS (VENDING)</v>
      </c>
      <c r="D496" t="str">
        <f>IF(LEFT(TRIM('MSR RAW'!B496),9)="Location:",TRIM(MID('MSR RAW'!B496,10,999)),D495)</f>
        <v>FB 155 - SUB ISLAND NOODLES</v>
      </c>
      <c r="E496" t="str">
        <f>IF(AND(ISNUMBER(SEARCH(" - ",TRIM('MSR RAW'!C496))),RIGHT(TRIM('MSR RAW'!C496),6)="Total:"),LEFT(TRIM('MSR RAW'!C496),SEARCH(" - ",TRIM('MSR RAW'!C496))-1),"")</f>
        <v/>
      </c>
      <c r="F496" t="str">
        <f>IF(E496="","",TRIM(MID(TRIM('MSR RAW'!C496),SEARCH(" - ",TRIM('MSR RAW'!C496))+3,LEN(TRIM('MSR RAW'!C496))-SEARCH(" - ",TRIM('MSR RAW'!C496))-9)))</f>
        <v/>
      </c>
      <c r="G496" t="str">
        <f>IF(E496="","",IFERROR(VLOOKUP(E496,'CATEGORY MAP'!$A$2:$B$20,2,FALSE()),"REVIEW"))</f>
        <v/>
      </c>
      <c r="H496" t="str">
        <f>IF(E496="","",IFERROR(VALUE(SUBSTITUTE('MSR RAW'!P496,",","")),0))</f>
        <v/>
      </c>
      <c r="I496" t="str">
        <f>IF(E496="","",IFERROR(VALUE(SUBSTITUTE('MSR RAW'!S496,",","")),0))</f>
        <v/>
      </c>
    </row>
    <row r="497" spans="1:9" ht="68.650000000000006" customHeight="1" x14ac:dyDescent="0.2">
      <c r="A497">
        <v>497</v>
      </c>
      <c r="B49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97" t="str">
        <f>IF(LEFT(TRIM('MSR RAW'!A497),11)="Department:",TRIM('MSR RAW'!A497),C496)</f>
        <v>Department: 36637 - SPECIALTY CONCESSIONS (VENDING)</v>
      </c>
      <c r="D497" t="str">
        <f>IF(LEFT(TRIM('MSR RAW'!B497),9)="Location:",TRIM(MID('MSR RAW'!B497,10,999)),D496)</f>
        <v>FB 155 - SUB ISLAND NOODLES</v>
      </c>
      <c r="E497" t="str">
        <f>IF(AND(ISNUMBER(SEARCH(" - ",TRIM('MSR RAW'!C497))),RIGHT(TRIM('MSR RAW'!C497),6)="Total:"),LEFT(TRIM('MSR RAW'!C497),SEARCH(" - ",TRIM('MSR RAW'!C497))-1),"")</f>
        <v/>
      </c>
      <c r="F497" t="str">
        <f>IF(E497="","",TRIM(MID(TRIM('MSR RAW'!C497),SEARCH(" - ",TRIM('MSR RAW'!C497))+3,LEN(TRIM('MSR RAW'!C497))-SEARCH(" - ",TRIM('MSR RAW'!C497))-9)))</f>
        <v/>
      </c>
      <c r="G497" t="str">
        <f>IF(E497="","",IFERROR(VLOOKUP(E497,'CATEGORY MAP'!$A$2:$B$20,2,FALSE()),"REVIEW"))</f>
        <v/>
      </c>
      <c r="H497" t="str">
        <f>IF(E497="","",IFERROR(VALUE(SUBSTITUTE('MSR RAW'!P497,",","")),0))</f>
        <v/>
      </c>
      <c r="I497" t="str">
        <f>IF(E497="","",IFERROR(VALUE(SUBSTITUTE('MSR RAW'!S497,",","")),0))</f>
        <v/>
      </c>
    </row>
    <row r="498" spans="1:9" ht="68.650000000000006" customHeight="1" x14ac:dyDescent="0.2">
      <c r="A498">
        <v>498</v>
      </c>
      <c r="B49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98" t="str">
        <f>IF(LEFT(TRIM('MSR RAW'!A498),11)="Department:",TRIM('MSR RAW'!A498),C497)</f>
        <v>Department: 36637 - SPECIALTY CONCESSIONS (VENDING)</v>
      </c>
      <c r="D498" t="str">
        <f>IF(LEFT(TRIM('MSR RAW'!B498),9)="Location:",TRIM(MID('MSR RAW'!B498,10,999)),D497)</f>
        <v>FB 155 - SUB ISLAND NOODLES</v>
      </c>
      <c r="E498" t="str">
        <f>IF(AND(ISNUMBER(SEARCH(" - ",TRIM('MSR RAW'!C498))),RIGHT(TRIM('MSR RAW'!C498),6)="Total:"),LEFT(TRIM('MSR RAW'!C498),SEARCH(" - ",TRIM('MSR RAW'!C498))-1),"")</f>
        <v/>
      </c>
      <c r="F498" t="str">
        <f>IF(E498="","",TRIM(MID(TRIM('MSR RAW'!C498),SEARCH(" - ",TRIM('MSR RAW'!C498))+3,LEN(TRIM('MSR RAW'!C498))-SEARCH(" - ",TRIM('MSR RAW'!C498))-9)))</f>
        <v/>
      </c>
      <c r="G498" t="str">
        <f>IF(E498="","",IFERROR(VLOOKUP(E498,'CATEGORY MAP'!$A$2:$B$20,2,FALSE()),"REVIEW"))</f>
        <v/>
      </c>
      <c r="H498" t="str">
        <f>IF(E498="","",IFERROR(VALUE(SUBSTITUTE('MSR RAW'!P498,",","")),0))</f>
        <v/>
      </c>
      <c r="I498" t="str">
        <f>IF(E498="","",IFERROR(VALUE(SUBSTITUTE('MSR RAW'!S498,",","")),0))</f>
        <v/>
      </c>
    </row>
    <row r="499" spans="1:9" ht="68.650000000000006" customHeight="1" x14ac:dyDescent="0.2">
      <c r="A499">
        <v>499</v>
      </c>
      <c r="B49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99" t="str">
        <f>IF(LEFT(TRIM('MSR RAW'!A499),11)="Department:",TRIM('MSR RAW'!A499),C498)</f>
        <v>Department: 36637 - SPECIALTY CONCESSIONS (VENDING)</v>
      </c>
      <c r="D499" t="str">
        <f>IF(LEFT(TRIM('MSR RAW'!B499),9)="Location:",TRIM(MID('MSR RAW'!B499,10,999)),D498)</f>
        <v>FB 155 - SUB ISLAND NOODLES</v>
      </c>
      <c r="E499" t="str">
        <f>IF(AND(ISNUMBER(SEARCH(" - ",TRIM('MSR RAW'!C499))),RIGHT(TRIM('MSR RAW'!C499),6)="Total:"),LEFT(TRIM('MSR RAW'!C499),SEARCH(" - ",TRIM('MSR RAW'!C499))-1),"")</f>
        <v/>
      </c>
      <c r="F499" t="str">
        <f>IF(E499="","",TRIM(MID(TRIM('MSR RAW'!C499),SEARCH(" - ",TRIM('MSR RAW'!C499))+3,LEN(TRIM('MSR RAW'!C499))-SEARCH(" - ",TRIM('MSR RAW'!C499))-9)))</f>
        <v/>
      </c>
      <c r="G499" t="str">
        <f>IF(E499="","",IFERROR(VLOOKUP(E499,'CATEGORY MAP'!$A$2:$B$20,2,FALSE()),"REVIEW"))</f>
        <v/>
      </c>
      <c r="H499" t="str">
        <f>IF(E499="","",IFERROR(VALUE(SUBSTITUTE('MSR RAW'!P499,",","")),0))</f>
        <v/>
      </c>
      <c r="I499" t="str">
        <f>IF(E499="","",IFERROR(VALUE(SUBSTITUTE('MSR RAW'!S499,",","")),0))</f>
        <v/>
      </c>
    </row>
    <row r="500" spans="1:9" ht="68.650000000000006" customHeight="1" x14ac:dyDescent="0.2">
      <c r="A500">
        <v>500</v>
      </c>
      <c r="B50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00" t="str">
        <f>IF(LEFT(TRIM('MSR RAW'!A500),11)="Department:",TRIM('MSR RAW'!A500),C499)</f>
        <v>Department: 36637 - SPECIALTY CONCESSIONS (VENDING)</v>
      </c>
      <c r="D500" t="str">
        <f>IF(LEFT(TRIM('MSR RAW'!B500),9)="Location:",TRIM(MID('MSR RAW'!B500,10,999)),D499)</f>
        <v>FB 155 - SUB ISLAND NOODLES</v>
      </c>
      <c r="E500" t="str">
        <f>IF(AND(ISNUMBER(SEARCH(" - ",TRIM('MSR RAW'!C500))),RIGHT(TRIM('MSR RAW'!C500),6)="Total:"),LEFT(TRIM('MSR RAW'!C500),SEARCH(" - ",TRIM('MSR RAW'!C500))-1),"")</f>
        <v/>
      </c>
      <c r="F500" t="str">
        <f>IF(E500="","",TRIM(MID(TRIM('MSR RAW'!C500),SEARCH(" - ",TRIM('MSR RAW'!C500))+3,LEN(TRIM('MSR RAW'!C500))-SEARCH(" - ",TRIM('MSR RAW'!C500))-9)))</f>
        <v/>
      </c>
      <c r="G500" t="str">
        <f>IF(E500="","",IFERROR(VLOOKUP(E500,'CATEGORY MAP'!$A$2:$B$20,2,FALSE()),"REVIEW"))</f>
        <v/>
      </c>
      <c r="H500" t="str">
        <f>IF(E500="","",IFERROR(VALUE(SUBSTITUTE('MSR RAW'!P500,",","")),0))</f>
        <v/>
      </c>
      <c r="I500" t="str">
        <f>IF(E500="","",IFERROR(VALUE(SUBSTITUTE('MSR RAW'!S500,",","")),0))</f>
        <v/>
      </c>
    </row>
    <row r="501" spans="1:9" ht="68.650000000000006" customHeight="1" x14ac:dyDescent="0.2">
      <c r="A501">
        <v>501</v>
      </c>
      <c r="B50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01" t="str">
        <f>IF(LEFT(TRIM('MSR RAW'!A501),11)="Department:",TRIM('MSR RAW'!A501),C500)</f>
        <v>Department: 36637 - SPECIALTY CONCESSIONS (VENDING)</v>
      </c>
      <c r="D501" t="str">
        <f>IF(LEFT(TRIM('MSR RAW'!B501),9)="Location:",TRIM(MID('MSR RAW'!B501,10,999)),D500)</f>
        <v>FB 155 - SUB ISLAND NOODLES</v>
      </c>
      <c r="E501" t="str">
        <f>IF(AND(ISNUMBER(SEARCH(" - ",TRIM('MSR RAW'!C501))),RIGHT(TRIM('MSR RAW'!C501),6)="Total:"),LEFT(TRIM('MSR RAW'!C501),SEARCH(" - ",TRIM('MSR RAW'!C501))-1),"")</f>
        <v/>
      </c>
      <c r="F501" t="str">
        <f>IF(E501="","",TRIM(MID(TRIM('MSR RAW'!C501),SEARCH(" - ",TRIM('MSR RAW'!C501))+3,LEN(TRIM('MSR RAW'!C501))-SEARCH(" - ",TRIM('MSR RAW'!C501))-9)))</f>
        <v/>
      </c>
      <c r="G501" t="str">
        <f>IF(E501="","",IFERROR(VLOOKUP(E501,'CATEGORY MAP'!$A$2:$B$20,2,FALSE()),"REVIEW"))</f>
        <v/>
      </c>
      <c r="H501" t="str">
        <f>IF(E501="","",IFERROR(VALUE(SUBSTITUTE('MSR RAW'!P501,",","")),0))</f>
        <v/>
      </c>
      <c r="I501" t="str">
        <f>IF(E501="","",IFERROR(VALUE(SUBSTITUTE('MSR RAW'!S501,",","")),0))</f>
        <v/>
      </c>
    </row>
    <row r="502" spans="1:9" ht="68.650000000000006" customHeight="1" x14ac:dyDescent="0.2">
      <c r="A502">
        <v>502</v>
      </c>
      <c r="B50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02" t="str">
        <f>IF(LEFT(TRIM('MSR RAW'!A502),11)="Department:",TRIM('MSR RAW'!A502),C501)</f>
        <v>Department: 36637 - SPECIALTY CONCESSIONS (VENDING)</v>
      </c>
      <c r="D502" t="str">
        <f>IF(LEFT(TRIM('MSR RAW'!B502),9)="Location:",TRIM(MID('MSR RAW'!B502,10,999)),D501)</f>
        <v>FB 155 - SUB ISLAND NOODLES</v>
      </c>
      <c r="E502" t="str">
        <f>IF(AND(ISNUMBER(SEARCH(" - ",TRIM('MSR RAW'!C502))),RIGHT(TRIM('MSR RAW'!C502),6)="Total:"),LEFT(TRIM('MSR RAW'!C502),SEARCH(" - ",TRIM('MSR RAW'!C502))-1),"")</f>
        <v/>
      </c>
      <c r="F502" t="str">
        <f>IF(E502="","",TRIM(MID(TRIM('MSR RAW'!C502),SEARCH(" - ",TRIM('MSR RAW'!C502))+3,LEN(TRIM('MSR RAW'!C502))-SEARCH(" - ",TRIM('MSR RAW'!C502))-9)))</f>
        <v/>
      </c>
      <c r="G502" t="str">
        <f>IF(E502="","",IFERROR(VLOOKUP(E502,'CATEGORY MAP'!$A$2:$B$20,2,FALSE()),"REVIEW"))</f>
        <v/>
      </c>
      <c r="H502" t="str">
        <f>IF(E502="","",IFERROR(VALUE(SUBSTITUTE('MSR RAW'!P502,",","")),0))</f>
        <v/>
      </c>
      <c r="I502" t="str">
        <f>IF(E502="","",IFERROR(VALUE(SUBSTITUTE('MSR RAW'!S502,",","")),0))</f>
        <v/>
      </c>
    </row>
    <row r="503" spans="1:9" ht="68.650000000000006" customHeight="1" x14ac:dyDescent="0.2">
      <c r="A503">
        <v>503</v>
      </c>
      <c r="B50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03" t="str">
        <f>IF(LEFT(TRIM('MSR RAW'!A503),11)="Department:",TRIM('MSR RAW'!A503),C502)</f>
        <v>Department: 36637 - SPECIALTY CONCESSIONS (VENDING)</v>
      </c>
      <c r="D503" t="str">
        <f>IF(LEFT(TRIM('MSR RAW'!B503),9)="Location:",TRIM(MID('MSR RAW'!B503,10,999)),D502)</f>
        <v>FB 155 - SUB ISLAND NOODLES</v>
      </c>
      <c r="E503" t="str">
        <f>IF(AND(ISNUMBER(SEARCH(" - ",TRIM('MSR RAW'!C503))),RIGHT(TRIM('MSR RAW'!C503),6)="Total:"),LEFT(TRIM('MSR RAW'!C503),SEARCH(" - ",TRIM('MSR RAW'!C503))-1),"")</f>
        <v/>
      </c>
      <c r="F503" t="str">
        <f>IF(E503="","",TRIM(MID(TRIM('MSR RAW'!C503),SEARCH(" - ",TRIM('MSR RAW'!C503))+3,LEN(TRIM('MSR RAW'!C503))-SEARCH(" - ",TRIM('MSR RAW'!C503))-9)))</f>
        <v/>
      </c>
      <c r="G503" t="str">
        <f>IF(E503="","",IFERROR(VLOOKUP(E503,'CATEGORY MAP'!$A$2:$B$20,2,FALSE()),"REVIEW"))</f>
        <v/>
      </c>
      <c r="H503" t="str">
        <f>IF(E503="","",IFERROR(VALUE(SUBSTITUTE('MSR RAW'!P503,",","")),0))</f>
        <v/>
      </c>
      <c r="I503" t="str">
        <f>IF(E503="","",IFERROR(VALUE(SUBSTITUTE('MSR RAW'!S503,",","")),0))</f>
        <v/>
      </c>
    </row>
    <row r="504" spans="1:9" ht="68.650000000000006" customHeight="1" x14ac:dyDescent="0.2">
      <c r="A504">
        <v>504</v>
      </c>
      <c r="B50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04" t="str">
        <f>IF(LEFT(TRIM('MSR RAW'!A504),11)="Department:",TRIM('MSR RAW'!A504),C503)</f>
        <v>Department: 36637 - SPECIALTY CONCESSIONS (VENDING)</v>
      </c>
      <c r="D504" t="str">
        <f>IF(LEFT(TRIM('MSR RAW'!B504),9)="Location:",TRIM(MID('MSR RAW'!B504,10,999)),D503)</f>
        <v>FB 155 - SUB ISLAND NOODLES</v>
      </c>
      <c r="E504" t="str">
        <f>IF(AND(ISNUMBER(SEARCH(" - ",TRIM('MSR RAW'!C504))),RIGHT(TRIM('MSR RAW'!C504),6)="Total:"),LEFT(TRIM('MSR RAW'!C504),SEARCH(" - ",TRIM('MSR RAW'!C504))-1),"")</f>
        <v/>
      </c>
      <c r="F504" t="str">
        <f>IF(E504="","",TRIM(MID(TRIM('MSR RAW'!C504),SEARCH(" - ",TRIM('MSR RAW'!C504))+3,LEN(TRIM('MSR RAW'!C504))-SEARCH(" - ",TRIM('MSR RAW'!C504))-9)))</f>
        <v/>
      </c>
      <c r="G504" t="str">
        <f>IF(E504="","",IFERROR(VLOOKUP(E504,'CATEGORY MAP'!$A$2:$B$20,2,FALSE()),"REVIEW"))</f>
        <v/>
      </c>
      <c r="H504" t="str">
        <f>IF(E504="","",IFERROR(VALUE(SUBSTITUTE('MSR RAW'!P504,",","")),0))</f>
        <v/>
      </c>
      <c r="I504" t="str">
        <f>IF(E504="","",IFERROR(VALUE(SUBSTITUTE('MSR RAW'!S504,",","")),0))</f>
        <v/>
      </c>
    </row>
    <row r="505" spans="1:9" ht="68.650000000000006" customHeight="1" x14ac:dyDescent="0.2">
      <c r="A505">
        <v>505</v>
      </c>
      <c r="B50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05" t="str">
        <f>IF(LEFT(TRIM('MSR RAW'!A505),11)="Department:",TRIM('MSR RAW'!A505),C504)</f>
        <v>Department: 36637 - SPECIALTY CONCESSIONS (VENDING)</v>
      </c>
      <c r="D505" t="str">
        <f>IF(LEFT(TRIM('MSR RAW'!B505),9)="Location:",TRIM(MID('MSR RAW'!B505,10,999)),D504)</f>
        <v>FB 155 - SUB ISLAND NOODLES</v>
      </c>
      <c r="E505" t="str">
        <f>IF(AND(ISNUMBER(SEARCH(" - ",TRIM('MSR RAW'!C505))),RIGHT(TRIM('MSR RAW'!C505),6)="Total:"),LEFT(TRIM('MSR RAW'!C505),SEARCH(" - ",TRIM('MSR RAW'!C505))-1),"")</f>
        <v/>
      </c>
      <c r="F505" t="str">
        <f>IF(E505="","",TRIM(MID(TRIM('MSR RAW'!C505),SEARCH(" - ",TRIM('MSR RAW'!C505))+3,LEN(TRIM('MSR RAW'!C505))-SEARCH(" - ",TRIM('MSR RAW'!C505))-9)))</f>
        <v/>
      </c>
      <c r="G505" t="str">
        <f>IF(E505="","",IFERROR(VLOOKUP(E505,'CATEGORY MAP'!$A$2:$B$20,2,FALSE()),"REVIEW"))</f>
        <v/>
      </c>
      <c r="H505" t="str">
        <f>IF(E505="","",IFERROR(VALUE(SUBSTITUTE('MSR RAW'!P505,",","")),0))</f>
        <v/>
      </c>
      <c r="I505" t="str">
        <f>IF(E505="","",IFERROR(VALUE(SUBSTITUTE('MSR RAW'!S505,",","")),0))</f>
        <v/>
      </c>
    </row>
    <row r="506" spans="1:9" ht="68.650000000000006" customHeight="1" x14ac:dyDescent="0.2">
      <c r="A506">
        <v>506</v>
      </c>
      <c r="B50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06" t="str">
        <f>IF(LEFT(TRIM('MSR RAW'!A506),11)="Department:",TRIM('MSR RAW'!A506),C505)</f>
        <v>Department: 36637 - SPECIALTY CONCESSIONS (VENDING)</v>
      </c>
      <c r="D506" t="str">
        <f>IF(LEFT(TRIM('MSR RAW'!B506),9)="Location:",TRIM(MID('MSR RAW'!B506,10,999)),D505)</f>
        <v>FB 155 - SUB ISLAND NOODLES</v>
      </c>
      <c r="E506" t="str">
        <f>IF(AND(ISNUMBER(SEARCH(" - ",TRIM('MSR RAW'!C506))),RIGHT(TRIM('MSR RAW'!C506),6)="Total:"),LEFT(TRIM('MSR RAW'!C506),SEARCH(" - ",TRIM('MSR RAW'!C506))-1),"")</f>
        <v/>
      </c>
      <c r="F506" t="str">
        <f>IF(E506="","",TRIM(MID(TRIM('MSR RAW'!C506),SEARCH(" - ",TRIM('MSR RAW'!C506))+3,LEN(TRIM('MSR RAW'!C506))-SEARCH(" - ",TRIM('MSR RAW'!C506))-9)))</f>
        <v/>
      </c>
      <c r="G506" t="str">
        <f>IF(E506="","",IFERROR(VLOOKUP(E506,'CATEGORY MAP'!$A$2:$B$20,2,FALSE()),"REVIEW"))</f>
        <v/>
      </c>
      <c r="H506" t="str">
        <f>IF(E506="","",IFERROR(VALUE(SUBSTITUTE('MSR RAW'!P506,",","")),0))</f>
        <v/>
      </c>
      <c r="I506" t="str">
        <f>IF(E506="","",IFERROR(VALUE(SUBSTITUTE('MSR RAW'!S506,",","")),0))</f>
        <v/>
      </c>
    </row>
    <row r="507" spans="1:9" ht="68.650000000000006" customHeight="1" x14ac:dyDescent="0.2">
      <c r="A507">
        <v>507</v>
      </c>
      <c r="B50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07" t="str">
        <f>IF(LEFT(TRIM('MSR RAW'!A507),11)="Department:",TRIM('MSR RAW'!A507),C506)</f>
        <v>Department: 36637 - SPECIALTY CONCESSIONS (VENDING)</v>
      </c>
      <c r="D507" t="str">
        <f>IF(LEFT(TRIM('MSR RAW'!B507),9)="Location:",TRIM(MID('MSR RAW'!B507,10,999)),D506)</f>
        <v>FB 155 - SUB ISLAND NOODLES</v>
      </c>
      <c r="E507" t="str">
        <f>IF(AND(ISNUMBER(SEARCH(" - ",TRIM('MSR RAW'!C507))),RIGHT(TRIM('MSR RAW'!C507),6)="Total:"),LEFT(TRIM('MSR RAW'!C507),SEARCH(" - ",TRIM('MSR RAW'!C507))-1),"")</f>
        <v/>
      </c>
      <c r="F507" t="str">
        <f>IF(E507="","",TRIM(MID(TRIM('MSR RAW'!C507),SEARCH(" - ",TRIM('MSR RAW'!C507))+3,LEN(TRIM('MSR RAW'!C507))-SEARCH(" - ",TRIM('MSR RAW'!C507))-9)))</f>
        <v/>
      </c>
      <c r="G507" t="str">
        <f>IF(E507="","",IFERROR(VLOOKUP(E507,'CATEGORY MAP'!$A$2:$B$20,2,FALSE()),"REVIEW"))</f>
        <v/>
      </c>
      <c r="H507" t="str">
        <f>IF(E507="","",IFERROR(VALUE(SUBSTITUTE('MSR RAW'!P507,",","")),0))</f>
        <v/>
      </c>
      <c r="I507" t="str">
        <f>IF(E507="","",IFERROR(VALUE(SUBSTITUTE('MSR RAW'!S507,",","")),0))</f>
        <v/>
      </c>
    </row>
    <row r="508" spans="1:9" ht="68.650000000000006" customHeight="1" x14ac:dyDescent="0.2">
      <c r="A508">
        <v>508</v>
      </c>
      <c r="B50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08" t="str">
        <f>IF(LEFT(TRIM('MSR RAW'!A508),11)="Department:",TRIM('MSR RAW'!A508),C507)</f>
        <v>Department: 36637 - SPECIALTY CONCESSIONS (VENDING)</v>
      </c>
      <c r="D508" t="str">
        <f>IF(LEFT(TRIM('MSR RAW'!B508),9)="Location:",TRIM(MID('MSR RAW'!B508,10,999)),D507)</f>
        <v>FB 155 - SUB ISLAND NOODLES</v>
      </c>
      <c r="E508" t="str">
        <f>IF(AND(ISNUMBER(SEARCH(" - ",TRIM('MSR RAW'!C508))),RIGHT(TRIM('MSR RAW'!C508),6)="Total:"),LEFT(TRIM('MSR RAW'!C508),SEARCH(" - ",TRIM('MSR RAW'!C508))-1),"")</f>
        <v/>
      </c>
      <c r="F508" t="str">
        <f>IF(E508="","",TRIM(MID(TRIM('MSR RAW'!C508),SEARCH(" - ",TRIM('MSR RAW'!C508))+3,LEN(TRIM('MSR RAW'!C508))-SEARCH(" - ",TRIM('MSR RAW'!C508))-9)))</f>
        <v/>
      </c>
      <c r="G508" t="str">
        <f>IF(E508="","",IFERROR(VLOOKUP(E508,'CATEGORY MAP'!$A$2:$B$20,2,FALSE()),"REVIEW"))</f>
        <v/>
      </c>
      <c r="H508" t="str">
        <f>IF(E508="","",IFERROR(VALUE(SUBSTITUTE('MSR RAW'!P508,",","")),0))</f>
        <v/>
      </c>
      <c r="I508" t="str">
        <f>IF(E508="","",IFERROR(VALUE(SUBSTITUTE('MSR RAW'!S508,",","")),0))</f>
        <v/>
      </c>
    </row>
    <row r="509" spans="1:9" ht="68.650000000000006" customHeight="1" x14ac:dyDescent="0.2">
      <c r="A509">
        <v>509</v>
      </c>
      <c r="B50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09" t="str">
        <f>IF(LEFT(TRIM('MSR RAW'!A509),11)="Department:",TRIM('MSR RAW'!A509),C508)</f>
        <v>Department: 36637 - SPECIALTY CONCESSIONS (VENDING)</v>
      </c>
      <c r="D509" t="str">
        <f>IF(LEFT(TRIM('MSR RAW'!B509),9)="Location:",TRIM(MID('MSR RAW'!B509,10,999)),D508)</f>
        <v>FB 155 - SUB ISLAND NOODLES</v>
      </c>
      <c r="E509" t="str">
        <f>IF(AND(ISNUMBER(SEARCH(" - ",TRIM('MSR RAW'!C509))),RIGHT(TRIM('MSR RAW'!C509),6)="Total:"),LEFT(TRIM('MSR RAW'!C509),SEARCH(" - ",TRIM('MSR RAW'!C509))-1),"")</f>
        <v/>
      </c>
      <c r="F509" t="str">
        <f>IF(E509="","",TRIM(MID(TRIM('MSR RAW'!C509),SEARCH(" - ",TRIM('MSR RAW'!C509))+3,LEN(TRIM('MSR RAW'!C509))-SEARCH(" - ",TRIM('MSR RAW'!C509))-9)))</f>
        <v/>
      </c>
      <c r="G509" t="str">
        <f>IF(E509="","",IFERROR(VLOOKUP(E509,'CATEGORY MAP'!$A$2:$B$20,2,FALSE()),"REVIEW"))</f>
        <v/>
      </c>
      <c r="H509" t="str">
        <f>IF(E509="","",IFERROR(VALUE(SUBSTITUTE('MSR RAW'!P509,",","")),0))</f>
        <v/>
      </c>
      <c r="I509" t="str">
        <f>IF(E509="","",IFERROR(VALUE(SUBSTITUTE('MSR RAW'!S509,",","")),0))</f>
        <v/>
      </c>
    </row>
    <row r="510" spans="1:9" ht="68.650000000000006" customHeight="1" x14ac:dyDescent="0.2">
      <c r="A510">
        <v>510</v>
      </c>
      <c r="B51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10" t="str">
        <f>IF(LEFT(TRIM('MSR RAW'!A510),11)="Department:",TRIM('MSR RAW'!A510),C509)</f>
        <v>Department: 36637 - SPECIALTY CONCESSIONS (VENDING)</v>
      </c>
      <c r="D510" t="str">
        <f>IF(LEFT(TRIM('MSR RAW'!B510),9)="Location:",TRIM(MID('MSR RAW'!B510,10,999)),D509)</f>
        <v>FB 155 - SUB ISLAND NOODLES</v>
      </c>
      <c r="E510" t="str">
        <f>IF(AND(ISNUMBER(SEARCH(" - ",TRIM('MSR RAW'!C510))),RIGHT(TRIM('MSR RAW'!C510),6)="Total:"),LEFT(TRIM('MSR RAW'!C510),SEARCH(" - ",TRIM('MSR RAW'!C510))-1),"")</f>
        <v/>
      </c>
      <c r="F510" t="str">
        <f>IF(E510="","",TRIM(MID(TRIM('MSR RAW'!C510),SEARCH(" - ",TRIM('MSR RAW'!C510))+3,LEN(TRIM('MSR RAW'!C510))-SEARCH(" - ",TRIM('MSR RAW'!C510))-9)))</f>
        <v/>
      </c>
      <c r="G510" t="str">
        <f>IF(E510="","",IFERROR(VLOOKUP(E510,'CATEGORY MAP'!$A$2:$B$20,2,FALSE()),"REVIEW"))</f>
        <v/>
      </c>
      <c r="H510" t="str">
        <f>IF(E510="","",IFERROR(VALUE(SUBSTITUTE('MSR RAW'!P510,",","")),0))</f>
        <v/>
      </c>
      <c r="I510" t="str">
        <f>IF(E510="","",IFERROR(VALUE(SUBSTITUTE('MSR RAW'!S510,",","")),0))</f>
        <v/>
      </c>
    </row>
    <row r="511" spans="1:9" ht="68.650000000000006" customHeight="1" x14ac:dyDescent="0.2">
      <c r="A511">
        <v>511</v>
      </c>
      <c r="B51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11" t="str">
        <f>IF(LEFT(TRIM('MSR RAW'!A511),11)="Department:",TRIM('MSR RAW'!A511),C510)</f>
        <v>Department: 36637 - SPECIALTY CONCESSIONS (VENDING)</v>
      </c>
      <c r="D511" t="str">
        <f>IF(LEFT(TRIM('MSR RAW'!B511),9)="Location:",TRIM(MID('MSR RAW'!B511,10,999)),D510)</f>
        <v>FB 155 - SUB ISLAND NOODLES</v>
      </c>
      <c r="E511" t="str">
        <f>IF(AND(ISNUMBER(SEARCH(" - ",TRIM('MSR RAW'!C511))),RIGHT(TRIM('MSR RAW'!C511),6)="Total:"),LEFT(TRIM('MSR RAW'!C511),SEARCH(" - ",TRIM('MSR RAW'!C511))-1),"")</f>
        <v/>
      </c>
      <c r="F511" t="str">
        <f>IF(E511="","",TRIM(MID(TRIM('MSR RAW'!C511),SEARCH(" - ",TRIM('MSR RAW'!C511))+3,LEN(TRIM('MSR RAW'!C511))-SEARCH(" - ",TRIM('MSR RAW'!C511))-9)))</f>
        <v/>
      </c>
      <c r="G511" t="str">
        <f>IF(E511="","",IFERROR(VLOOKUP(E511,'CATEGORY MAP'!$A$2:$B$20,2,FALSE()),"REVIEW"))</f>
        <v/>
      </c>
      <c r="H511" t="str">
        <f>IF(E511="","",IFERROR(VALUE(SUBSTITUTE('MSR RAW'!P511,",","")),0))</f>
        <v/>
      </c>
      <c r="I511" t="str">
        <f>IF(E511="","",IFERROR(VALUE(SUBSTITUTE('MSR RAW'!S511,",","")),0))</f>
        <v/>
      </c>
    </row>
    <row r="512" spans="1:9" ht="68.650000000000006" customHeight="1" x14ac:dyDescent="0.2">
      <c r="A512">
        <v>512</v>
      </c>
      <c r="B51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12" t="str">
        <f>IF(LEFT(TRIM('MSR RAW'!A512),11)="Department:",TRIM('MSR RAW'!A512),C511)</f>
        <v>Department: 36637 - SPECIALTY CONCESSIONS (VENDING)</v>
      </c>
      <c r="D512" t="str">
        <f>IF(LEFT(TRIM('MSR RAW'!B512),9)="Location:",TRIM(MID('MSR RAW'!B512,10,999)),D511)</f>
        <v>FB 155 - SUB ISLAND NOODLES</v>
      </c>
      <c r="E512" t="str">
        <f>IF(AND(ISNUMBER(SEARCH(" - ",TRIM('MSR RAW'!C512))),RIGHT(TRIM('MSR RAW'!C512),6)="Total:"),LEFT(TRIM('MSR RAW'!C512),SEARCH(" - ",TRIM('MSR RAW'!C512))-1),"")</f>
        <v/>
      </c>
      <c r="F512" t="str">
        <f>IF(E512="","",TRIM(MID(TRIM('MSR RAW'!C512),SEARCH(" - ",TRIM('MSR RAW'!C512))+3,LEN(TRIM('MSR RAW'!C512))-SEARCH(" - ",TRIM('MSR RAW'!C512))-9)))</f>
        <v/>
      </c>
      <c r="G512" t="str">
        <f>IF(E512="","",IFERROR(VLOOKUP(E512,'CATEGORY MAP'!$A$2:$B$20,2,FALSE()),"REVIEW"))</f>
        <v/>
      </c>
      <c r="H512" t="str">
        <f>IF(E512="","",IFERROR(VALUE(SUBSTITUTE('MSR RAW'!P512,",","")),0))</f>
        <v/>
      </c>
      <c r="I512" t="str">
        <f>IF(E512="","",IFERROR(VALUE(SUBSTITUTE('MSR RAW'!S512,",","")),0))</f>
        <v/>
      </c>
    </row>
    <row r="513" spans="1:9" ht="68.650000000000006" customHeight="1" x14ac:dyDescent="0.2">
      <c r="A513">
        <v>513</v>
      </c>
      <c r="B51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13" t="str">
        <f>IF(LEFT(TRIM('MSR RAW'!A513),11)="Department:",TRIM('MSR RAW'!A513),C512)</f>
        <v>Department: 36637 - SPECIALTY CONCESSIONS (VENDING)</v>
      </c>
      <c r="D513" t="str">
        <f>IF(LEFT(TRIM('MSR RAW'!B513),9)="Location:",TRIM(MID('MSR RAW'!B513,10,999)),D512)</f>
        <v>FB 155 - SUB ISLAND NOODLES</v>
      </c>
      <c r="E513" t="str">
        <f>IF(AND(ISNUMBER(SEARCH(" - ",TRIM('MSR RAW'!C513))),RIGHT(TRIM('MSR RAW'!C513),6)="Total:"),LEFT(TRIM('MSR RAW'!C513),SEARCH(" - ",TRIM('MSR RAW'!C513))-1),"")</f>
        <v/>
      </c>
      <c r="F513" t="str">
        <f>IF(E513="","",TRIM(MID(TRIM('MSR RAW'!C513),SEARCH(" - ",TRIM('MSR RAW'!C513))+3,LEN(TRIM('MSR RAW'!C513))-SEARCH(" - ",TRIM('MSR RAW'!C513))-9)))</f>
        <v/>
      </c>
      <c r="G513" t="str">
        <f>IF(E513="","",IFERROR(VLOOKUP(E513,'CATEGORY MAP'!$A$2:$B$20,2,FALSE()),"REVIEW"))</f>
        <v/>
      </c>
      <c r="H513" t="str">
        <f>IF(E513="","",IFERROR(VALUE(SUBSTITUTE('MSR RAW'!P513,",","")),0))</f>
        <v/>
      </c>
      <c r="I513" t="str">
        <f>IF(E513="","",IFERROR(VALUE(SUBSTITUTE('MSR RAW'!S513,",","")),0))</f>
        <v/>
      </c>
    </row>
    <row r="514" spans="1:9" ht="68.650000000000006" customHeight="1" x14ac:dyDescent="0.2">
      <c r="A514">
        <v>514</v>
      </c>
      <c r="B51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14" t="str">
        <f>IF(LEFT(TRIM('MSR RAW'!A514),11)="Department:",TRIM('MSR RAW'!A514),C513)</f>
        <v>Department: 36637 - SPECIALTY CONCESSIONS (VENDING)</v>
      </c>
      <c r="D514" t="str">
        <f>IF(LEFT(TRIM('MSR RAW'!B514),9)="Location:",TRIM(MID('MSR RAW'!B514,10,999)),D513)</f>
        <v>FB 155 - SUB ISLAND NOODLES</v>
      </c>
      <c r="E514" t="str">
        <f>IF(AND(ISNUMBER(SEARCH(" - ",TRIM('MSR RAW'!C514))),RIGHT(TRIM('MSR RAW'!C514),6)="Total:"),LEFT(TRIM('MSR RAW'!C514),SEARCH(" - ",TRIM('MSR RAW'!C514))-1),"")</f>
        <v/>
      </c>
      <c r="F514" t="str">
        <f>IF(E514="","",TRIM(MID(TRIM('MSR RAW'!C514),SEARCH(" - ",TRIM('MSR RAW'!C514))+3,LEN(TRIM('MSR RAW'!C514))-SEARCH(" - ",TRIM('MSR RAW'!C514))-9)))</f>
        <v/>
      </c>
      <c r="G514" t="str">
        <f>IF(E514="","",IFERROR(VLOOKUP(E514,'CATEGORY MAP'!$A$2:$B$20,2,FALSE()),"REVIEW"))</f>
        <v/>
      </c>
      <c r="H514" t="str">
        <f>IF(E514="","",IFERROR(VALUE(SUBSTITUTE('MSR RAW'!P514,",","")),0))</f>
        <v/>
      </c>
      <c r="I514" t="str">
        <f>IF(E514="","",IFERROR(VALUE(SUBSTITUTE('MSR RAW'!S514,",","")),0))</f>
        <v/>
      </c>
    </row>
    <row r="515" spans="1:9" ht="68.650000000000006" customHeight="1" x14ac:dyDescent="0.2">
      <c r="A515">
        <v>515</v>
      </c>
      <c r="B51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15" t="str">
        <f>IF(LEFT(TRIM('MSR RAW'!A515),11)="Department:",TRIM('MSR RAW'!A515),C514)</f>
        <v>Department: 36637 - SPECIALTY CONCESSIONS (VENDING)</v>
      </c>
      <c r="D515" t="str">
        <f>IF(LEFT(TRIM('MSR RAW'!B515),9)="Location:",TRIM(MID('MSR RAW'!B515,10,999)),D514)</f>
        <v>FB 155 - SUB ISLAND NOODLES</v>
      </c>
      <c r="E515" t="str">
        <f>IF(AND(ISNUMBER(SEARCH(" - ",TRIM('MSR RAW'!C515))),RIGHT(TRIM('MSR RAW'!C515),6)="Total:"),LEFT(TRIM('MSR RAW'!C515),SEARCH(" - ",TRIM('MSR RAW'!C515))-1),"")</f>
        <v/>
      </c>
      <c r="F515" t="str">
        <f>IF(E515="","",TRIM(MID(TRIM('MSR RAW'!C515),SEARCH(" - ",TRIM('MSR RAW'!C515))+3,LEN(TRIM('MSR RAW'!C515))-SEARCH(" - ",TRIM('MSR RAW'!C515))-9)))</f>
        <v/>
      </c>
      <c r="G515" t="str">
        <f>IF(E515="","",IFERROR(VLOOKUP(E515,'CATEGORY MAP'!$A$2:$B$20,2,FALSE()),"REVIEW"))</f>
        <v/>
      </c>
      <c r="H515" t="str">
        <f>IF(E515="","",IFERROR(VALUE(SUBSTITUTE('MSR RAW'!P515,",","")),0))</f>
        <v/>
      </c>
      <c r="I515" t="str">
        <f>IF(E515="","",IFERROR(VALUE(SUBSTITUTE('MSR RAW'!S515,",","")),0))</f>
        <v/>
      </c>
    </row>
    <row r="516" spans="1:9" ht="68.650000000000006" customHeight="1" x14ac:dyDescent="0.2">
      <c r="A516">
        <v>516</v>
      </c>
      <c r="B51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16" t="str">
        <f>IF(LEFT(TRIM('MSR RAW'!A516),11)="Department:",TRIM('MSR RAW'!A516),C515)</f>
        <v>Department: 36637 - SPECIALTY CONCESSIONS (VENDING)</v>
      </c>
      <c r="D516" t="str">
        <f>IF(LEFT(TRIM('MSR RAW'!B516),9)="Location:",TRIM(MID('MSR RAW'!B516,10,999)),D515)</f>
        <v>FB 155 - SUB ISLAND NOODLES</v>
      </c>
      <c r="E516" t="str">
        <f>IF(AND(ISNUMBER(SEARCH(" - ",TRIM('MSR RAW'!C516))),RIGHT(TRIM('MSR RAW'!C516),6)="Total:"),LEFT(TRIM('MSR RAW'!C516),SEARCH(" - ",TRIM('MSR RAW'!C516))-1),"")</f>
        <v/>
      </c>
      <c r="F516" t="str">
        <f>IF(E516="","",TRIM(MID(TRIM('MSR RAW'!C516),SEARCH(" - ",TRIM('MSR RAW'!C516))+3,LEN(TRIM('MSR RAW'!C516))-SEARCH(" - ",TRIM('MSR RAW'!C516))-9)))</f>
        <v/>
      </c>
      <c r="G516" t="str">
        <f>IF(E516="","",IFERROR(VLOOKUP(E516,'CATEGORY MAP'!$A$2:$B$20,2,FALSE()),"REVIEW"))</f>
        <v/>
      </c>
      <c r="H516" t="str">
        <f>IF(E516="","",IFERROR(VALUE(SUBSTITUTE('MSR RAW'!P516,",","")),0))</f>
        <v/>
      </c>
      <c r="I516" t="str">
        <f>IF(E516="","",IFERROR(VALUE(SUBSTITUTE('MSR RAW'!S516,",","")),0))</f>
        <v/>
      </c>
    </row>
    <row r="517" spans="1:9" ht="68.650000000000006" customHeight="1" x14ac:dyDescent="0.2">
      <c r="A517">
        <v>517</v>
      </c>
      <c r="B51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17" t="str">
        <f>IF(LEFT(TRIM('MSR RAW'!A517),11)="Department:",TRIM('MSR RAW'!A517),C516)</f>
        <v>Department: 36637 - SPECIALTY CONCESSIONS (VENDING)</v>
      </c>
      <c r="D517" t="str">
        <f>IF(LEFT(TRIM('MSR RAW'!B517),9)="Location:",TRIM(MID('MSR RAW'!B517,10,999)),D516)</f>
        <v>FB 155 - SUB ISLAND NOODLES</v>
      </c>
      <c r="E517" t="str">
        <f>IF(AND(ISNUMBER(SEARCH(" - ",TRIM('MSR RAW'!C517))),RIGHT(TRIM('MSR RAW'!C517),6)="Total:"),LEFT(TRIM('MSR RAW'!C517),SEARCH(" - ",TRIM('MSR RAW'!C517))-1),"")</f>
        <v/>
      </c>
      <c r="F517" t="str">
        <f>IF(E517="","",TRIM(MID(TRIM('MSR RAW'!C517),SEARCH(" - ",TRIM('MSR RAW'!C517))+3,LEN(TRIM('MSR RAW'!C517))-SEARCH(" - ",TRIM('MSR RAW'!C517))-9)))</f>
        <v/>
      </c>
      <c r="G517" t="str">
        <f>IF(E517="","",IFERROR(VLOOKUP(E517,'CATEGORY MAP'!$A$2:$B$20,2,FALSE()),"REVIEW"))</f>
        <v/>
      </c>
      <c r="H517" t="str">
        <f>IF(E517="","",IFERROR(VALUE(SUBSTITUTE('MSR RAW'!P517,",","")),0))</f>
        <v/>
      </c>
      <c r="I517" t="str">
        <f>IF(E517="","",IFERROR(VALUE(SUBSTITUTE('MSR RAW'!S517,",","")),0))</f>
        <v/>
      </c>
    </row>
    <row r="518" spans="1:9" ht="68.650000000000006" customHeight="1" x14ac:dyDescent="0.2">
      <c r="A518">
        <v>518</v>
      </c>
      <c r="B51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18" t="str">
        <f>IF(LEFT(TRIM('MSR RAW'!A518),11)="Department:",TRIM('MSR RAW'!A518),C517)</f>
        <v>Department: 36637 - SPECIALTY CONCESSIONS (VENDING)</v>
      </c>
      <c r="D518" t="str">
        <f>IF(LEFT(TRIM('MSR RAW'!B518),9)="Location:",TRIM(MID('MSR RAW'!B518,10,999)),D517)</f>
        <v>FB 155 - SUB ISLAND NOODLES</v>
      </c>
      <c r="E518" t="str">
        <f>IF(AND(ISNUMBER(SEARCH(" - ",TRIM('MSR RAW'!C518))),RIGHT(TRIM('MSR RAW'!C518),6)="Total:"),LEFT(TRIM('MSR RAW'!C518),SEARCH(" - ",TRIM('MSR RAW'!C518))-1),"")</f>
        <v/>
      </c>
      <c r="F518" t="str">
        <f>IF(E518="","",TRIM(MID(TRIM('MSR RAW'!C518),SEARCH(" - ",TRIM('MSR RAW'!C518))+3,LEN(TRIM('MSR RAW'!C518))-SEARCH(" - ",TRIM('MSR RAW'!C518))-9)))</f>
        <v/>
      </c>
      <c r="G518" t="str">
        <f>IF(E518="","",IFERROR(VLOOKUP(E518,'CATEGORY MAP'!$A$2:$B$20,2,FALSE()),"REVIEW"))</f>
        <v/>
      </c>
      <c r="H518" t="str">
        <f>IF(E518="","",IFERROR(VALUE(SUBSTITUTE('MSR RAW'!P518,",","")),0))</f>
        <v/>
      </c>
      <c r="I518" t="str">
        <f>IF(E518="","",IFERROR(VALUE(SUBSTITUTE('MSR RAW'!S518,",","")),0))</f>
        <v/>
      </c>
    </row>
    <row r="519" spans="1:9" ht="68.650000000000006" customHeight="1" x14ac:dyDescent="0.2">
      <c r="A519">
        <v>519</v>
      </c>
      <c r="B51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19" t="str">
        <f>IF(LEFT(TRIM('MSR RAW'!A519),11)="Department:",TRIM('MSR RAW'!A519),C518)</f>
        <v>Department: 36637 - SPECIALTY CONCESSIONS (VENDING)</v>
      </c>
      <c r="D519" t="str">
        <f>IF(LEFT(TRIM('MSR RAW'!B519),9)="Location:",TRIM(MID('MSR RAW'!B519,10,999)),D518)</f>
        <v>FB 155 - SUB ISLAND NOODLES</v>
      </c>
      <c r="E519" t="str">
        <f>IF(AND(ISNUMBER(SEARCH(" - ",TRIM('MSR RAW'!C519))),RIGHT(TRIM('MSR RAW'!C519),6)="Total:"),LEFT(TRIM('MSR RAW'!C519),SEARCH(" - ",TRIM('MSR RAW'!C519))-1),"")</f>
        <v/>
      </c>
      <c r="F519" t="str">
        <f>IF(E519="","",TRIM(MID(TRIM('MSR RAW'!C519),SEARCH(" - ",TRIM('MSR RAW'!C519))+3,LEN(TRIM('MSR RAW'!C519))-SEARCH(" - ",TRIM('MSR RAW'!C519))-9)))</f>
        <v/>
      </c>
      <c r="G519" t="str">
        <f>IF(E519="","",IFERROR(VLOOKUP(E519,'CATEGORY MAP'!$A$2:$B$20,2,FALSE()),"REVIEW"))</f>
        <v/>
      </c>
      <c r="H519" t="str">
        <f>IF(E519="","",IFERROR(VALUE(SUBSTITUTE('MSR RAW'!P519,",","")),0))</f>
        <v/>
      </c>
      <c r="I519" t="str">
        <f>IF(E519="","",IFERROR(VALUE(SUBSTITUTE('MSR RAW'!S519,",","")),0))</f>
        <v/>
      </c>
    </row>
    <row r="520" spans="1:9" ht="68.650000000000006" customHeight="1" x14ac:dyDescent="0.2">
      <c r="A520">
        <v>520</v>
      </c>
      <c r="B52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20" t="str">
        <f>IF(LEFT(TRIM('MSR RAW'!A520),11)="Department:",TRIM('MSR RAW'!A520),C519)</f>
        <v>Department: 36637 - SPECIALTY CONCESSIONS (VENDING)</v>
      </c>
      <c r="D520" t="str">
        <f>IF(LEFT(TRIM('MSR RAW'!B520),9)="Location:",TRIM(MID('MSR RAW'!B520,10,999)),D519)</f>
        <v>FB 155 - SUB ISLAND NOODLES</v>
      </c>
      <c r="E520" t="str">
        <f>IF(AND(ISNUMBER(SEARCH(" - ",TRIM('MSR RAW'!C520))),RIGHT(TRIM('MSR RAW'!C520),6)="Total:"),LEFT(TRIM('MSR RAW'!C520),SEARCH(" - ",TRIM('MSR RAW'!C520))-1),"")</f>
        <v/>
      </c>
      <c r="F520" t="str">
        <f>IF(E520="","",TRIM(MID(TRIM('MSR RAW'!C520),SEARCH(" - ",TRIM('MSR RAW'!C520))+3,LEN(TRIM('MSR RAW'!C520))-SEARCH(" - ",TRIM('MSR RAW'!C520))-9)))</f>
        <v/>
      </c>
      <c r="G520" t="str">
        <f>IF(E520="","",IFERROR(VLOOKUP(E520,'CATEGORY MAP'!$A$2:$B$20,2,FALSE()),"REVIEW"))</f>
        <v/>
      </c>
      <c r="H520" t="str">
        <f>IF(E520="","",IFERROR(VALUE(SUBSTITUTE('MSR RAW'!P520,",","")),0))</f>
        <v/>
      </c>
      <c r="I520" t="str">
        <f>IF(E520="","",IFERROR(VALUE(SUBSTITUTE('MSR RAW'!S520,",","")),0))</f>
        <v/>
      </c>
    </row>
    <row r="521" spans="1:9" ht="68.650000000000006" customHeight="1" x14ac:dyDescent="0.2">
      <c r="A521">
        <v>521</v>
      </c>
      <c r="B52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21" t="str">
        <f>IF(LEFT(TRIM('MSR RAW'!A521),11)="Department:",TRIM('MSR RAW'!A521),C520)</f>
        <v>Department: 36637 - SPECIALTY CONCESSIONS (VENDING)</v>
      </c>
      <c r="D521" t="str">
        <f>IF(LEFT(TRIM('MSR RAW'!B521),9)="Location:",TRIM(MID('MSR RAW'!B521,10,999)),D520)</f>
        <v>FB 155 - SUB ISLAND NOODLES</v>
      </c>
      <c r="E521" t="str">
        <f>IF(AND(ISNUMBER(SEARCH(" - ",TRIM('MSR RAW'!C521))),RIGHT(TRIM('MSR RAW'!C521),6)="Total:"),LEFT(TRIM('MSR RAW'!C521),SEARCH(" - ",TRIM('MSR RAW'!C521))-1),"")</f>
        <v/>
      </c>
      <c r="F521" t="str">
        <f>IF(E521="","",TRIM(MID(TRIM('MSR RAW'!C521),SEARCH(" - ",TRIM('MSR RAW'!C521))+3,LEN(TRIM('MSR RAW'!C521))-SEARCH(" - ",TRIM('MSR RAW'!C521))-9)))</f>
        <v/>
      </c>
      <c r="G521" t="str">
        <f>IF(E521="","",IFERROR(VLOOKUP(E521,'CATEGORY MAP'!$A$2:$B$20,2,FALSE()),"REVIEW"))</f>
        <v/>
      </c>
      <c r="H521" t="str">
        <f>IF(E521="","",IFERROR(VALUE(SUBSTITUTE('MSR RAW'!P521,",","")),0))</f>
        <v/>
      </c>
      <c r="I521" t="str">
        <f>IF(E521="","",IFERROR(VALUE(SUBSTITUTE('MSR RAW'!S521,",","")),0))</f>
        <v/>
      </c>
    </row>
    <row r="522" spans="1:9" ht="68.650000000000006" customHeight="1" x14ac:dyDescent="0.2">
      <c r="A522">
        <v>522</v>
      </c>
      <c r="B52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22" t="str">
        <f>IF(LEFT(TRIM('MSR RAW'!A522),11)="Department:",TRIM('MSR RAW'!A522),C521)</f>
        <v>Department: 36637 - SPECIALTY CONCESSIONS (VENDING)</v>
      </c>
      <c r="D522" t="str">
        <f>IF(LEFT(TRIM('MSR RAW'!B522),9)="Location:",TRIM(MID('MSR RAW'!B522,10,999)),D521)</f>
        <v>FB 155 - SUB ISLAND NOODLES</v>
      </c>
      <c r="E522" t="str">
        <f>IF(AND(ISNUMBER(SEARCH(" - ",TRIM('MSR RAW'!C522))),RIGHT(TRIM('MSR RAW'!C522),6)="Total:"),LEFT(TRIM('MSR RAW'!C522),SEARCH(" - ",TRIM('MSR RAW'!C522))-1),"")</f>
        <v/>
      </c>
      <c r="F522" t="str">
        <f>IF(E522="","",TRIM(MID(TRIM('MSR RAW'!C522),SEARCH(" - ",TRIM('MSR RAW'!C522))+3,LEN(TRIM('MSR RAW'!C522))-SEARCH(" - ",TRIM('MSR RAW'!C522))-9)))</f>
        <v/>
      </c>
      <c r="G522" t="str">
        <f>IF(E522="","",IFERROR(VLOOKUP(E522,'CATEGORY MAP'!$A$2:$B$20,2,FALSE()),"REVIEW"))</f>
        <v/>
      </c>
      <c r="H522" t="str">
        <f>IF(E522="","",IFERROR(VALUE(SUBSTITUTE('MSR RAW'!P522,",","")),0))</f>
        <v/>
      </c>
      <c r="I522" t="str">
        <f>IF(E522="","",IFERROR(VALUE(SUBSTITUTE('MSR RAW'!S522,",","")),0))</f>
        <v/>
      </c>
    </row>
    <row r="523" spans="1:9" ht="68.650000000000006" customHeight="1" x14ac:dyDescent="0.2">
      <c r="A523">
        <v>523</v>
      </c>
      <c r="B52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23" t="str">
        <f>IF(LEFT(TRIM('MSR RAW'!A523),11)="Department:",TRIM('MSR RAW'!A523),C522)</f>
        <v>Department: 36637 - SPECIALTY CONCESSIONS (VENDING)</v>
      </c>
      <c r="D523" t="str">
        <f>IF(LEFT(TRIM('MSR RAW'!B523),9)="Location:",TRIM(MID('MSR RAW'!B523,10,999)),D522)</f>
        <v>FB 155 - SUB ISLAND NOODLES</v>
      </c>
      <c r="E523" t="str">
        <f>IF(AND(ISNUMBER(SEARCH(" - ",TRIM('MSR RAW'!C523))),RIGHT(TRIM('MSR RAW'!C523),6)="Total:"),LEFT(TRIM('MSR RAW'!C523),SEARCH(" - ",TRIM('MSR RAW'!C523))-1),"")</f>
        <v/>
      </c>
      <c r="F523" t="str">
        <f>IF(E523="","",TRIM(MID(TRIM('MSR RAW'!C523),SEARCH(" - ",TRIM('MSR RAW'!C523))+3,LEN(TRIM('MSR RAW'!C523))-SEARCH(" - ",TRIM('MSR RAW'!C523))-9)))</f>
        <v/>
      </c>
      <c r="G523" t="str">
        <f>IF(E523="","",IFERROR(VLOOKUP(E523,'CATEGORY MAP'!$A$2:$B$20,2,FALSE()),"REVIEW"))</f>
        <v/>
      </c>
      <c r="H523" t="str">
        <f>IF(E523="","",IFERROR(VALUE(SUBSTITUTE('MSR RAW'!P523,",","")),0))</f>
        <v/>
      </c>
      <c r="I523" t="str">
        <f>IF(E523="","",IFERROR(VALUE(SUBSTITUTE('MSR RAW'!S523,",","")),0))</f>
        <v/>
      </c>
    </row>
    <row r="524" spans="1:9" ht="68.650000000000006" customHeight="1" x14ac:dyDescent="0.2">
      <c r="A524">
        <v>524</v>
      </c>
      <c r="B52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24" t="str">
        <f>IF(LEFT(TRIM('MSR RAW'!A524),11)="Department:",TRIM('MSR RAW'!A524),C523)</f>
        <v>Department: 36637 - SPECIALTY CONCESSIONS (VENDING)</v>
      </c>
      <c r="D524" t="str">
        <f>IF(LEFT(TRIM('MSR RAW'!B524),9)="Location:",TRIM(MID('MSR RAW'!B524,10,999)),D523)</f>
        <v>FB 155 - SUB ISLAND NOODLES</v>
      </c>
      <c r="E524" t="str">
        <f>IF(AND(ISNUMBER(SEARCH(" - ",TRIM('MSR RAW'!C524))),RIGHT(TRIM('MSR RAW'!C524),6)="Total:"),LEFT(TRIM('MSR RAW'!C524),SEARCH(" - ",TRIM('MSR RAW'!C524))-1),"")</f>
        <v/>
      </c>
      <c r="F524" t="str">
        <f>IF(E524="","",TRIM(MID(TRIM('MSR RAW'!C524),SEARCH(" - ",TRIM('MSR RAW'!C524))+3,LEN(TRIM('MSR RAW'!C524))-SEARCH(" - ",TRIM('MSR RAW'!C524))-9)))</f>
        <v/>
      </c>
      <c r="G524" t="str">
        <f>IF(E524="","",IFERROR(VLOOKUP(E524,'CATEGORY MAP'!$A$2:$B$20,2,FALSE()),"REVIEW"))</f>
        <v/>
      </c>
      <c r="H524" t="str">
        <f>IF(E524="","",IFERROR(VALUE(SUBSTITUTE('MSR RAW'!P524,",","")),0))</f>
        <v/>
      </c>
      <c r="I524" t="str">
        <f>IF(E524="","",IFERROR(VALUE(SUBSTITUTE('MSR RAW'!S524,",","")),0))</f>
        <v/>
      </c>
    </row>
    <row r="525" spans="1:9" ht="68.650000000000006" customHeight="1" x14ac:dyDescent="0.2">
      <c r="A525">
        <v>525</v>
      </c>
      <c r="B52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25" t="str">
        <f>IF(LEFT(TRIM('MSR RAW'!A525),11)="Department:",TRIM('MSR RAW'!A525),C524)</f>
        <v>Department: 36637 - SPECIALTY CONCESSIONS (VENDING)</v>
      </c>
      <c r="D525" t="str">
        <f>IF(LEFT(TRIM('MSR RAW'!B525),9)="Location:",TRIM(MID('MSR RAW'!B525,10,999)),D524)</f>
        <v>FB 155 - SUB ISLAND NOODLES</v>
      </c>
      <c r="E525" t="str">
        <f>IF(AND(ISNUMBER(SEARCH(" - ",TRIM('MSR RAW'!C525))),RIGHT(TRIM('MSR RAW'!C525),6)="Total:"),LEFT(TRIM('MSR RAW'!C525),SEARCH(" - ",TRIM('MSR RAW'!C525))-1),"")</f>
        <v/>
      </c>
      <c r="F525" t="str">
        <f>IF(E525="","",TRIM(MID(TRIM('MSR RAW'!C525),SEARCH(" - ",TRIM('MSR RAW'!C525))+3,LEN(TRIM('MSR RAW'!C525))-SEARCH(" - ",TRIM('MSR RAW'!C525))-9)))</f>
        <v/>
      </c>
      <c r="G525" t="str">
        <f>IF(E525="","",IFERROR(VLOOKUP(E525,'CATEGORY MAP'!$A$2:$B$20,2,FALSE()),"REVIEW"))</f>
        <v/>
      </c>
      <c r="H525" t="str">
        <f>IF(E525="","",IFERROR(VALUE(SUBSTITUTE('MSR RAW'!P525,",","")),0))</f>
        <v/>
      </c>
      <c r="I525" t="str">
        <f>IF(E525="","",IFERROR(VALUE(SUBSTITUTE('MSR RAW'!S525,",","")),0))</f>
        <v/>
      </c>
    </row>
    <row r="526" spans="1:9" ht="68.650000000000006" customHeight="1" x14ac:dyDescent="0.2">
      <c r="A526">
        <v>526</v>
      </c>
      <c r="B52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26" t="str">
        <f>IF(LEFT(TRIM('MSR RAW'!A526),11)="Department:",TRIM('MSR RAW'!A526),C525)</f>
        <v>Department: 36637 - SPECIALTY CONCESSIONS (VENDING)</v>
      </c>
      <c r="D526" t="str">
        <f>IF(LEFT(TRIM('MSR RAW'!B526),9)="Location:",TRIM(MID('MSR RAW'!B526,10,999)),D525)</f>
        <v>FB 155 - SUB ISLAND NOODLES</v>
      </c>
      <c r="E526" t="str">
        <f>IF(AND(ISNUMBER(SEARCH(" - ",TRIM('MSR RAW'!C526))),RIGHT(TRIM('MSR RAW'!C526),6)="Total:"),LEFT(TRIM('MSR RAW'!C526),SEARCH(" - ",TRIM('MSR RAW'!C526))-1),"")</f>
        <v/>
      </c>
      <c r="F526" t="str">
        <f>IF(E526="","",TRIM(MID(TRIM('MSR RAW'!C526),SEARCH(" - ",TRIM('MSR RAW'!C526))+3,LEN(TRIM('MSR RAW'!C526))-SEARCH(" - ",TRIM('MSR RAW'!C526))-9)))</f>
        <v/>
      </c>
      <c r="G526" t="str">
        <f>IF(E526="","",IFERROR(VLOOKUP(E526,'CATEGORY MAP'!$A$2:$B$20,2,FALSE()),"REVIEW"))</f>
        <v/>
      </c>
      <c r="H526" t="str">
        <f>IF(E526="","",IFERROR(VALUE(SUBSTITUTE('MSR RAW'!P526,",","")),0))</f>
        <v/>
      </c>
      <c r="I526" t="str">
        <f>IF(E526="","",IFERROR(VALUE(SUBSTITUTE('MSR RAW'!S526,",","")),0))</f>
        <v/>
      </c>
    </row>
    <row r="527" spans="1:9" ht="68.650000000000006" customHeight="1" x14ac:dyDescent="0.2">
      <c r="A527">
        <v>527</v>
      </c>
      <c r="B52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27" t="str">
        <f>IF(LEFT(TRIM('MSR RAW'!A527),11)="Department:",TRIM('MSR RAW'!A527),C526)</f>
        <v>Department: 36637 - SPECIALTY CONCESSIONS (VENDING)</v>
      </c>
      <c r="D527" t="str">
        <f>IF(LEFT(TRIM('MSR RAW'!B527),9)="Location:",TRIM(MID('MSR RAW'!B527,10,999)),D526)</f>
        <v>FB 155 - SUB ISLAND NOODLES</v>
      </c>
      <c r="E527" t="str">
        <f>IF(AND(ISNUMBER(SEARCH(" - ",TRIM('MSR RAW'!C527))),RIGHT(TRIM('MSR RAW'!C527),6)="Total:"),LEFT(TRIM('MSR RAW'!C527),SEARCH(" - ",TRIM('MSR RAW'!C527))-1),"")</f>
        <v/>
      </c>
      <c r="F527" t="str">
        <f>IF(E527="","",TRIM(MID(TRIM('MSR RAW'!C527),SEARCH(" - ",TRIM('MSR RAW'!C527))+3,LEN(TRIM('MSR RAW'!C527))-SEARCH(" - ",TRIM('MSR RAW'!C527))-9)))</f>
        <v/>
      </c>
      <c r="G527" t="str">
        <f>IF(E527="","",IFERROR(VLOOKUP(E527,'CATEGORY MAP'!$A$2:$B$20,2,FALSE()),"REVIEW"))</f>
        <v/>
      </c>
      <c r="H527" t="str">
        <f>IF(E527="","",IFERROR(VALUE(SUBSTITUTE('MSR RAW'!P527,",","")),0))</f>
        <v/>
      </c>
      <c r="I527" t="str">
        <f>IF(E527="","",IFERROR(VALUE(SUBSTITUTE('MSR RAW'!S527,",","")),0))</f>
        <v/>
      </c>
    </row>
    <row r="528" spans="1:9" ht="68.650000000000006" customHeight="1" x14ac:dyDescent="0.2">
      <c r="A528">
        <v>528</v>
      </c>
      <c r="B52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28" t="str">
        <f>IF(LEFT(TRIM('MSR RAW'!A528),11)="Department:",TRIM('MSR RAW'!A528),C527)</f>
        <v>Department: 36637 - SPECIALTY CONCESSIONS (VENDING)</v>
      </c>
      <c r="D528" t="str">
        <f>IF(LEFT(TRIM('MSR RAW'!B528),9)="Location:",TRIM(MID('MSR RAW'!B528,10,999)),D527)</f>
        <v>FB 155 - SUB ISLAND NOODLES</v>
      </c>
      <c r="E528" t="str">
        <f>IF(AND(ISNUMBER(SEARCH(" - ",TRIM('MSR RAW'!C528))),RIGHT(TRIM('MSR RAW'!C528),6)="Total:"),LEFT(TRIM('MSR RAW'!C528),SEARCH(" - ",TRIM('MSR RAW'!C528))-1),"")</f>
        <v/>
      </c>
      <c r="F528" t="str">
        <f>IF(E528="","",TRIM(MID(TRIM('MSR RAW'!C528),SEARCH(" - ",TRIM('MSR RAW'!C528))+3,LEN(TRIM('MSR RAW'!C528))-SEARCH(" - ",TRIM('MSR RAW'!C528))-9)))</f>
        <v/>
      </c>
      <c r="G528" t="str">
        <f>IF(E528="","",IFERROR(VLOOKUP(E528,'CATEGORY MAP'!$A$2:$B$20,2,FALSE()),"REVIEW"))</f>
        <v/>
      </c>
      <c r="H528" t="str">
        <f>IF(E528="","",IFERROR(VALUE(SUBSTITUTE('MSR RAW'!P528,",","")),0))</f>
        <v/>
      </c>
      <c r="I528" t="str">
        <f>IF(E528="","",IFERROR(VALUE(SUBSTITUTE('MSR RAW'!S528,",","")),0))</f>
        <v/>
      </c>
    </row>
    <row r="529" spans="1:9" ht="68.650000000000006" customHeight="1" x14ac:dyDescent="0.2">
      <c r="A529">
        <v>529</v>
      </c>
      <c r="B52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29" t="str">
        <f>IF(LEFT(TRIM('MSR RAW'!A529),11)="Department:",TRIM('MSR RAW'!A529),C528)</f>
        <v>Department: 36637 - SPECIALTY CONCESSIONS (VENDING)</v>
      </c>
      <c r="D529" t="str">
        <f>IF(LEFT(TRIM('MSR RAW'!B529),9)="Location:",TRIM(MID('MSR RAW'!B529,10,999)),D528)</f>
        <v>FB 155 - SUB ISLAND NOODLES</v>
      </c>
      <c r="E529" t="str">
        <f>IF(AND(ISNUMBER(SEARCH(" - ",TRIM('MSR RAW'!C529))),RIGHT(TRIM('MSR RAW'!C529),6)="Total:"),LEFT(TRIM('MSR RAW'!C529),SEARCH(" - ",TRIM('MSR RAW'!C529))-1),"")</f>
        <v/>
      </c>
      <c r="F529" t="str">
        <f>IF(E529="","",TRIM(MID(TRIM('MSR RAW'!C529),SEARCH(" - ",TRIM('MSR RAW'!C529))+3,LEN(TRIM('MSR RAW'!C529))-SEARCH(" - ",TRIM('MSR RAW'!C529))-9)))</f>
        <v/>
      </c>
      <c r="G529" t="str">
        <f>IF(E529="","",IFERROR(VLOOKUP(E529,'CATEGORY MAP'!$A$2:$B$20,2,FALSE()),"REVIEW"))</f>
        <v/>
      </c>
      <c r="H529" t="str">
        <f>IF(E529="","",IFERROR(VALUE(SUBSTITUTE('MSR RAW'!P529,",","")),0))</f>
        <v/>
      </c>
      <c r="I529" t="str">
        <f>IF(E529="","",IFERROR(VALUE(SUBSTITUTE('MSR RAW'!S529,",","")),0))</f>
        <v/>
      </c>
    </row>
    <row r="530" spans="1:9" ht="68.650000000000006" customHeight="1" x14ac:dyDescent="0.2">
      <c r="A530">
        <v>530</v>
      </c>
      <c r="B53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30" t="str">
        <f>IF(LEFT(TRIM('MSR RAW'!A530),11)="Department:",TRIM('MSR RAW'!A530),C529)</f>
        <v>Department: 36637 - SPECIALTY CONCESSIONS (VENDING)</v>
      </c>
      <c r="D530" t="str">
        <f>IF(LEFT(TRIM('MSR RAW'!B530),9)="Location:",TRIM(MID('MSR RAW'!B530,10,999)),D529)</f>
        <v>FB 155 - SUB ISLAND NOODLES</v>
      </c>
      <c r="E530" t="str">
        <f>IF(AND(ISNUMBER(SEARCH(" - ",TRIM('MSR RAW'!C530))),RIGHT(TRIM('MSR RAW'!C530),6)="Total:"),LEFT(TRIM('MSR RAW'!C530),SEARCH(" - ",TRIM('MSR RAW'!C530))-1),"")</f>
        <v/>
      </c>
      <c r="F530" t="str">
        <f>IF(E530="","",TRIM(MID(TRIM('MSR RAW'!C530),SEARCH(" - ",TRIM('MSR RAW'!C530))+3,LEN(TRIM('MSR RAW'!C530))-SEARCH(" - ",TRIM('MSR RAW'!C530))-9)))</f>
        <v/>
      </c>
      <c r="G530" t="str">
        <f>IF(E530="","",IFERROR(VLOOKUP(E530,'CATEGORY MAP'!$A$2:$B$20,2,FALSE()),"REVIEW"))</f>
        <v/>
      </c>
      <c r="H530" t="str">
        <f>IF(E530="","",IFERROR(VALUE(SUBSTITUTE('MSR RAW'!P530,",","")),0))</f>
        <v/>
      </c>
      <c r="I530" t="str">
        <f>IF(E530="","",IFERROR(VALUE(SUBSTITUTE('MSR RAW'!S530,",","")),0))</f>
        <v/>
      </c>
    </row>
    <row r="531" spans="1:9" ht="68.650000000000006" customHeight="1" x14ac:dyDescent="0.2">
      <c r="A531">
        <v>531</v>
      </c>
      <c r="B53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31" t="str">
        <f>IF(LEFT(TRIM('MSR RAW'!A531),11)="Department:",TRIM('MSR RAW'!A531),C530)</f>
        <v>Department: 36637 - SPECIALTY CONCESSIONS (VENDING)</v>
      </c>
      <c r="D531" t="str">
        <f>IF(LEFT(TRIM('MSR RAW'!B531),9)="Location:",TRIM(MID('MSR RAW'!B531,10,999)),D530)</f>
        <v>FB 155 - SUB ISLAND NOODLES</v>
      </c>
      <c r="E531" t="str">
        <f>IF(AND(ISNUMBER(SEARCH(" - ",TRIM('MSR RAW'!C531))),RIGHT(TRIM('MSR RAW'!C531),6)="Total:"),LEFT(TRIM('MSR RAW'!C531),SEARCH(" - ",TRIM('MSR RAW'!C531))-1),"")</f>
        <v/>
      </c>
      <c r="F531" t="str">
        <f>IF(E531="","",TRIM(MID(TRIM('MSR RAW'!C531),SEARCH(" - ",TRIM('MSR RAW'!C531))+3,LEN(TRIM('MSR RAW'!C531))-SEARCH(" - ",TRIM('MSR RAW'!C531))-9)))</f>
        <v/>
      </c>
      <c r="G531" t="str">
        <f>IF(E531="","",IFERROR(VLOOKUP(E531,'CATEGORY MAP'!$A$2:$B$20,2,FALSE()),"REVIEW"))</f>
        <v/>
      </c>
      <c r="H531" t="str">
        <f>IF(E531="","",IFERROR(VALUE(SUBSTITUTE('MSR RAW'!P531,",","")),0))</f>
        <v/>
      </c>
      <c r="I531" t="str">
        <f>IF(E531="","",IFERROR(VALUE(SUBSTITUTE('MSR RAW'!S531,",","")),0))</f>
        <v/>
      </c>
    </row>
    <row r="532" spans="1:9" ht="68.650000000000006" customHeight="1" x14ac:dyDescent="0.2">
      <c r="A532">
        <v>532</v>
      </c>
      <c r="B53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32" t="str">
        <f>IF(LEFT(TRIM('MSR RAW'!A532),11)="Department:",TRIM('MSR RAW'!A532),C531)</f>
        <v>Department: 36637 - SPECIALTY CONCESSIONS (VENDING)</v>
      </c>
      <c r="D532" t="str">
        <f>IF(LEFT(TRIM('MSR RAW'!B532),9)="Location:",TRIM(MID('MSR RAW'!B532,10,999)),D531)</f>
        <v>FB 155 - SUB ISLAND NOODLES</v>
      </c>
      <c r="E532" t="str">
        <f>IF(AND(ISNUMBER(SEARCH(" - ",TRIM('MSR RAW'!C532))),RIGHT(TRIM('MSR RAW'!C532),6)="Total:"),LEFT(TRIM('MSR RAW'!C532),SEARCH(" - ",TRIM('MSR RAW'!C532))-1),"")</f>
        <v/>
      </c>
      <c r="F532" t="str">
        <f>IF(E532="","",TRIM(MID(TRIM('MSR RAW'!C532),SEARCH(" - ",TRIM('MSR RAW'!C532))+3,LEN(TRIM('MSR RAW'!C532))-SEARCH(" - ",TRIM('MSR RAW'!C532))-9)))</f>
        <v/>
      </c>
      <c r="G532" t="str">
        <f>IF(E532="","",IFERROR(VLOOKUP(E532,'CATEGORY MAP'!$A$2:$B$20,2,FALSE()),"REVIEW"))</f>
        <v/>
      </c>
      <c r="H532" t="str">
        <f>IF(E532="","",IFERROR(VALUE(SUBSTITUTE('MSR RAW'!P532,",","")),0))</f>
        <v/>
      </c>
      <c r="I532" t="str">
        <f>IF(E532="","",IFERROR(VALUE(SUBSTITUTE('MSR RAW'!S532,",","")),0))</f>
        <v/>
      </c>
    </row>
    <row r="533" spans="1:9" ht="68.650000000000006" customHeight="1" x14ac:dyDescent="0.2">
      <c r="A533">
        <v>533</v>
      </c>
      <c r="B53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33" t="str">
        <f>IF(LEFT(TRIM('MSR RAW'!A533),11)="Department:",TRIM('MSR RAW'!A533),C532)</f>
        <v>Department: 36637 - SPECIALTY CONCESSIONS (VENDING)</v>
      </c>
      <c r="D533" t="str">
        <f>IF(LEFT(TRIM('MSR RAW'!B533),9)="Location:",TRIM(MID('MSR RAW'!B533,10,999)),D532)</f>
        <v>FB 155 - SUB ISLAND NOODLES</v>
      </c>
      <c r="E533" t="str">
        <f>IF(AND(ISNUMBER(SEARCH(" - ",TRIM('MSR RAW'!C533))),RIGHT(TRIM('MSR RAW'!C533),6)="Total:"),LEFT(TRIM('MSR RAW'!C533),SEARCH(" - ",TRIM('MSR RAW'!C533))-1),"")</f>
        <v/>
      </c>
      <c r="F533" t="str">
        <f>IF(E533="","",TRIM(MID(TRIM('MSR RAW'!C533),SEARCH(" - ",TRIM('MSR RAW'!C533))+3,LEN(TRIM('MSR RAW'!C533))-SEARCH(" - ",TRIM('MSR RAW'!C533))-9)))</f>
        <v/>
      </c>
      <c r="G533" t="str">
        <f>IF(E533="","",IFERROR(VLOOKUP(E533,'CATEGORY MAP'!$A$2:$B$20,2,FALSE()),"REVIEW"))</f>
        <v/>
      </c>
      <c r="H533" t="str">
        <f>IF(E533="","",IFERROR(VALUE(SUBSTITUTE('MSR RAW'!P533,",","")),0))</f>
        <v/>
      </c>
      <c r="I533" t="str">
        <f>IF(E533="","",IFERROR(VALUE(SUBSTITUTE('MSR RAW'!S533,",","")),0))</f>
        <v/>
      </c>
    </row>
    <row r="534" spans="1:9" ht="68.650000000000006" customHeight="1" x14ac:dyDescent="0.2">
      <c r="A534">
        <v>534</v>
      </c>
      <c r="B53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34" t="str">
        <f>IF(LEFT(TRIM('MSR RAW'!A534),11)="Department:",TRIM('MSR RAW'!A534),C533)</f>
        <v>Department: 36637 - SPECIALTY CONCESSIONS (VENDING)</v>
      </c>
      <c r="D534" t="str">
        <f>IF(LEFT(TRIM('MSR RAW'!B534),9)="Location:",TRIM(MID('MSR RAW'!B534,10,999)),D533)</f>
        <v>FB 155 - SUB ISLAND NOODLES</v>
      </c>
      <c r="E534" t="str">
        <f>IF(AND(ISNUMBER(SEARCH(" - ",TRIM('MSR RAW'!C534))),RIGHT(TRIM('MSR RAW'!C534),6)="Total:"),LEFT(TRIM('MSR RAW'!C534),SEARCH(" - ",TRIM('MSR RAW'!C534))-1),"")</f>
        <v/>
      </c>
      <c r="F534" t="str">
        <f>IF(E534="","",TRIM(MID(TRIM('MSR RAW'!C534),SEARCH(" - ",TRIM('MSR RAW'!C534))+3,LEN(TRIM('MSR RAW'!C534))-SEARCH(" - ",TRIM('MSR RAW'!C534))-9)))</f>
        <v/>
      </c>
      <c r="G534" t="str">
        <f>IF(E534="","",IFERROR(VLOOKUP(E534,'CATEGORY MAP'!$A$2:$B$20,2,FALSE()),"REVIEW"))</f>
        <v/>
      </c>
      <c r="H534" t="str">
        <f>IF(E534="","",IFERROR(VALUE(SUBSTITUTE('MSR RAW'!P534,",","")),0))</f>
        <v/>
      </c>
      <c r="I534" t="str">
        <f>IF(E534="","",IFERROR(VALUE(SUBSTITUTE('MSR RAW'!S534,",","")),0))</f>
        <v/>
      </c>
    </row>
    <row r="535" spans="1:9" ht="68.650000000000006" customHeight="1" x14ac:dyDescent="0.2">
      <c r="A535">
        <v>535</v>
      </c>
      <c r="B53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35" t="str">
        <f>IF(LEFT(TRIM('MSR RAW'!A535),11)="Department:",TRIM('MSR RAW'!A535),C534)</f>
        <v>Department: 36637 - SPECIALTY CONCESSIONS (VENDING)</v>
      </c>
      <c r="D535" t="str">
        <f>IF(LEFT(TRIM('MSR RAW'!B535),9)="Location:",TRIM(MID('MSR RAW'!B535,10,999)),D534)</f>
        <v>FB 155 - SUB ISLAND NOODLES</v>
      </c>
      <c r="E535" t="str">
        <f>IF(AND(ISNUMBER(SEARCH(" - ",TRIM('MSR RAW'!C535))),RIGHT(TRIM('MSR RAW'!C535),6)="Total:"),LEFT(TRIM('MSR RAW'!C535),SEARCH(" - ",TRIM('MSR RAW'!C535))-1),"")</f>
        <v/>
      </c>
      <c r="F535" t="str">
        <f>IF(E535="","",TRIM(MID(TRIM('MSR RAW'!C535),SEARCH(" - ",TRIM('MSR RAW'!C535))+3,LEN(TRIM('MSR RAW'!C535))-SEARCH(" - ",TRIM('MSR RAW'!C535))-9)))</f>
        <v/>
      </c>
      <c r="G535" t="str">
        <f>IF(E535="","",IFERROR(VLOOKUP(E535,'CATEGORY MAP'!$A$2:$B$20,2,FALSE()),"REVIEW"))</f>
        <v/>
      </c>
      <c r="H535" t="str">
        <f>IF(E535="","",IFERROR(VALUE(SUBSTITUTE('MSR RAW'!P535,",","")),0))</f>
        <v/>
      </c>
      <c r="I535" t="str">
        <f>IF(E535="","",IFERROR(VALUE(SUBSTITUTE('MSR RAW'!S535,",","")),0))</f>
        <v/>
      </c>
    </row>
    <row r="536" spans="1:9" ht="68.650000000000006" customHeight="1" x14ac:dyDescent="0.2">
      <c r="A536">
        <v>536</v>
      </c>
      <c r="B53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36" t="str">
        <f>IF(LEFT(TRIM('MSR RAW'!A536),11)="Department:",TRIM('MSR RAW'!A536),C535)</f>
        <v>Department: 36637 - SPECIALTY CONCESSIONS (VENDING)</v>
      </c>
      <c r="D536" t="str">
        <f>IF(LEFT(TRIM('MSR RAW'!B536),9)="Location:",TRIM(MID('MSR RAW'!B536,10,999)),D535)</f>
        <v>FB 155 - SUB ISLAND NOODLES</v>
      </c>
      <c r="E536" t="str">
        <f>IF(AND(ISNUMBER(SEARCH(" - ",TRIM('MSR RAW'!C536))),RIGHT(TRIM('MSR RAW'!C536),6)="Total:"),LEFT(TRIM('MSR RAW'!C536),SEARCH(" - ",TRIM('MSR RAW'!C536))-1),"")</f>
        <v/>
      </c>
      <c r="F536" t="str">
        <f>IF(E536="","",TRIM(MID(TRIM('MSR RAW'!C536),SEARCH(" - ",TRIM('MSR RAW'!C536))+3,LEN(TRIM('MSR RAW'!C536))-SEARCH(" - ",TRIM('MSR RAW'!C536))-9)))</f>
        <v/>
      </c>
      <c r="G536" t="str">
        <f>IF(E536="","",IFERROR(VLOOKUP(E536,'CATEGORY MAP'!$A$2:$B$20,2,FALSE()),"REVIEW"))</f>
        <v/>
      </c>
      <c r="H536" t="str">
        <f>IF(E536="","",IFERROR(VALUE(SUBSTITUTE('MSR RAW'!P536,",","")),0))</f>
        <v/>
      </c>
      <c r="I536" t="str">
        <f>IF(E536="","",IFERROR(VALUE(SUBSTITUTE('MSR RAW'!S536,",","")),0))</f>
        <v/>
      </c>
    </row>
    <row r="537" spans="1:9" ht="68.650000000000006" customHeight="1" x14ac:dyDescent="0.2">
      <c r="A537">
        <v>537</v>
      </c>
      <c r="B53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37" t="str">
        <f>IF(LEFT(TRIM('MSR RAW'!A537),11)="Department:",TRIM('MSR RAW'!A537),C536)</f>
        <v>Department: 36637 - SPECIALTY CONCESSIONS (VENDING)</v>
      </c>
      <c r="D537" t="str">
        <f>IF(LEFT(TRIM('MSR RAW'!B537),9)="Location:",TRIM(MID('MSR RAW'!B537,10,999)),D536)</f>
        <v>FB 155 - SUB ISLAND NOODLES</v>
      </c>
      <c r="E537" t="str">
        <f>IF(AND(ISNUMBER(SEARCH(" - ",TRIM('MSR RAW'!C537))),RIGHT(TRIM('MSR RAW'!C537),6)="Total:"),LEFT(TRIM('MSR RAW'!C537),SEARCH(" - ",TRIM('MSR RAW'!C537))-1),"")</f>
        <v/>
      </c>
      <c r="F537" t="str">
        <f>IF(E537="","",TRIM(MID(TRIM('MSR RAW'!C537),SEARCH(" - ",TRIM('MSR RAW'!C537))+3,LEN(TRIM('MSR RAW'!C537))-SEARCH(" - ",TRIM('MSR RAW'!C537))-9)))</f>
        <v/>
      </c>
      <c r="G537" t="str">
        <f>IF(E537="","",IFERROR(VLOOKUP(E537,'CATEGORY MAP'!$A$2:$B$20,2,FALSE()),"REVIEW"))</f>
        <v/>
      </c>
      <c r="H537" t="str">
        <f>IF(E537="","",IFERROR(VALUE(SUBSTITUTE('MSR RAW'!P537,",","")),0))</f>
        <v/>
      </c>
      <c r="I537" t="str">
        <f>IF(E537="","",IFERROR(VALUE(SUBSTITUTE('MSR RAW'!S537,",","")),0))</f>
        <v/>
      </c>
    </row>
    <row r="538" spans="1:9" ht="68.650000000000006" customHeight="1" x14ac:dyDescent="0.2">
      <c r="A538">
        <v>538</v>
      </c>
      <c r="B53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38" t="str">
        <f>IF(LEFT(TRIM('MSR RAW'!A538),11)="Department:",TRIM('MSR RAW'!A538),C537)</f>
        <v>Department: 36637 - SPECIALTY CONCESSIONS (VENDING)</v>
      </c>
      <c r="D538" t="str">
        <f>IF(LEFT(TRIM('MSR RAW'!B538),9)="Location:",TRIM(MID('MSR RAW'!B538,10,999)),D537)</f>
        <v>FB 155 - SUB ISLAND NOODLES</v>
      </c>
      <c r="E538" t="str">
        <f>IF(AND(ISNUMBER(SEARCH(" - ",TRIM('MSR RAW'!C538))),RIGHT(TRIM('MSR RAW'!C538),6)="Total:"),LEFT(TRIM('MSR RAW'!C538),SEARCH(" - ",TRIM('MSR RAW'!C538))-1),"")</f>
        <v/>
      </c>
      <c r="F538" t="str">
        <f>IF(E538="","",TRIM(MID(TRIM('MSR RAW'!C538),SEARCH(" - ",TRIM('MSR RAW'!C538))+3,LEN(TRIM('MSR RAW'!C538))-SEARCH(" - ",TRIM('MSR RAW'!C538))-9)))</f>
        <v/>
      </c>
      <c r="G538" t="str">
        <f>IF(E538="","",IFERROR(VLOOKUP(E538,'CATEGORY MAP'!$A$2:$B$20,2,FALSE()),"REVIEW"))</f>
        <v/>
      </c>
      <c r="H538" t="str">
        <f>IF(E538="","",IFERROR(VALUE(SUBSTITUTE('MSR RAW'!P538,",","")),0))</f>
        <v/>
      </c>
      <c r="I538" t="str">
        <f>IF(E538="","",IFERROR(VALUE(SUBSTITUTE('MSR RAW'!S538,",","")),0))</f>
        <v/>
      </c>
    </row>
    <row r="539" spans="1:9" ht="68.650000000000006" customHeight="1" x14ac:dyDescent="0.2">
      <c r="A539">
        <v>539</v>
      </c>
      <c r="B53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39" t="str">
        <f>IF(LEFT(TRIM('MSR RAW'!A539),11)="Department:",TRIM('MSR RAW'!A539),C538)</f>
        <v>Department: 36637 - SPECIALTY CONCESSIONS (VENDING)</v>
      </c>
      <c r="D539" t="str">
        <f>IF(LEFT(TRIM('MSR RAW'!B539),9)="Location:",TRIM(MID('MSR RAW'!B539,10,999)),D538)</f>
        <v>FB 155 - SUB ISLAND NOODLES</v>
      </c>
      <c r="E539" t="str">
        <f>IF(AND(ISNUMBER(SEARCH(" - ",TRIM('MSR RAW'!C539))),RIGHT(TRIM('MSR RAW'!C539),6)="Total:"),LEFT(TRIM('MSR RAW'!C539),SEARCH(" - ",TRIM('MSR RAW'!C539))-1),"")</f>
        <v/>
      </c>
      <c r="F539" t="str">
        <f>IF(E539="","",TRIM(MID(TRIM('MSR RAW'!C539),SEARCH(" - ",TRIM('MSR RAW'!C539))+3,LEN(TRIM('MSR RAW'!C539))-SEARCH(" - ",TRIM('MSR RAW'!C539))-9)))</f>
        <v/>
      </c>
      <c r="G539" t="str">
        <f>IF(E539="","",IFERROR(VLOOKUP(E539,'CATEGORY MAP'!$A$2:$B$20,2,FALSE()),"REVIEW"))</f>
        <v/>
      </c>
      <c r="H539" t="str">
        <f>IF(E539="","",IFERROR(VALUE(SUBSTITUTE('MSR RAW'!P539,",","")),0))</f>
        <v/>
      </c>
      <c r="I539" t="str">
        <f>IF(E539="","",IFERROR(VALUE(SUBSTITUTE('MSR RAW'!S539,",","")),0))</f>
        <v/>
      </c>
    </row>
    <row r="540" spans="1:9" ht="68.650000000000006" customHeight="1" x14ac:dyDescent="0.2">
      <c r="A540">
        <v>540</v>
      </c>
      <c r="B54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40" t="str">
        <f>IF(LEFT(TRIM('MSR RAW'!A540),11)="Department:",TRIM('MSR RAW'!A540),C539)</f>
        <v>Department: 36637 - SPECIALTY CONCESSIONS (VENDING)</v>
      </c>
      <c r="D540" t="str">
        <f>IF(LEFT(TRIM('MSR RAW'!B540),9)="Location:",TRIM(MID('MSR RAW'!B540,10,999)),D539)</f>
        <v>FB 155 - SUB ISLAND NOODLES</v>
      </c>
      <c r="E540" t="str">
        <f>IF(AND(ISNUMBER(SEARCH(" - ",TRIM('MSR RAW'!C540))),RIGHT(TRIM('MSR RAW'!C540),6)="Total:"),LEFT(TRIM('MSR RAW'!C540),SEARCH(" - ",TRIM('MSR RAW'!C540))-1),"")</f>
        <v/>
      </c>
      <c r="F540" t="str">
        <f>IF(E540="","",TRIM(MID(TRIM('MSR RAW'!C540),SEARCH(" - ",TRIM('MSR RAW'!C540))+3,LEN(TRIM('MSR RAW'!C540))-SEARCH(" - ",TRIM('MSR RAW'!C540))-9)))</f>
        <v/>
      </c>
      <c r="G540" t="str">
        <f>IF(E540="","",IFERROR(VLOOKUP(E540,'CATEGORY MAP'!$A$2:$B$20,2,FALSE()),"REVIEW"))</f>
        <v/>
      </c>
      <c r="H540" t="str">
        <f>IF(E540="","",IFERROR(VALUE(SUBSTITUTE('MSR RAW'!P540,",","")),0))</f>
        <v/>
      </c>
      <c r="I540" t="str">
        <f>IF(E540="","",IFERROR(VALUE(SUBSTITUTE('MSR RAW'!S540,",","")),0))</f>
        <v/>
      </c>
    </row>
    <row r="541" spans="1:9" ht="68.650000000000006" customHeight="1" x14ac:dyDescent="0.2">
      <c r="A541">
        <v>541</v>
      </c>
      <c r="B54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41" t="str">
        <f>IF(LEFT(TRIM('MSR RAW'!A541),11)="Department:",TRIM('MSR RAW'!A541),C540)</f>
        <v>Department: 36637 - SPECIALTY CONCESSIONS (VENDING)</v>
      </c>
      <c r="D541" t="str">
        <f>IF(LEFT(TRIM('MSR RAW'!B541),9)="Location:",TRIM(MID('MSR RAW'!B541,10,999)),D540)</f>
        <v>FB 155 - SUB ISLAND NOODLES</v>
      </c>
      <c r="E541" t="str">
        <f>IF(AND(ISNUMBER(SEARCH(" - ",TRIM('MSR RAW'!C541))),RIGHT(TRIM('MSR RAW'!C541),6)="Total:"),LEFT(TRIM('MSR RAW'!C541),SEARCH(" - ",TRIM('MSR RAW'!C541))-1),"")</f>
        <v/>
      </c>
      <c r="F541" t="str">
        <f>IF(E541="","",TRIM(MID(TRIM('MSR RAW'!C541),SEARCH(" - ",TRIM('MSR RAW'!C541))+3,LEN(TRIM('MSR RAW'!C541))-SEARCH(" - ",TRIM('MSR RAW'!C541))-9)))</f>
        <v/>
      </c>
      <c r="G541" t="str">
        <f>IF(E541="","",IFERROR(VLOOKUP(E541,'CATEGORY MAP'!$A$2:$B$20,2,FALSE()),"REVIEW"))</f>
        <v/>
      </c>
      <c r="H541" t="str">
        <f>IF(E541="","",IFERROR(VALUE(SUBSTITUTE('MSR RAW'!P541,",","")),0))</f>
        <v/>
      </c>
      <c r="I541" t="str">
        <f>IF(E541="","",IFERROR(VALUE(SUBSTITUTE('MSR RAW'!S541,",","")),0))</f>
        <v/>
      </c>
    </row>
    <row r="542" spans="1:9" ht="68.650000000000006" customHeight="1" x14ac:dyDescent="0.2">
      <c r="A542">
        <v>542</v>
      </c>
      <c r="B54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42" t="str">
        <f>IF(LEFT(TRIM('MSR RAW'!A542),11)="Department:",TRIM('MSR RAW'!A542),C541)</f>
        <v>Department: 36637 - SPECIALTY CONCESSIONS (VENDING)</v>
      </c>
      <c r="D542" t="str">
        <f>IF(LEFT(TRIM('MSR RAW'!B542),9)="Location:",TRIM(MID('MSR RAW'!B542,10,999)),D541)</f>
        <v>FB 155 - SUB ISLAND NOODLES</v>
      </c>
      <c r="E542" t="str">
        <f>IF(AND(ISNUMBER(SEARCH(" - ",TRIM('MSR RAW'!C542))),RIGHT(TRIM('MSR RAW'!C542),6)="Total:"),LEFT(TRIM('MSR RAW'!C542),SEARCH(" - ",TRIM('MSR RAW'!C542))-1),"")</f>
        <v/>
      </c>
      <c r="F542" t="str">
        <f>IF(E542="","",TRIM(MID(TRIM('MSR RAW'!C542),SEARCH(" - ",TRIM('MSR RAW'!C542))+3,LEN(TRIM('MSR RAW'!C542))-SEARCH(" - ",TRIM('MSR RAW'!C542))-9)))</f>
        <v/>
      </c>
      <c r="G542" t="str">
        <f>IF(E542="","",IFERROR(VLOOKUP(E542,'CATEGORY MAP'!$A$2:$B$20,2,FALSE()),"REVIEW"))</f>
        <v/>
      </c>
      <c r="H542" t="str">
        <f>IF(E542="","",IFERROR(VALUE(SUBSTITUTE('MSR RAW'!P542,",","")),0))</f>
        <v/>
      </c>
      <c r="I542" t="str">
        <f>IF(E542="","",IFERROR(VALUE(SUBSTITUTE('MSR RAW'!S542,",","")),0))</f>
        <v/>
      </c>
    </row>
    <row r="543" spans="1:9" ht="68.650000000000006" customHeight="1" x14ac:dyDescent="0.2">
      <c r="A543">
        <v>543</v>
      </c>
      <c r="B54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43" t="str">
        <f>IF(LEFT(TRIM('MSR RAW'!A543),11)="Department:",TRIM('MSR RAW'!A543),C542)</f>
        <v>Department: 36637 - SPECIALTY CONCESSIONS (VENDING)</v>
      </c>
      <c r="D543" t="str">
        <f>IF(LEFT(TRIM('MSR RAW'!B543),9)="Location:",TRIM(MID('MSR RAW'!B543,10,999)),D542)</f>
        <v>FB 155 - SUB ISLAND NOODLES</v>
      </c>
      <c r="E543" t="str">
        <f>IF(AND(ISNUMBER(SEARCH(" - ",TRIM('MSR RAW'!C543))),RIGHT(TRIM('MSR RAW'!C543),6)="Total:"),LEFT(TRIM('MSR RAW'!C543),SEARCH(" - ",TRIM('MSR RAW'!C543))-1),"")</f>
        <v/>
      </c>
      <c r="F543" t="str">
        <f>IF(E543="","",TRIM(MID(TRIM('MSR RAW'!C543),SEARCH(" - ",TRIM('MSR RAW'!C543))+3,LEN(TRIM('MSR RAW'!C543))-SEARCH(" - ",TRIM('MSR RAW'!C543))-9)))</f>
        <v/>
      </c>
      <c r="G543" t="str">
        <f>IF(E543="","",IFERROR(VLOOKUP(E543,'CATEGORY MAP'!$A$2:$B$20,2,FALSE()),"REVIEW"))</f>
        <v/>
      </c>
      <c r="H543" t="str">
        <f>IF(E543="","",IFERROR(VALUE(SUBSTITUTE('MSR RAW'!P543,",","")),0))</f>
        <v/>
      </c>
      <c r="I543" t="str">
        <f>IF(E543="","",IFERROR(VALUE(SUBSTITUTE('MSR RAW'!S543,",","")),0))</f>
        <v/>
      </c>
    </row>
    <row r="544" spans="1:9" ht="68.650000000000006" customHeight="1" x14ac:dyDescent="0.2">
      <c r="A544">
        <v>544</v>
      </c>
      <c r="B54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44" t="str">
        <f>IF(LEFT(TRIM('MSR RAW'!A544),11)="Department:",TRIM('MSR RAW'!A544),C543)</f>
        <v>Department: 36637 - SPECIALTY CONCESSIONS (VENDING)</v>
      </c>
      <c r="D544" t="str">
        <f>IF(LEFT(TRIM('MSR RAW'!B544),9)="Location:",TRIM(MID('MSR RAW'!B544,10,999)),D543)</f>
        <v>FB 155 - SUB ISLAND NOODLES</v>
      </c>
      <c r="E544" t="str">
        <f>IF(AND(ISNUMBER(SEARCH(" - ",TRIM('MSR RAW'!C544))),RIGHT(TRIM('MSR RAW'!C544),6)="Total:"),LEFT(TRIM('MSR RAW'!C544),SEARCH(" - ",TRIM('MSR RAW'!C544))-1),"")</f>
        <v/>
      </c>
      <c r="F544" t="str">
        <f>IF(E544="","",TRIM(MID(TRIM('MSR RAW'!C544),SEARCH(" - ",TRIM('MSR RAW'!C544))+3,LEN(TRIM('MSR RAW'!C544))-SEARCH(" - ",TRIM('MSR RAW'!C544))-9)))</f>
        <v/>
      </c>
      <c r="G544" t="str">
        <f>IF(E544="","",IFERROR(VLOOKUP(E544,'CATEGORY MAP'!$A$2:$B$20,2,FALSE()),"REVIEW"))</f>
        <v/>
      </c>
      <c r="H544" t="str">
        <f>IF(E544="","",IFERROR(VALUE(SUBSTITUTE('MSR RAW'!P544,",","")),0))</f>
        <v/>
      </c>
      <c r="I544" t="str">
        <f>IF(E544="","",IFERROR(VALUE(SUBSTITUTE('MSR RAW'!S544,",","")),0))</f>
        <v/>
      </c>
    </row>
    <row r="545" spans="1:9" ht="68.650000000000006" customHeight="1" x14ac:dyDescent="0.2">
      <c r="A545">
        <v>545</v>
      </c>
      <c r="B54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45" t="str">
        <f>IF(LEFT(TRIM('MSR RAW'!A545),11)="Department:",TRIM('MSR RAW'!A545),C544)</f>
        <v>Department: 36637 - SPECIALTY CONCESSIONS (VENDING)</v>
      </c>
      <c r="D545" t="str">
        <f>IF(LEFT(TRIM('MSR RAW'!B545),9)="Location:",TRIM(MID('MSR RAW'!B545,10,999)),D544)</f>
        <v>FB 155 - SUB ISLAND NOODLES</v>
      </c>
      <c r="E545" t="str">
        <f>IF(AND(ISNUMBER(SEARCH(" - ",TRIM('MSR RAW'!C545))),RIGHT(TRIM('MSR RAW'!C545),6)="Total:"),LEFT(TRIM('MSR RAW'!C545),SEARCH(" - ",TRIM('MSR RAW'!C545))-1),"")</f>
        <v/>
      </c>
      <c r="F545" t="str">
        <f>IF(E545="","",TRIM(MID(TRIM('MSR RAW'!C545),SEARCH(" - ",TRIM('MSR RAW'!C545))+3,LEN(TRIM('MSR RAW'!C545))-SEARCH(" - ",TRIM('MSR RAW'!C545))-9)))</f>
        <v/>
      </c>
      <c r="G545" t="str">
        <f>IF(E545="","",IFERROR(VLOOKUP(E545,'CATEGORY MAP'!$A$2:$B$20,2,FALSE()),"REVIEW"))</f>
        <v/>
      </c>
      <c r="H545" t="str">
        <f>IF(E545="","",IFERROR(VALUE(SUBSTITUTE('MSR RAW'!P545,",","")),0))</f>
        <v/>
      </c>
      <c r="I545" t="str">
        <f>IF(E545="","",IFERROR(VALUE(SUBSTITUTE('MSR RAW'!S545,",","")),0))</f>
        <v/>
      </c>
    </row>
    <row r="546" spans="1:9" ht="68.650000000000006" customHeight="1" x14ac:dyDescent="0.2">
      <c r="A546">
        <v>546</v>
      </c>
      <c r="B54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46" t="str">
        <f>IF(LEFT(TRIM('MSR RAW'!A546),11)="Department:",TRIM('MSR RAW'!A546),C545)</f>
        <v>Department: 36637 - SPECIALTY CONCESSIONS (VENDING)</v>
      </c>
      <c r="D546" t="str">
        <f>IF(LEFT(TRIM('MSR RAW'!B546),9)="Location:",TRIM(MID('MSR RAW'!B546,10,999)),D545)</f>
        <v>FB 155 - SUB ISLAND NOODLES</v>
      </c>
      <c r="E546" t="str">
        <f>IF(AND(ISNUMBER(SEARCH(" - ",TRIM('MSR RAW'!C546))),RIGHT(TRIM('MSR RAW'!C546),6)="Total:"),LEFT(TRIM('MSR RAW'!C546),SEARCH(" - ",TRIM('MSR RAW'!C546))-1),"")</f>
        <v/>
      </c>
      <c r="F546" t="str">
        <f>IF(E546="","",TRIM(MID(TRIM('MSR RAW'!C546),SEARCH(" - ",TRIM('MSR RAW'!C546))+3,LEN(TRIM('MSR RAW'!C546))-SEARCH(" - ",TRIM('MSR RAW'!C546))-9)))</f>
        <v/>
      </c>
      <c r="G546" t="str">
        <f>IF(E546="","",IFERROR(VLOOKUP(E546,'CATEGORY MAP'!$A$2:$B$20,2,FALSE()),"REVIEW"))</f>
        <v/>
      </c>
      <c r="H546" t="str">
        <f>IF(E546="","",IFERROR(VALUE(SUBSTITUTE('MSR RAW'!P546,",","")),0))</f>
        <v/>
      </c>
      <c r="I546" t="str">
        <f>IF(E546="","",IFERROR(VALUE(SUBSTITUTE('MSR RAW'!S546,",","")),0))</f>
        <v/>
      </c>
    </row>
    <row r="547" spans="1:9" ht="68.650000000000006" customHeight="1" x14ac:dyDescent="0.2">
      <c r="A547">
        <v>547</v>
      </c>
      <c r="B54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47" t="str">
        <f>IF(LEFT(TRIM('MSR RAW'!A547),11)="Department:",TRIM('MSR RAW'!A547),C546)</f>
        <v>Department: 36637 - SPECIALTY CONCESSIONS (VENDING)</v>
      </c>
      <c r="D547" t="str">
        <f>IF(LEFT(TRIM('MSR RAW'!B547),9)="Location:",TRIM(MID('MSR RAW'!B547,10,999)),D546)</f>
        <v>FB 155 - SUB ISLAND NOODLES</v>
      </c>
      <c r="E547" t="str">
        <f>IF(AND(ISNUMBER(SEARCH(" - ",TRIM('MSR RAW'!C547))),RIGHT(TRIM('MSR RAW'!C547),6)="Total:"),LEFT(TRIM('MSR RAW'!C547),SEARCH(" - ",TRIM('MSR RAW'!C547))-1),"")</f>
        <v/>
      </c>
      <c r="F547" t="str">
        <f>IF(E547="","",TRIM(MID(TRIM('MSR RAW'!C547),SEARCH(" - ",TRIM('MSR RAW'!C547))+3,LEN(TRIM('MSR RAW'!C547))-SEARCH(" - ",TRIM('MSR RAW'!C547))-9)))</f>
        <v/>
      </c>
      <c r="G547" t="str">
        <f>IF(E547="","",IFERROR(VLOOKUP(E547,'CATEGORY MAP'!$A$2:$B$20,2,FALSE()),"REVIEW"))</f>
        <v/>
      </c>
      <c r="H547" t="str">
        <f>IF(E547="","",IFERROR(VALUE(SUBSTITUTE('MSR RAW'!P547,",","")),0))</f>
        <v/>
      </c>
      <c r="I547" t="str">
        <f>IF(E547="","",IFERROR(VALUE(SUBSTITUTE('MSR RAW'!S547,",","")),0))</f>
        <v/>
      </c>
    </row>
    <row r="548" spans="1:9" ht="68.650000000000006" customHeight="1" x14ac:dyDescent="0.2">
      <c r="A548">
        <v>548</v>
      </c>
      <c r="B54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48" t="str">
        <f>IF(LEFT(TRIM('MSR RAW'!A548),11)="Department:",TRIM('MSR RAW'!A548),C547)</f>
        <v>Department: 36637 - SPECIALTY CONCESSIONS (VENDING)</v>
      </c>
      <c r="D548" t="str">
        <f>IF(LEFT(TRIM('MSR RAW'!B548),9)="Location:",TRIM(MID('MSR RAW'!B548,10,999)),D547)</f>
        <v>FB 155 - SUB ISLAND NOODLES</v>
      </c>
      <c r="E548" t="str">
        <f>IF(AND(ISNUMBER(SEARCH(" - ",TRIM('MSR RAW'!C548))),RIGHT(TRIM('MSR RAW'!C548),6)="Total:"),LEFT(TRIM('MSR RAW'!C548),SEARCH(" - ",TRIM('MSR RAW'!C548))-1),"")</f>
        <v/>
      </c>
      <c r="F548" t="str">
        <f>IF(E548="","",TRIM(MID(TRIM('MSR RAW'!C548),SEARCH(" - ",TRIM('MSR RAW'!C548))+3,LEN(TRIM('MSR RAW'!C548))-SEARCH(" - ",TRIM('MSR RAW'!C548))-9)))</f>
        <v/>
      </c>
      <c r="G548" t="str">
        <f>IF(E548="","",IFERROR(VLOOKUP(E548,'CATEGORY MAP'!$A$2:$B$20,2,FALSE()),"REVIEW"))</f>
        <v/>
      </c>
      <c r="H548" t="str">
        <f>IF(E548="","",IFERROR(VALUE(SUBSTITUTE('MSR RAW'!P548,",","")),0))</f>
        <v/>
      </c>
      <c r="I548" t="str">
        <f>IF(E548="","",IFERROR(VALUE(SUBSTITUTE('MSR RAW'!S548,",","")),0))</f>
        <v/>
      </c>
    </row>
    <row r="549" spans="1:9" ht="68.650000000000006" customHeight="1" x14ac:dyDescent="0.2">
      <c r="A549">
        <v>549</v>
      </c>
      <c r="B54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49" t="str">
        <f>IF(LEFT(TRIM('MSR RAW'!A549),11)="Department:",TRIM('MSR RAW'!A549),C548)</f>
        <v>Department: 36637 - SPECIALTY CONCESSIONS (VENDING)</v>
      </c>
      <c r="D549" t="str">
        <f>IF(LEFT(TRIM('MSR RAW'!B549),9)="Location:",TRIM(MID('MSR RAW'!B549,10,999)),D548)</f>
        <v>FB 155 - SUB ISLAND NOODLES</v>
      </c>
      <c r="E549" t="str">
        <f>IF(AND(ISNUMBER(SEARCH(" - ",TRIM('MSR RAW'!C549))),RIGHT(TRIM('MSR RAW'!C549),6)="Total:"),LEFT(TRIM('MSR RAW'!C549),SEARCH(" - ",TRIM('MSR RAW'!C549))-1),"")</f>
        <v/>
      </c>
      <c r="F549" t="str">
        <f>IF(E549="","",TRIM(MID(TRIM('MSR RAW'!C549),SEARCH(" - ",TRIM('MSR RAW'!C549))+3,LEN(TRIM('MSR RAW'!C549))-SEARCH(" - ",TRIM('MSR RAW'!C549))-9)))</f>
        <v/>
      </c>
      <c r="G549" t="str">
        <f>IF(E549="","",IFERROR(VLOOKUP(E549,'CATEGORY MAP'!$A$2:$B$20,2,FALSE()),"REVIEW"))</f>
        <v/>
      </c>
      <c r="H549" t="str">
        <f>IF(E549="","",IFERROR(VALUE(SUBSTITUTE('MSR RAW'!P549,",","")),0))</f>
        <v/>
      </c>
      <c r="I549" t="str">
        <f>IF(E549="","",IFERROR(VALUE(SUBSTITUTE('MSR RAW'!S549,",","")),0))</f>
        <v/>
      </c>
    </row>
    <row r="550" spans="1:9" ht="68.650000000000006" customHeight="1" x14ac:dyDescent="0.2">
      <c r="A550">
        <v>550</v>
      </c>
      <c r="B55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50" t="str">
        <f>IF(LEFT(TRIM('MSR RAW'!A550),11)="Department:",TRIM('MSR RAW'!A550),C549)</f>
        <v>Department: 36637 - SPECIALTY CONCESSIONS (VENDING)</v>
      </c>
      <c r="D550" t="str">
        <f>IF(LEFT(TRIM('MSR RAW'!B550),9)="Location:",TRIM(MID('MSR RAW'!B550,10,999)),D549)</f>
        <v>FB 155 - SUB ISLAND NOODLES</v>
      </c>
      <c r="E550" t="str">
        <f>IF(AND(ISNUMBER(SEARCH(" - ",TRIM('MSR RAW'!C550))),RIGHT(TRIM('MSR RAW'!C550),6)="Total:"),LEFT(TRIM('MSR RAW'!C550),SEARCH(" - ",TRIM('MSR RAW'!C550))-1),"")</f>
        <v/>
      </c>
      <c r="F550" t="str">
        <f>IF(E550="","",TRIM(MID(TRIM('MSR RAW'!C550),SEARCH(" - ",TRIM('MSR RAW'!C550))+3,LEN(TRIM('MSR RAW'!C550))-SEARCH(" - ",TRIM('MSR RAW'!C550))-9)))</f>
        <v/>
      </c>
      <c r="G550" t="str">
        <f>IF(E550="","",IFERROR(VLOOKUP(E550,'CATEGORY MAP'!$A$2:$B$20,2,FALSE()),"REVIEW"))</f>
        <v/>
      </c>
      <c r="H550" t="str">
        <f>IF(E550="","",IFERROR(VALUE(SUBSTITUTE('MSR RAW'!P550,",","")),0))</f>
        <v/>
      </c>
      <c r="I550" t="str">
        <f>IF(E550="","",IFERROR(VALUE(SUBSTITUTE('MSR RAW'!S550,",","")),0))</f>
        <v/>
      </c>
    </row>
    <row r="551" spans="1:9" ht="68.650000000000006" customHeight="1" x14ac:dyDescent="0.2">
      <c r="A551">
        <v>551</v>
      </c>
      <c r="B55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51" t="str">
        <f>IF(LEFT(TRIM('MSR RAW'!A551),11)="Department:",TRIM('MSR RAW'!A551),C550)</f>
        <v>Department: 36637 - SPECIALTY CONCESSIONS (VENDING)</v>
      </c>
      <c r="D551" t="str">
        <f>IF(LEFT(TRIM('MSR RAW'!B551),9)="Location:",TRIM(MID('MSR RAW'!B551,10,999)),D550)</f>
        <v>FB 155 - SUB ISLAND NOODLES</v>
      </c>
      <c r="E551" t="str">
        <f>IF(AND(ISNUMBER(SEARCH(" - ",TRIM('MSR RAW'!C551))),RIGHT(TRIM('MSR RAW'!C551),6)="Total:"),LEFT(TRIM('MSR RAW'!C551),SEARCH(" - ",TRIM('MSR RAW'!C551))-1),"")</f>
        <v/>
      </c>
      <c r="F551" t="str">
        <f>IF(E551="","",TRIM(MID(TRIM('MSR RAW'!C551),SEARCH(" - ",TRIM('MSR RAW'!C551))+3,LEN(TRIM('MSR RAW'!C551))-SEARCH(" - ",TRIM('MSR RAW'!C551))-9)))</f>
        <v/>
      </c>
      <c r="G551" t="str">
        <f>IF(E551="","",IFERROR(VLOOKUP(E551,'CATEGORY MAP'!$A$2:$B$20,2,FALSE()),"REVIEW"))</f>
        <v/>
      </c>
      <c r="H551" t="str">
        <f>IF(E551="","",IFERROR(VALUE(SUBSTITUTE('MSR RAW'!P551,",","")),0))</f>
        <v/>
      </c>
      <c r="I551" t="str">
        <f>IF(E551="","",IFERROR(VALUE(SUBSTITUTE('MSR RAW'!S551,",","")),0))</f>
        <v/>
      </c>
    </row>
    <row r="552" spans="1:9" ht="68.650000000000006" customHeight="1" x14ac:dyDescent="0.2">
      <c r="A552">
        <v>552</v>
      </c>
      <c r="B55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52" t="str">
        <f>IF(LEFT(TRIM('MSR RAW'!A552),11)="Department:",TRIM('MSR RAW'!A552),C551)</f>
        <v>Department: 36637 - SPECIALTY CONCESSIONS (VENDING)</v>
      </c>
      <c r="D552" t="str">
        <f>IF(LEFT(TRIM('MSR RAW'!B552),9)="Location:",TRIM(MID('MSR RAW'!B552,10,999)),D551)</f>
        <v>FB 155 - SUB ISLAND NOODLES</v>
      </c>
      <c r="E552" t="str">
        <f>IF(AND(ISNUMBER(SEARCH(" - ",TRIM('MSR RAW'!C552))),RIGHT(TRIM('MSR RAW'!C552),6)="Total:"),LEFT(TRIM('MSR RAW'!C552),SEARCH(" - ",TRIM('MSR RAW'!C552))-1),"")</f>
        <v/>
      </c>
      <c r="F552" t="str">
        <f>IF(E552="","",TRIM(MID(TRIM('MSR RAW'!C552),SEARCH(" - ",TRIM('MSR RAW'!C552))+3,LEN(TRIM('MSR RAW'!C552))-SEARCH(" - ",TRIM('MSR RAW'!C552))-9)))</f>
        <v/>
      </c>
      <c r="G552" t="str">
        <f>IF(E552="","",IFERROR(VLOOKUP(E552,'CATEGORY MAP'!$A$2:$B$20,2,FALSE()),"REVIEW"))</f>
        <v/>
      </c>
      <c r="H552" t="str">
        <f>IF(E552="","",IFERROR(VALUE(SUBSTITUTE('MSR RAW'!P552,",","")),0))</f>
        <v/>
      </c>
      <c r="I552" t="str">
        <f>IF(E552="","",IFERROR(VALUE(SUBSTITUTE('MSR RAW'!S552,",","")),0))</f>
        <v/>
      </c>
    </row>
    <row r="553" spans="1:9" ht="68.650000000000006" customHeight="1" x14ac:dyDescent="0.2">
      <c r="A553">
        <v>553</v>
      </c>
      <c r="B55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53" t="str">
        <f>IF(LEFT(TRIM('MSR RAW'!A553),11)="Department:",TRIM('MSR RAW'!A553),C552)</f>
        <v>Department: 36637 - SPECIALTY CONCESSIONS (VENDING)</v>
      </c>
      <c r="D553" t="str">
        <f>IF(LEFT(TRIM('MSR RAW'!B553),9)="Location:",TRIM(MID('MSR RAW'!B553,10,999)),D552)</f>
        <v>FB 155 - SUB ISLAND NOODLES</v>
      </c>
      <c r="E553" t="str">
        <f>IF(AND(ISNUMBER(SEARCH(" - ",TRIM('MSR RAW'!C553))),RIGHT(TRIM('MSR RAW'!C553),6)="Total:"),LEFT(TRIM('MSR RAW'!C553),SEARCH(" - ",TRIM('MSR RAW'!C553))-1),"")</f>
        <v/>
      </c>
      <c r="F553" t="str">
        <f>IF(E553="","",TRIM(MID(TRIM('MSR RAW'!C553),SEARCH(" - ",TRIM('MSR RAW'!C553))+3,LEN(TRIM('MSR RAW'!C553))-SEARCH(" - ",TRIM('MSR RAW'!C553))-9)))</f>
        <v/>
      </c>
      <c r="G553" t="str">
        <f>IF(E553="","",IFERROR(VLOOKUP(E553,'CATEGORY MAP'!$A$2:$B$20,2,FALSE()),"REVIEW"))</f>
        <v/>
      </c>
      <c r="H553" t="str">
        <f>IF(E553="","",IFERROR(VALUE(SUBSTITUTE('MSR RAW'!P553,",","")),0))</f>
        <v/>
      </c>
      <c r="I553" t="str">
        <f>IF(E553="","",IFERROR(VALUE(SUBSTITUTE('MSR RAW'!S553,",","")),0))</f>
        <v/>
      </c>
    </row>
    <row r="554" spans="1:9" ht="68.650000000000006" customHeight="1" x14ac:dyDescent="0.2">
      <c r="A554">
        <v>554</v>
      </c>
      <c r="B55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54" t="str">
        <f>IF(LEFT(TRIM('MSR RAW'!A554),11)="Department:",TRIM('MSR RAW'!A554),C553)</f>
        <v>Department: 36637 - SPECIALTY CONCESSIONS (VENDING)</v>
      </c>
      <c r="D554" t="str">
        <f>IF(LEFT(TRIM('MSR RAW'!B554),9)="Location:",TRIM(MID('MSR RAW'!B554,10,999)),D553)</f>
        <v>FB 155 - SUB ISLAND NOODLES</v>
      </c>
      <c r="E554" t="str">
        <f>IF(AND(ISNUMBER(SEARCH(" - ",TRIM('MSR RAW'!C554))),RIGHT(TRIM('MSR RAW'!C554),6)="Total:"),LEFT(TRIM('MSR RAW'!C554),SEARCH(" - ",TRIM('MSR RAW'!C554))-1),"")</f>
        <v/>
      </c>
      <c r="F554" t="str">
        <f>IF(E554="","",TRIM(MID(TRIM('MSR RAW'!C554),SEARCH(" - ",TRIM('MSR RAW'!C554))+3,LEN(TRIM('MSR RAW'!C554))-SEARCH(" - ",TRIM('MSR RAW'!C554))-9)))</f>
        <v/>
      </c>
      <c r="G554" t="str">
        <f>IF(E554="","",IFERROR(VLOOKUP(E554,'CATEGORY MAP'!$A$2:$B$20,2,FALSE()),"REVIEW"))</f>
        <v/>
      </c>
      <c r="H554" t="str">
        <f>IF(E554="","",IFERROR(VALUE(SUBSTITUTE('MSR RAW'!P554,",","")),0))</f>
        <v/>
      </c>
      <c r="I554" t="str">
        <f>IF(E554="","",IFERROR(VALUE(SUBSTITUTE('MSR RAW'!S554,",","")),0))</f>
        <v/>
      </c>
    </row>
    <row r="555" spans="1:9" ht="68.650000000000006" customHeight="1" x14ac:dyDescent="0.2">
      <c r="A555">
        <v>555</v>
      </c>
      <c r="B55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55" t="str">
        <f>IF(LEFT(TRIM('MSR RAW'!A555),11)="Department:",TRIM('MSR RAW'!A555),C554)</f>
        <v>Department: 36637 - SPECIALTY CONCESSIONS (VENDING)</v>
      </c>
      <c r="D555" t="str">
        <f>IF(LEFT(TRIM('MSR RAW'!B555),9)="Location:",TRIM(MID('MSR RAW'!B555,10,999)),D554)</f>
        <v>FB 155 - SUB ISLAND NOODLES</v>
      </c>
      <c r="E555" t="str">
        <f>IF(AND(ISNUMBER(SEARCH(" - ",TRIM('MSR RAW'!C555))),RIGHT(TRIM('MSR RAW'!C555),6)="Total:"),LEFT(TRIM('MSR RAW'!C555),SEARCH(" - ",TRIM('MSR RAW'!C555))-1),"")</f>
        <v/>
      </c>
      <c r="F555" t="str">
        <f>IF(E555="","",TRIM(MID(TRIM('MSR RAW'!C555),SEARCH(" - ",TRIM('MSR RAW'!C555))+3,LEN(TRIM('MSR RAW'!C555))-SEARCH(" - ",TRIM('MSR RAW'!C555))-9)))</f>
        <v/>
      </c>
      <c r="G555" t="str">
        <f>IF(E555="","",IFERROR(VLOOKUP(E555,'CATEGORY MAP'!$A$2:$B$20,2,FALSE()),"REVIEW"))</f>
        <v/>
      </c>
      <c r="H555" t="str">
        <f>IF(E555="","",IFERROR(VALUE(SUBSTITUTE('MSR RAW'!P555,",","")),0))</f>
        <v/>
      </c>
      <c r="I555" t="str">
        <f>IF(E555="","",IFERROR(VALUE(SUBSTITUTE('MSR RAW'!S555,",","")),0))</f>
        <v/>
      </c>
    </row>
    <row r="556" spans="1:9" ht="68.650000000000006" customHeight="1" x14ac:dyDescent="0.2">
      <c r="A556">
        <v>556</v>
      </c>
      <c r="B55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56" t="str">
        <f>IF(LEFT(TRIM('MSR RAW'!A556),11)="Department:",TRIM('MSR RAW'!A556),C555)</f>
        <v>Department: 36637 - SPECIALTY CONCESSIONS (VENDING)</v>
      </c>
      <c r="D556" t="str">
        <f>IF(LEFT(TRIM('MSR RAW'!B556),9)="Location:",TRIM(MID('MSR RAW'!B556,10,999)),D555)</f>
        <v>FB 155 - SUB ISLAND NOODLES</v>
      </c>
      <c r="E556" t="str">
        <f>IF(AND(ISNUMBER(SEARCH(" - ",TRIM('MSR RAW'!C556))),RIGHT(TRIM('MSR RAW'!C556),6)="Total:"),LEFT(TRIM('MSR RAW'!C556),SEARCH(" - ",TRIM('MSR RAW'!C556))-1),"")</f>
        <v/>
      </c>
      <c r="F556" t="str">
        <f>IF(E556="","",TRIM(MID(TRIM('MSR RAW'!C556),SEARCH(" - ",TRIM('MSR RAW'!C556))+3,LEN(TRIM('MSR RAW'!C556))-SEARCH(" - ",TRIM('MSR RAW'!C556))-9)))</f>
        <v/>
      </c>
      <c r="G556" t="str">
        <f>IF(E556="","",IFERROR(VLOOKUP(E556,'CATEGORY MAP'!$A$2:$B$20,2,FALSE()),"REVIEW"))</f>
        <v/>
      </c>
      <c r="H556" t="str">
        <f>IF(E556="","",IFERROR(VALUE(SUBSTITUTE('MSR RAW'!P556,",","")),0))</f>
        <v/>
      </c>
      <c r="I556" t="str">
        <f>IF(E556="","",IFERROR(VALUE(SUBSTITUTE('MSR RAW'!S556,",","")),0))</f>
        <v/>
      </c>
    </row>
    <row r="557" spans="1:9" ht="68.650000000000006" customHeight="1" x14ac:dyDescent="0.2">
      <c r="A557">
        <v>557</v>
      </c>
      <c r="B55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57" t="str">
        <f>IF(LEFT(TRIM('MSR RAW'!A557),11)="Department:",TRIM('MSR RAW'!A557),C556)</f>
        <v>Department: 36637 - SPECIALTY CONCESSIONS (VENDING)</v>
      </c>
      <c r="D557" t="str">
        <f>IF(LEFT(TRIM('MSR RAW'!B557),9)="Location:",TRIM(MID('MSR RAW'!B557,10,999)),D556)</f>
        <v>FB 155 - SUB ISLAND NOODLES</v>
      </c>
      <c r="E557" t="str">
        <f>IF(AND(ISNUMBER(SEARCH(" - ",TRIM('MSR RAW'!C557))),RIGHT(TRIM('MSR RAW'!C557),6)="Total:"),LEFT(TRIM('MSR RAW'!C557),SEARCH(" - ",TRIM('MSR RAW'!C557))-1),"")</f>
        <v/>
      </c>
      <c r="F557" t="str">
        <f>IF(E557="","",TRIM(MID(TRIM('MSR RAW'!C557),SEARCH(" - ",TRIM('MSR RAW'!C557))+3,LEN(TRIM('MSR RAW'!C557))-SEARCH(" - ",TRIM('MSR RAW'!C557))-9)))</f>
        <v/>
      </c>
      <c r="G557" t="str">
        <f>IF(E557="","",IFERROR(VLOOKUP(E557,'CATEGORY MAP'!$A$2:$B$20,2,FALSE()),"REVIEW"))</f>
        <v/>
      </c>
      <c r="H557" t="str">
        <f>IF(E557="","",IFERROR(VALUE(SUBSTITUTE('MSR RAW'!P557,",","")),0))</f>
        <v/>
      </c>
      <c r="I557" t="str">
        <f>IF(E557="","",IFERROR(VALUE(SUBSTITUTE('MSR RAW'!S557,",","")),0))</f>
        <v/>
      </c>
    </row>
    <row r="558" spans="1:9" ht="68.650000000000006" customHeight="1" x14ac:dyDescent="0.2">
      <c r="A558">
        <v>558</v>
      </c>
      <c r="B55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58" t="str">
        <f>IF(LEFT(TRIM('MSR RAW'!A558),11)="Department:",TRIM('MSR RAW'!A558),C557)</f>
        <v>Department: 36637 - SPECIALTY CONCESSIONS (VENDING)</v>
      </c>
      <c r="D558" t="str">
        <f>IF(LEFT(TRIM('MSR RAW'!B558),9)="Location:",TRIM(MID('MSR RAW'!B558,10,999)),D557)</f>
        <v>FB 155 - SUB ISLAND NOODLES</v>
      </c>
      <c r="E558" t="str">
        <f>IF(AND(ISNUMBER(SEARCH(" - ",TRIM('MSR RAW'!C558))),RIGHT(TRIM('MSR RAW'!C558),6)="Total:"),LEFT(TRIM('MSR RAW'!C558),SEARCH(" - ",TRIM('MSR RAW'!C558))-1),"")</f>
        <v/>
      </c>
      <c r="F558" t="str">
        <f>IF(E558="","",TRIM(MID(TRIM('MSR RAW'!C558),SEARCH(" - ",TRIM('MSR RAW'!C558))+3,LEN(TRIM('MSR RAW'!C558))-SEARCH(" - ",TRIM('MSR RAW'!C558))-9)))</f>
        <v/>
      </c>
      <c r="G558" t="str">
        <f>IF(E558="","",IFERROR(VLOOKUP(E558,'CATEGORY MAP'!$A$2:$B$20,2,FALSE()),"REVIEW"))</f>
        <v/>
      </c>
      <c r="H558" t="str">
        <f>IF(E558="","",IFERROR(VALUE(SUBSTITUTE('MSR RAW'!P558,",","")),0))</f>
        <v/>
      </c>
      <c r="I558" t="str">
        <f>IF(E558="","",IFERROR(VALUE(SUBSTITUTE('MSR RAW'!S558,",","")),0))</f>
        <v/>
      </c>
    </row>
    <row r="559" spans="1:9" ht="68.650000000000006" customHeight="1" x14ac:dyDescent="0.2">
      <c r="A559">
        <v>559</v>
      </c>
      <c r="B55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59" t="str">
        <f>IF(LEFT(TRIM('MSR RAW'!A559),11)="Department:",TRIM('MSR RAW'!A559),C558)</f>
        <v>Department: 36637 - SPECIALTY CONCESSIONS (VENDING)</v>
      </c>
      <c r="D559" t="str">
        <f>IF(LEFT(TRIM('MSR RAW'!B559),9)="Location:",TRIM(MID('MSR RAW'!B559,10,999)),D558)</f>
        <v>FB 155 - SUB ISLAND NOODLES</v>
      </c>
      <c r="E559" t="str">
        <f>IF(AND(ISNUMBER(SEARCH(" - ",TRIM('MSR RAW'!C559))),RIGHT(TRIM('MSR RAW'!C559),6)="Total:"),LEFT(TRIM('MSR RAW'!C559),SEARCH(" - ",TRIM('MSR RAW'!C559))-1),"")</f>
        <v/>
      </c>
      <c r="F559" t="str">
        <f>IF(E559="","",TRIM(MID(TRIM('MSR RAW'!C559),SEARCH(" - ",TRIM('MSR RAW'!C559))+3,LEN(TRIM('MSR RAW'!C559))-SEARCH(" - ",TRIM('MSR RAW'!C559))-9)))</f>
        <v/>
      </c>
      <c r="G559" t="str">
        <f>IF(E559="","",IFERROR(VLOOKUP(E559,'CATEGORY MAP'!$A$2:$B$20,2,FALSE()),"REVIEW"))</f>
        <v/>
      </c>
      <c r="H559" t="str">
        <f>IF(E559="","",IFERROR(VALUE(SUBSTITUTE('MSR RAW'!P559,",","")),0))</f>
        <v/>
      </c>
      <c r="I559" t="str">
        <f>IF(E559="","",IFERROR(VALUE(SUBSTITUTE('MSR RAW'!S559,",","")),0))</f>
        <v/>
      </c>
    </row>
    <row r="560" spans="1:9" ht="68.650000000000006" customHeight="1" x14ac:dyDescent="0.2">
      <c r="A560">
        <v>560</v>
      </c>
      <c r="B56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60" t="str">
        <f>IF(LEFT(TRIM('MSR RAW'!A560),11)="Department:",TRIM('MSR RAW'!A560),C559)</f>
        <v>Department: 36637 - SPECIALTY CONCESSIONS (VENDING)</v>
      </c>
      <c r="D560" t="str">
        <f>IF(LEFT(TRIM('MSR RAW'!B560),9)="Location:",TRIM(MID('MSR RAW'!B560,10,999)),D559)</f>
        <v>FB 155 - SUB ISLAND NOODLES</v>
      </c>
      <c r="E560" t="str">
        <f>IF(AND(ISNUMBER(SEARCH(" - ",TRIM('MSR RAW'!C560))),RIGHT(TRIM('MSR RAW'!C560),6)="Total:"),LEFT(TRIM('MSR RAW'!C560),SEARCH(" - ",TRIM('MSR RAW'!C560))-1),"")</f>
        <v/>
      </c>
      <c r="F560" t="str">
        <f>IF(E560="","",TRIM(MID(TRIM('MSR RAW'!C560),SEARCH(" - ",TRIM('MSR RAW'!C560))+3,LEN(TRIM('MSR RAW'!C560))-SEARCH(" - ",TRIM('MSR RAW'!C560))-9)))</f>
        <v/>
      </c>
      <c r="G560" t="str">
        <f>IF(E560="","",IFERROR(VLOOKUP(E560,'CATEGORY MAP'!$A$2:$B$20,2,FALSE()),"REVIEW"))</f>
        <v/>
      </c>
      <c r="H560" t="str">
        <f>IF(E560="","",IFERROR(VALUE(SUBSTITUTE('MSR RAW'!P560,",","")),0))</f>
        <v/>
      </c>
      <c r="I560" t="str">
        <f>IF(E560="","",IFERROR(VALUE(SUBSTITUTE('MSR RAW'!S560,",","")),0))</f>
        <v/>
      </c>
    </row>
    <row r="561" spans="1:9" ht="68.650000000000006" customHeight="1" x14ac:dyDescent="0.2">
      <c r="A561">
        <v>561</v>
      </c>
      <c r="B56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61" t="str">
        <f>IF(LEFT(TRIM('MSR RAW'!A561),11)="Department:",TRIM('MSR RAW'!A561),C560)</f>
        <v>Department: 36637 - SPECIALTY CONCESSIONS (VENDING)</v>
      </c>
      <c r="D561" t="str">
        <f>IF(LEFT(TRIM('MSR RAW'!B561),9)="Location:",TRIM(MID('MSR RAW'!B561,10,999)),D560)</f>
        <v>FB 155 - SUB ISLAND NOODLES</v>
      </c>
      <c r="E561" t="str">
        <f>IF(AND(ISNUMBER(SEARCH(" - ",TRIM('MSR RAW'!C561))),RIGHT(TRIM('MSR RAW'!C561),6)="Total:"),LEFT(TRIM('MSR RAW'!C561),SEARCH(" - ",TRIM('MSR RAW'!C561))-1),"")</f>
        <v/>
      </c>
      <c r="F561" t="str">
        <f>IF(E561="","",TRIM(MID(TRIM('MSR RAW'!C561),SEARCH(" - ",TRIM('MSR RAW'!C561))+3,LEN(TRIM('MSR RAW'!C561))-SEARCH(" - ",TRIM('MSR RAW'!C561))-9)))</f>
        <v/>
      </c>
      <c r="G561" t="str">
        <f>IF(E561="","",IFERROR(VLOOKUP(E561,'CATEGORY MAP'!$A$2:$B$20,2,FALSE()),"REVIEW"))</f>
        <v/>
      </c>
      <c r="H561" t="str">
        <f>IF(E561="","",IFERROR(VALUE(SUBSTITUTE('MSR RAW'!P561,",","")),0))</f>
        <v/>
      </c>
      <c r="I561" t="str">
        <f>IF(E561="","",IFERROR(VALUE(SUBSTITUTE('MSR RAW'!S561,",","")),0))</f>
        <v/>
      </c>
    </row>
    <row r="562" spans="1:9" ht="68.650000000000006" customHeight="1" x14ac:dyDescent="0.2">
      <c r="A562">
        <v>562</v>
      </c>
      <c r="B56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62" t="str">
        <f>IF(LEFT(TRIM('MSR RAW'!A562),11)="Department:",TRIM('MSR RAW'!A562),C561)</f>
        <v>Department: 36637 - SPECIALTY CONCESSIONS (VENDING)</v>
      </c>
      <c r="D562" t="str">
        <f>IF(LEFT(TRIM('MSR RAW'!B562),9)="Location:",TRIM(MID('MSR RAW'!B562,10,999)),D561)</f>
        <v>FB 155 - SUB ISLAND NOODLES</v>
      </c>
      <c r="E562" t="str">
        <f>IF(AND(ISNUMBER(SEARCH(" - ",TRIM('MSR RAW'!C562))),RIGHT(TRIM('MSR RAW'!C562),6)="Total:"),LEFT(TRIM('MSR RAW'!C562),SEARCH(" - ",TRIM('MSR RAW'!C562))-1),"")</f>
        <v/>
      </c>
      <c r="F562" t="str">
        <f>IF(E562="","",TRIM(MID(TRIM('MSR RAW'!C562),SEARCH(" - ",TRIM('MSR RAW'!C562))+3,LEN(TRIM('MSR RAW'!C562))-SEARCH(" - ",TRIM('MSR RAW'!C562))-9)))</f>
        <v/>
      </c>
      <c r="G562" t="str">
        <f>IF(E562="","",IFERROR(VLOOKUP(E562,'CATEGORY MAP'!$A$2:$B$20,2,FALSE()),"REVIEW"))</f>
        <v/>
      </c>
      <c r="H562" t="str">
        <f>IF(E562="","",IFERROR(VALUE(SUBSTITUTE('MSR RAW'!P562,",","")),0))</f>
        <v/>
      </c>
      <c r="I562" t="str">
        <f>IF(E562="","",IFERROR(VALUE(SUBSTITUTE('MSR RAW'!S562,",","")),0))</f>
        <v/>
      </c>
    </row>
    <row r="563" spans="1:9" ht="68.650000000000006" customHeight="1" x14ac:dyDescent="0.2">
      <c r="A563">
        <v>563</v>
      </c>
      <c r="B56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63" t="str">
        <f>IF(LEFT(TRIM('MSR RAW'!A563),11)="Department:",TRIM('MSR RAW'!A563),C562)</f>
        <v>Department: 36637 - SPECIALTY CONCESSIONS (VENDING)</v>
      </c>
      <c r="D563" t="str">
        <f>IF(LEFT(TRIM('MSR RAW'!B563),9)="Location:",TRIM(MID('MSR RAW'!B563,10,999)),D562)</f>
        <v>FB 155 - SUB ISLAND NOODLES</v>
      </c>
      <c r="E563" t="str">
        <f>IF(AND(ISNUMBER(SEARCH(" - ",TRIM('MSR RAW'!C563))),RIGHT(TRIM('MSR RAW'!C563),6)="Total:"),LEFT(TRIM('MSR RAW'!C563),SEARCH(" - ",TRIM('MSR RAW'!C563))-1),"")</f>
        <v/>
      </c>
      <c r="F563" t="str">
        <f>IF(E563="","",TRIM(MID(TRIM('MSR RAW'!C563),SEARCH(" - ",TRIM('MSR RAW'!C563))+3,LEN(TRIM('MSR RAW'!C563))-SEARCH(" - ",TRIM('MSR RAW'!C563))-9)))</f>
        <v/>
      </c>
      <c r="G563" t="str">
        <f>IF(E563="","",IFERROR(VLOOKUP(E563,'CATEGORY MAP'!$A$2:$B$20,2,FALSE()),"REVIEW"))</f>
        <v/>
      </c>
      <c r="H563" t="str">
        <f>IF(E563="","",IFERROR(VALUE(SUBSTITUTE('MSR RAW'!P563,",","")),0))</f>
        <v/>
      </c>
      <c r="I563" t="str">
        <f>IF(E563="","",IFERROR(VALUE(SUBSTITUTE('MSR RAW'!S563,",","")),0))</f>
        <v/>
      </c>
    </row>
    <row r="564" spans="1:9" ht="68.650000000000006" customHeight="1" x14ac:dyDescent="0.2">
      <c r="A564">
        <v>564</v>
      </c>
      <c r="B56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64" t="str">
        <f>IF(LEFT(TRIM('MSR RAW'!A564),11)="Department:",TRIM('MSR RAW'!A564),C563)</f>
        <v>Department: 36637 - SPECIALTY CONCESSIONS (VENDING)</v>
      </c>
      <c r="D564" t="str">
        <f>IF(LEFT(TRIM('MSR RAW'!B564),9)="Location:",TRIM(MID('MSR RAW'!B564,10,999)),D563)</f>
        <v>FB 155 - SUB ISLAND NOODLES</v>
      </c>
      <c r="E564" t="str">
        <f>IF(AND(ISNUMBER(SEARCH(" - ",TRIM('MSR RAW'!C564))),RIGHT(TRIM('MSR RAW'!C564),6)="Total:"),LEFT(TRIM('MSR RAW'!C564),SEARCH(" - ",TRIM('MSR RAW'!C564))-1),"")</f>
        <v/>
      </c>
      <c r="F564" t="str">
        <f>IF(E564="","",TRIM(MID(TRIM('MSR RAW'!C564),SEARCH(" - ",TRIM('MSR RAW'!C564))+3,LEN(TRIM('MSR RAW'!C564))-SEARCH(" - ",TRIM('MSR RAW'!C564))-9)))</f>
        <v/>
      </c>
      <c r="G564" t="str">
        <f>IF(E564="","",IFERROR(VLOOKUP(E564,'CATEGORY MAP'!$A$2:$B$20,2,FALSE()),"REVIEW"))</f>
        <v/>
      </c>
      <c r="H564" t="str">
        <f>IF(E564="","",IFERROR(VALUE(SUBSTITUTE('MSR RAW'!P564,",","")),0))</f>
        <v/>
      </c>
      <c r="I564" t="str">
        <f>IF(E564="","",IFERROR(VALUE(SUBSTITUTE('MSR RAW'!S564,",","")),0))</f>
        <v/>
      </c>
    </row>
    <row r="565" spans="1:9" ht="68.650000000000006" customHeight="1" x14ac:dyDescent="0.2">
      <c r="A565">
        <v>565</v>
      </c>
      <c r="B56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65" t="str">
        <f>IF(LEFT(TRIM('MSR RAW'!A565),11)="Department:",TRIM('MSR RAW'!A565),C564)</f>
        <v>Department: 36637 - SPECIALTY CONCESSIONS (VENDING)</v>
      </c>
      <c r="D565" t="str">
        <f>IF(LEFT(TRIM('MSR RAW'!B565),9)="Location:",TRIM(MID('MSR RAW'!B565,10,999)),D564)</f>
        <v>FB 155 - SUB ISLAND NOODLES</v>
      </c>
      <c r="E565" t="str">
        <f>IF(AND(ISNUMBER(SEARCH(" - ",TRIM('MSR RAW'!C565))),RIGHT(TRIM('MSR RAW'!C565),6)="Total:"),LEFT(TRIM('MSR RAW'!C565),SEARCH(" - ",TRIM('MSR RAW'!C565))-1),"")</f>
        <v/>
      </c>
      <c r="F565" t="str">
        <f>IF(E565="","",TRIM(MID(TRIM('MSR RAW'!C565),SEARCH(" - ",TRIM('MSR RAW'!C565))+3,LEN(TRIM('MSR RAW'!C565))-SEARCH(" - ",TRIM('MSR RAW'!C565))-9)))</f>
        <v/>
      </c>
      <c r="G565" t="str">
        <f>IF(E565="","",IFERROR(VLOOKUP(E565,'CATEGORY MAP'!$A$2:$B$20,2,FALSE()),"REVIEW"))</f>
        <v/>
      </c>
      <c r="H565" t="str">
        <f>IF(E565="","",IFERROR(VALUE(SUBSTITUTE('MSR RAW'!P565,",","")),0))</f>
        <v/>
      </c>
      <c r="I565" t="str">
        <f>IF(E565="","",IFERROR(VALUE(SUBSTITUTE('MSR RAW'!S565,",","")),0))</f>
        <v/>
      </c>
    </row>
    <row r="566" spans="1:9" ht="68.650000000000006" customHeight="1" x14ac:dyDescent="0.2">
      <c r="A566">
        <v>566</v>
      </c>
      <c r="B56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66" t="str">
        <f>IF(LEFT(TRIM('MSR RAW'!A566),11)="Department:",TRIM('MSR RAW'!A566),C565)</f>
        <v>Department: 36637 - SPECIALTY CONCESSIONS (VENDING)</v>
      </c>
      <c r="D566" t="str">
        <f>IF(LEFT(TRIM('MSR RAW'!B566),9)="Location:",TRIM(MID('MSR RAW'!B566,10,999)),D565)</f>
        <v>FB 155 - SUB ISLAND NOODLES</v>
      </c>
      <c r="E566" t="str">
        <f>IF(AND(ISNUMBER(SEARCH(" - ",TRIM('MSR RAW'!C566))),RIGHT(TRIM('MSR RAW'!C566),6)="Total:"),LEFT(TRIM('MSR RAW'!C566),SEARCH(" - ",TRIM('MSR RAW'!C566))-1),"")</f>
        <v/>
      </c>
      <c r="F566" t="str">
        <f>IF(E566="","",TRIM(MID(TRIM('MSR RAW'!C566),SEARCH(" - ",TRIM('MSR RAW'!C566))+3,LEN(TRIM('MSR RAW'!C566))-SEARCH(" - ",TRIM('MSR RAW'!C566))-9)))</f>
        <v/>
      </c>
      <c r="G566" t="str">
        <f>IF(E566="","",IFERROR(VLOOKUP(E566,'CATEGORY MAP'!$A$2:$B$20,2,FALSE()),"REVIEW"))</f>
        <v/>
      </c>
      <c r="H566" t="str">
        <f>IF(E566="","",IFERROR(VALUE(SUBSTITUTE('MSR RAW'!P566,",","")),0))</f>
        <v/>
      </c>
      <c r="I566" t="str">
        <f>IF(E566="","",IFERROR(VALUE(SUBSTITUTE('MSR RAW'!S566,",","")),0))</f>
        <v/>
      </c>
    </row>
    <row r="567" spans="1:9" ht="68.650000000000006" customHeight="1" x14ac:dyDescent="0.2">
      <c r="A567">
        <v>567</v>
      </c>
      <c r="B56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67" t="str">
        <f>IF(LEFT(TRIM('MSR RAW'!A567),11)="Department:",TRIM('MSR RAW'!A567),C566)</f>
        <v>Department: 36637 - SPECIALTY CONCESSIONS (VENDING)</v>
      </c>
      <c r="D567" t="str">
        <f>IF(LEFT(TRIM('MSR RAW'!B567),9)="Location:",TRIM(MID('MSR RAW'!B567,10,999)),D566)</f>
        <v>FB 155 - SUB ISLAND NOODLES</v>
      </c>
      <c r="E567" t="str">
        <f>IF(AND(ISNUMBER(SEARCH(" - ",TRIM('MSR RAW'!C567))),RIGHT(TRIM('MSR RAW'!C567),6)="Total:"),LEFT(TRIM('MSR RAW'!C567),SEARCH(" - ",TRIM('MSR RAW'!C567))-1),"")</f>
        <v/>
      </c>
      <c r="F567" t="str">
        <f>IF(E567="","",TRIM(MID(TRIM('MSR RAW'!C567),SEARCH(" - ",TRIM('MSR RAW'!C567))+3,LEN(TRIM('MSR RAW'!C567))-SEARCH(" - ",TRIM('MSR RAW'!C567))-9)))</f>
        <v/>
      </c>
      <c r="G567" t="str">
        <f>IF(E567="","",IFERROR(VLOOKUP(E567,'CATEGORY MAP'!$A$2:$B$20,2,FALSE()),"REVIEW"))</f>
        <v/>
      </c>
      <c r="H567" t="str">
        <f>IF(E567="","",IFERROR(VALUE(SUBSTITUTE('MSR RAW'!P567,",","")),0))</f>
        <v/>
      </c>
      <c r="I567" t="str">
        <f>IF(E567="","",IFERROR(VALUE(SUBSTITUTE('MSR RAW'!S567,",","")),0))</f>
        <v/>
      </c>
    </row>
    <row r="568" spans="1:9" ht="68.650000000000006" customHeight="1" x14ac:dyDescent="0.2">
      <c r="A568">
        <v>568</v>
      </c>
      <c r="B56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68" t="str">
        <f>IF(LEFT(TRIM('MSR RAW'!A568),11)="Department:",TRIM('MSR RAW'!A568),C567)</f>
        <v>Department: 36637 - SPECIALTY CONCESSIONS (VENDING)</v>
      </c>
      <c r="D568" t="str">
        <f>IF(LEFT(TRIM('MSR RAW'!B568),9)="Location:",TRIM(MID('MSR RAW'!B568,10,999)),D567)</f>
        <v>FB 155 - SUB ISLAND NOODLES</v>
      </c>
      <c r="E568" t="str">
        <f>IF(AND(ISNUMBER(SEARCH(" - ",TRIM('MSR RAW'!C568))),RIGHT(TRIM('MSR RAW'!C568),6)="Total:"),LEFT(TRIM('MSR RAW'!C568),SEARCH(" - ",TRIM('MSR RAW'!C568))-1),"")</f>
        <v/>
      </c>
      <c r="F568" t="str">
        <f>IF(E568="","",TRIM(MID(TRIM('MSR RAW'!C568),SEARCH(" - ",TRIM('MSR RAW'!C568))+3,LEN(TRIM('MSR RAW'!C568))-SEARCH(" - ",TRIM('MSR RAW'!C568))-9)))</f>
        <v/>
      </c>
      <c r="G568" t="str">
        <f>IF(E568="","",IFERROR(VLOOKUP(E568,'CATEGORY MAP'!$A$2:$B$20,2,FALSE()),"REVIEW"))</f>
        <v/>
      </c>
      <c r="H568" t="str">
        <f>IF(E568="","",IFERROR(VALUE(SUBSTITUTE('MSR RAW'!P568,",","")),0))</f>
        <v/>
      </c>
      <c r="I568" t="str">
        <f>IF(E568="","",IFERROR(VALUE(SUBSTITUTE('MSR RAW'!S568,",","")),0))</f>
        <v/>
      </c>
    </row>
    <row r="569" spans="1:9" ht="68.650000000000006" customHeight="1" x14ac:dyDescent="0.2">
      <c r="A569">
        <v>569</v>
      </c>
      <c r="B56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69" t="str">
        <f>IF(LEFT(TRIM('MSR RAW'!A569),11)="Department:",TRIM('MSR RAW'!A569),C568)</f>
        <v>Department: 36637 - SPECIALTY CONCESSIONS (VENDING)</v>
      </c>
      <c r="D569" t="str">
        <f>IF(LEFT(TRIM('MSR RAW'!B569),9)="Location:",TRIM(MID('MSR RAW'!B569,10,999)),D568)</f>
        <v>FB 155 - SUB ISLAND NOODLES</v>
      </c>
      <c r="E569" t="str">
        <f>IF(AND(ISNUMBER(SEARCH(" - ",TRIM('MSR RAW'!C569))),RIGHT(TRIM('MSR RAW'!C569),6)="Total:"),LEFT(TRIM('MSR RAW'!C569),SEARCH(" - ",TRIM('MSR RAW'!C569))-1),"")</f>
        <v/>
      </c>
      <c r="F569" t="str">
        <f>IF(E569="","",TRIM(MID(TRIM('MSR RAW'!C569),SEARCH(" - ",TRIM('MSR RAW'!C569))+3,LEN(TRIM('MSR RAW'!C569))-SEARCH(" - ",TRIM('MSR RAW'!C569))-9)))</f>
        <v/>
      </c>
      <c r="G569" t="str">
        <f>IF(E569="","",IFERROR(VLOOKUP(E569,'CATEGORY MAP'!$A$2:$B$20,2,FALSE()),"REVIEW"))</f>
        <v/>
      </c>
      <c r="H569" t="str">
        <f>IF(E569="","",IFERROR(VALUE(SUBSTITUTE('MSR RAW'!P569,",","")),0))</f>
        <v/>
      </c>
      <c r="I569" t="str">
        <f>IF(E569="","",IFERROR(VALUE(SUBSTITUTE('MSR RAW'!S569,",","")),0))</f>
        <v/>
      </c>
    </row>
    <row r="570" spans="1:9" ht="68.650000000000006" customHeight="1" x14ac:dyDescent="0.2">
      <c r="A570">
        <v>570</v>
      </c>
      <c r="B57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70" t="str">
        <f>IF(LEFT(TRIM('MSR RAW'!A570),11)="Department:",TRIM('MSR RAW'!A570),C569)</f>
        <v>Department: 36637 - SPECIALTY CONCESSIONS (VENDING)</v>
      </c>
      <c r="D570" t="str">
        <f>IF(LEFT(TRIM('MSR RAW'!B570),9)="Location:",TRIM(MID('MSR RAW'!B570,10,999)),D569)</f>
        <v>FB 155 - SUB ISLAND NOODLES</v>
      </c>
      <c r="E570" t="str">
        <f>IF(AND(ISNUMBER(SEARCH(" - ",TRIM('MSR RAW'!C570))),RIGHT(TRIM('MSR RAW'!C570),6)="Total:"),LEFT(TRIM('MSR RAW'!C570),SEARCH(" - ",TRIM('MSR RAW'!C570))-1),"")</f>
        <v/>
      </c>
      <c r="F570" t="str">
        <f>IF(E570="","",TRIM(MID(TRIM('MSR RAW'!C570),SEARCH(" - ",TRIM('MSR RAW'!C570))+3,LEN(TRIM('MSR RAW'!C570))-SEARCH(" - ",TRIM('MSR RAW'!C570))-9)))</f>
        <v/>
      </c>
      <c r="G570" t="str">
        <f>IF(E570="","",IFERROR(VLOOKUP(E570,'CATEGORY MAP'!$A$2:$B$20,2,FALSE()),"REVIEW"))</f>
        <v/>
      </c>
      <c r="H570" t="str">
        <f>IF(E570="","",IFERROR(VALUE(SUBSTITUTE('MSR RAW'!P570,",","")),0))</f>
        <v/>
      </c>
      <c r="I570" t="str">
        <f>IF(E570="","",IFERROR(VALUE(SUBSTITUTE('MSR RAW'!S570,",","")),0))</f>
        <v/>
      </c>
    </row>
    <row r="571" spans="1:9" ht="68.650000000000006" customHeight="1" x14ac:dyDescent="0.2">
      <c r="A571">
        <v>571</v>
      </c>
      <c r="B57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71" t="str">
        <f>IF(LEFT(TRIM('MSR RAW'!A571),11)="Department:",TRIM('MSR RAW'!A571),C570)</f>
        <v>Department: 36637 - SPECIALTY CONCESSIONS (VENDING)</v>
      </c>
      <c r="D571" t="str">
        <f>IF(LEFT(TRIM('MSR RAW'!B571),9)="Location:",TRIM(MID('MSR RAW'!B571,10,999)),D570)</f>
        <v>FB 155 - SUB ISLAND NOODLES</v>
      </c>
      <c r="E571" t="str">
        <f>IF(AND(ISNUMBER(SEARCH(" - ",TRIM('MSR RAW'!C571))),RIGHT(TRIM('MSR RAW'!C571),6)="Total:"),LEFT(TRIM('MSR RAW'!C571),SEARCH(" - ",TRIM('MSR RAW'!C571))-1),"")</f>
        <v/>
      </c>
      <c r="F571" t="str">
        <f>IF(E571="","",TRIM(MID(TRIM('MSR RAW'!C571),SEARCH(" - ",TRIM('MSR RAW'!C571))+3,LEN(TRIM('MSR RAW'!C571))-SEARCH(" - ",TRIM('MSR RAW'!C571))-9)))</f>
        <v/>
      </c>
      <c r="G571" t="str">
        <f>IF(E571="","",IFERROR(VLOOKUP(E571,'CATEGORY MAP'!$A$2:$B$20,2,FALSE()),"REVIEW"))</f>
        <v/>
      </c>
      <c r="H571" t="str">
        <f>IF(E571="","",IFERROR(VALUE(SUBSTITUTE('MSR RAW'!P571,",","")),0))</f>
        <v/>
      </c>
      <c r="I571" t="str">
        <f>IF(E571="","",IFERROR(VALUE(SUBSTITUTE('MSR RAW'!S571,",","")),0))</f>
        <v/>
      </c>
    </row>
    <row r="572" spans="1:9" ht="68.650000000000006" customHeight="1" x14ac:dyDescent="0.2">
      <c r="A572">
        <v>572</v>
      </c>
      <c r="B57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72" t="str">
        <f>IF(LEFT(TRIM('MSR RAW'!A572),11)="Department:",TRIM('MSR RAW'!A572),C571)</f>
        <v>Department: 36637 - SPECIALTY CONCESSIONS (VENDING)</v>
      </c>
      <c r="D572" t="str">
        <f>IF(LEFT(TRIM('MSR RAW'!B572),9)="Location:",TRIM(MID('MSR RAW'!B572,10,999)),D571)</f>
        <v>FB 155 - SUB ISLAND NOODLES</v>
      </c>
      <c r="E572" t="str">
        <f>IF(AND(ISNUMBER(SEARCH(" - ",TRIM('MSR RAW'!C572))),RIGHT(TRIM('MSR RAW'!C572),6)="Total:"),LEFT(TRIM('MSR RAW'!C572),SEARCH(" - ",TRIM('MSR RAW'!C572))-1),"")</f>
        <v/>
      </c>
      <c r="F572" t="str">
        <f>IF(E572="","",TRIM(MID(TRIM('MSR RAW'!C572),SEARCH(" - ",TRIM('MSR RAW'!C572))+3,LEN(TRIM('MSR RAW'!C572))-SEARCH(" - ",TRIM('MSR RAW'!C572))-9)))</f>
        <v/>
      </c>
      <c r="G572" t="str">
        <f>IF(E572="","",IFERROR(VLOOKUP(E572,'CATEGORY MAP'!$A$2:$B$20,2,FALSE()),"REVIEW"))</f>
        <v/>
      </c>
      <c r="H572" t="str">
        <f>IF(E572="","",IFERROR(VALUE(SUBSTITUTE('MSR RAW'!P572,",","")),0))</f>
        <v/>
      </c>
      <c r="I572" t="str">
        <f>IF(E572="","",IFERROR(VALUE(SUBSTITUTE('MSR RAW'!S572,",","")),0))</f>
        <v/>
      </c>
    </row>
    <row r="573" spans="1:9" ht="68.650000000000006" customHeight="1" x14ac:dyDescent="0.2">
      <c r="A573">
        <v>573</v>
      </c>
      <c r="B57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73" t="str">
        <f>IF(LEFT(TRIM('MSR RAW'!A573),11)="Department:",TRIM('MSR RAW'!A573),C572)</f>
        <v>Department: 36637 - SPECIALTY CONCESSIONS (VENDING)</v>
      </c>
      <c r="D573" t="str">
        <f>IF(LEFT(TRIM('MSR RAW'!B573),9)="Location:",TRIM(MID('MSR RAW'!B573,10,999)),D572)</f>
        <v>FB 155 - SUB ISLAND NOODLES</v>
      </c>
      <c r="E573" t="str">
        <f>IF(AND(ISNUMBER(SEARCH(" - ",TRIM('MSR RAW'!C573))),RIGHT(TRIM('MSR RAW'!C573),6)="Total:"),LEFT(TRIM('MSR RAW'!C573),SEARCH(" - ",TRIM('MSR RAW'!C573))-1),"")</f>
        <v/>
      </c>
      <c r="F573" t="str">
        <f>IF(E573="","",TRIM(MID(TRIM('MSR RAW'!C573),SEARCH(" - ",TRIM('MSR RAW'!C573))+3,LEN(TRIM('MSR RAW'!C573))-SEARCH(" - ",TRIM('MSR RAW'!C573))-9)))</f>
        <v/>
      </c>
      <c r="G573" t="str">
        <f>IF(E573="","",IFERROR(VLOOKUP(E573,'CATEGORY MAP'!$A$2:$B$20,2,FALSE()),"REVIEW"))</f>
        <v/>
      </c>
      <c r="H573" t="str">
        <f>IF(E573="","",IFERROR(VALUE(SUBSTITUTE('MSR RAW'!P573,",","")),0))</f>
        <v/>
      </c>
      <c r="I573" t="str">
        <f>IF(E573="","",IFERROR(VALUE(SUBSTITUTE('MSR RAW'!S573,",","")),0))</f>
        <v/>
      </c>
    </row>
    <row r="574" spans="1:9" ht="68.650000000000006" customHeight="1" x14ac:dyDescent="0.2">
      <c r="A574">
        <v>574</v>
      </c>
      <c r="B57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74" t="str">
        <f>IF(LEFT(TRIM('MSR RAW'!A574),11)="Department:",TRIM('MSR RAW'!A574),C573)</f>
        <v>Department: 36637 - SPECIALTY CONCESSIONS (VENDING)</v>
      </c>
      <c r="D574" t="str">
        <f>IF(LEFT(TRIM('MSR RAW'!B574),9)="Location:",TRIM(MID('MSR RAW'!B574,10,999)),D573)</f>
        <v>FB 155 - SUB ISLAND NOODLES</v>
      </c>
      <c r="E574" t="str">
        <f>IF(AND(ISNUMBER(SEARCH(" - ",TRIM('MSR RAW'!C574))),RIGHT(TRIM('MSR RAW'!C574),6)="Total:"),LEFT(TRIM('MSR RAW'!C574),SEARCH(" - ",TRIM('MSR RAW'!C574))-1),"")</f>
        <v/>
      </c>
      <c r="F574" t="str">
        <f>IF(E574="","",TRIM(MID(TRIM('MSR RAW'!C574),SEARCH(" - ",TRIM('MSR RAW'!C574))+3,LEN(TRIM('MSR RAW'!C574))-SEARCH(" - ",TRIM('MSR RAW'!C574))-9)))</f>
        <v/>
      </c>
      <c r="G574" t="str">
        <f>IF(E574="","",IFERROR(VLOOKUP(E574,'CATEGORY MAP'!$A$2:$B$20,2,FALSE()),"REVIEW"))</f>
        <v/>
      </c>
      <c r="H574" t="str">
        <f>IF(E574="","",IFERROR(VALUE(SUBSTITUTE('MSR RAW'!P574,",","")),0))</f>
        <v/>
      </c>
      <c r="I574" t="str">
        <f>IF(E574="","",IFERROR(VALUE(SUBSTITUTE('MSR RAW'!S574,",","")),0))</f>
        <v/>
      </c>
    </row>
    <row r="575" spans="1:9" ht="68.650000000000006" customHeight="1" x14ac:dyDescent="0.2">
      <c r="A575">
        <v>575</v>
      </c>
      <c r="B57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75" t="str">
        <f>IF(LEFT(TRIM('MSR RAW'!A575),11)="Department:",TRIM('MSR RAW'!A575),C574)</f>
        <v>Department: 36637 - SPECIALTY CONCESSIONS (VENDING)</v>
      </c>
      <c r="D575" t="str">
        <f>IF(LEFT(TRIM('MSR RAW'!B575),9)="Location:",TRIM(MID('MSR RAW'!B575,10,999)),D574)</f>
        <v>FB 155 - SUB ISLAND NOODLES</v>
      </c>
      <c r="E575" t="str">
        <f>IF(AND(ISNUMBER(SEARCH(" - ",TRIM('MSR RAW'!C575))),RIGHT(TRIM('MSR RAW'!C575),6)="Total:"),LEFT(TRIM('MSR RAW'!C575),SEARCH(" - ",TRIM('MSR RAW'!C575))-1),"")</f>
        <v/>
      </c>
      <c r="F575" t="str">
        <f>IF(E575="","",TRIM(MID(TRIM('MSR RAW'!C575),SEARCH(" - ",TRIM('MSR RAW'!C575))+3,LEN(TRIM('MSR RAW'!C575))-SEARCH(" - ",TRIM('MSR RAW'!C575))-9)))</f>
        <v/>
      </c>
      <c r="G575" t="str">
        <f>IF(E575="","",IFERROR(VLOOKUP(E575,'CATEGORY MAP'!$A$2:$B$20,2,FALSE()),"REVIEW"))</f>
        <v/>
      </c>
      <c r="H575" t="str">
        <f>IF(E575="","",IFERROR(VALUE(SUBSTITUTE('MSR RAW'!P575,",","")),0))</f>
        <v/>
      </c>
      <c r="I575" t="str">
        <f>IF(E575="","",IFERROR(VALUE(SUBSTITUTE('MSR RAW'!S575,",","")),0))</f>
        <v/>
      </c>
    </row>
    <row r="576" spans="1:9" ht="68.650000000000006" customHeight="1" x14ac:dyDescent="0.2">
      <c r="A576">
        <v>576</v>
      </c>
      <c r="B57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76" t="str">
        <f>IF(LEFT(TRIM('MSR RAW'!A576),11)="Department:",TRIM('MSR RAW'!A576),C575)</f>
        <v>Department: 36637 - SPECIALTY CONCESSIONS (VENDING)</v>
      </c>
      <c r="D576" t="str">
        <f>IF(LEFT(TRIM('MSR RAW'!B576),9)="Location:",TRIM(MID('MSR RAW'!B576,10,999)),D575)</f>
        <v>FB 155 - SUB ISLAND NOODLES</v>
      </c>
      <c r="E576" t="str">
        <f>IF(AND(ISNUMBER(SEARCH(" - ",TRIM('MSR RAW'!C576))),RIGHT(TRIM('MSR RAW'!C576),6)="Total:"),LEFT(TRIM('MSR RAW'!C576),SEARCH(" - ",TRIM('MSR RAW'!C576))-1),"")</f>
        <v/>
      </c>
      <c r="F576" t="str">
        <f>IF(E576="","",TRIM(MID(TRIM('MSR RAW'!C576),SEARCH(" - ",TRIM('MSR RAW'!C576))+3,LEN(TRIM('MSR RAW'!C576))-SEARCH(" - ",TRIM('MSR RAW'!C576))-9)))</f>
        <v/>
      </c>
      <c r="G576" t="str">
        <f>IF(E576="","",IFERROR(VLOOKUP(E576,'CATEGORY MAP'!$A$2:$B$20,2,FALSE()),"REVIEW"))</f>
        <v/>
      </c>
      <c r="H576" t="str">
        <f>IF(E576="","",IFERROR(VALUE(SUBSTITUTE('MSR RAW'!P576,",","")),0))</f>
        <v/>
      </c>
      <c r="I576" t="str">
        <f>IF(E576="","",IFERROR(VALUE(SUBSTITUTE('MSR RAW'!S576,",","")),0))</f>
        <v/>
      </c>
    </row>
    <row r="577" spans="1:9" ht="68.650000000000006" customHeight="1" x14ac:dyDescent="0.2">
      <c r="A577">
        <v>577</v>
      </c>
      <c r="B57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77" t="str">
        <f>IF(LEFT(TRIM('MSR RAW'!A577),11)="Department:",TRIM('MSR RAW'!A577),C576)</f>
        <v>Department: 36637 - SPECIALTY CONCESSIONS (VENDING)</v>
      </c>
      <c r="D577" t="str">
        <f>IF(LEFT(TRIM('MSR RAW'!B577),9)="Location:",TRIM(MID('MSR RAW'!B577,10,999)),D576)</f>
        <v>FB 155 - SUB ISLAND NOODLES</v>
      </c>
      <c r="E577" t="str">
        <f>IF(AND(ISNUMBER(SEARCH(" - ",TRIM('MSR RAW'!C577))),RIGHT(TRIM('MSR RAW'!C577),6)="Total:"),LEFT(TRIM('MSR RAW'!C577),SEARCH(" - ",TRIM('MSR RAW'!C577))-1),"")</f>
        <v/>
      </c>
      <c r="F577" t="str">
        <f>IF(E577="","",TRIM(MID(TRIM('MSR RAW'!C577),SEARCH(" - ",TRIM('MSR RAW'!C577))+3,LEN(TRIM('MSR RAW'!C577))-SEARCH(" - ",TRIM('MSR RAW'!C577))-9)))</f>
        <v/>
      </c>
      <c r="G577" t="str">
        <f>IF(E577="","",IFERROR(VLOOKUP(E577,'CATEGORY MAP'!$A$2:$B$20,2,FALSE()),"REVIEW"))</f>
        <v/>
      </c>
      <c r="H577" t="str">
        <f>IF(E577="","",IFERROR(VALUE(SUBSTITUTE('MSR RAW'!P577,",","")),0))</f>
        <v/>
      </c>
      <c r="I577" t="str">
        <f>IF(E577="","",IFERROR(VALUE(SUBSTITUTE('MSR RAW'!S577,",","")),0))</f>
        <v/>
      </c>
    </row>
    <row r="578" spans="1:9" ht="68.650000000000006" customHeight="1" x14ac:dyDescent="0.2">
      <c r="A578">
        <v>578</v>
      </c>
      <c r="B57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78" t="str">
        <f>IF(LEFT(TRIM('MSR RAW'!A578),11)="Department:",TRIM('MSR RAW'!A578),C577)</f>
        <v>Department: 36637 - SPECIALTY CONCESSIONS (VENDING)</v>
      </c>
      <c r="D578" t="str">
        <f>IF(LEFT(TRIM('MSR RAW'!B578),9)="Location:",TRIM(MID('MSR RAW'!B578,10,999)),D577)</f>
        <v>FB 155 - SUB ISLAND NOODLES</v>
      </c>
      <c r="E578" t="str">
        <f>IF(AND(ISNUMBER(SEARCH(" - ",TRIM('MSR RAW'!C578))),RIGHT(TRIM('MSR RAW'!C578),6)="Total:"),LEFT(TRIM('MSR RAW'!C578),SEARCH(" - ",TRIM('MSR RAW'!C578))-1),"")</f>
        <v/>
      </c>
      <c r="F578" t="str">
        <f>IF(E578="","",TRIM(MID(TRIM('MSR RAW'!C578),SEARCH(" - ",TRIM('MSR RAW'!C578))+3,LEN(TRIM('MSR RAW'!C578))-SEARCH(" - ",TRIM('MSR RAW'!C578))-9)))</f>
        <v/>
      </c>
      <c r="G578" t="str">
        <f>IF(E578="","",IFERROR(VLOOKUP(E578,'CATEGORY MAP'!$A$2:$B$20,2,FALSE()),"REVIEW"))</f>
        <v/>
      </c>
      <c r="H578" t="str">
        <f>IF(E578="","",IFERROR(VALUE(SUBSTITUTE('MSR RAW'!P578,",","")),0))</f>
        <v/>
      </c>
      <c r="I578" t="str">
        <f>IF(E578="","",IFERROR(VALUE(SUBSTITUTE('MSR RAW'!S578,",","")),0))</f>
        <v/>
      </c>
    </row>
    <row r="579" spans="1:9" ht="68.650000000000006" customHeight="1" x14ac:dyDescent="0.2">
      <c r="A579">
        <v>579</v>
      </c>
      <c r="B57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79" t="str">
        <f>IF(LEFT(TRIM('MSR RAW'!A579),11)="Department:",TRIM('MSR RAW'!A579),C578)</f>
        <v>Department: 36637 - SPECIALTY CONCESSIONS (VENDING)</v>
      </c>
      <c r="D579" t="str">
        <f>IF(LEFT(TRIM('MSR RAW'!B579),9)="Location:",TRIM(MID('MSR RAW'!B579,10,999)),D578)</f>
        <v>FB 155 - SUB ISLAND NOODLES</v>
      </c>
      <c r="E579" t="str">
        <f>IF(AND(ISNUMBER(SEARCH(" - ",TRIM('MSR RAW'!C579))),RIGHT(TRIM('MSR RAW'!C579),6)="Total:"),LEFT(TRIM('MSR RAW'!C579),SEARCH(" - ",TRIM('MSR RAW'!C579))-1),"")</f>
        <v/>
      </c>
      <c r="F579" t="str">
        <f>IF(E579="","",TRIM(MID(TRIM('MSR RAW'!C579),SEARCH(" - ",TRIM('MSR RAW'!C579))+3,LEN(TRIM('MSR RAW'!C579))-SEARCH(" - ",TRIM('MSR RAW'!C579))-9)))</f>
        <v/>
      </c>
      <c r="G579" t="str">
        <f>IF(E579="","",IFERROR(VLOOKUP(E579,'CATEGORY MAP'!$A$2:$B$20,2,FALSE()),"REVIEW"))</f>
        <v/>
      </c>
      <c r="H579" t="str">
        <f>IF(E579="","",IFERROR(VALUE(SUBSTITUTE('MSR RAW'!P579,",","")),0))</f>
        <v/>
      </c>
      <c r="I579" t="str">
        <f>IF(E579="","",IFERROR(VALUE(SUBSTITUTE('MSR RAW'!S579,",","")),0))</f>
        <v/>
      </c>
    </row>
    <row r="580" spans="1:9" ht="68.650000000000006" customHeight="1" x14ac:dyDescent="0.2">
      <c r="A580">
        <v>580</v>
      </c>
      <c r="B58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80" t="str">
        <f>IF(LEFT(TRIM('MSR RAW'!A580),11)="Department:",TRIM('MSR RAW'!A580),C579)</f>
        <v>Department: 36637 - SPECIALTY CONCESSIONS (VENDING)</v>
      </c>
      <c r="D580" t="str">
        <f>IF(LEFT(TRIM('MSR RAW'!B580),9)="Location:",TRIM(MID('MSR RAW'!B580,10,999)),D579)</f>
        <v>FB 155 - SUB ISLAND NOODLES</v>
      </c>
      <c r="E580" t="str">
        <f>IF(AND(ISNUMBER(SEARCH(" - ",TRIM('MSR RAW'!C580))),RIGHT(TRIM('MSR RAW'!C580),6)="Total:"),LEFT(TRIM('MSR RAW'!C580),SEARCH(" - ",TRIM('MSR RAW'!C580))-1),"")</f>
        <v/>
      </c>
      <c r="F580" t="str">
        <f>IF(E580="","",TRIM(MID(TRIM('MSR RAW'!C580),SEARCH(" - ",TRIM('MSR RAW'!C580))+3,LEN(TRIM('MSR RAW'!C580))-SEARCH(" - ",TRIM('MSR RAW'!C580))-9)))</f>
        <v/>
      </c>
      <c r="G580" t="str">
        <f>IF(E580="","",IFERROR(VLOOKUP(E580,'CATEGORY MAP'!$A$2:$B$20,2,FALSE()),"REVIEW"))</f>
        <v/>
      </c>
      <c r="H580" t="str">
        <f>IF(E580="","",IFERROR(VALUE(SUBSTITUTE('MSR RAW'!P580,",","")),0))</f>
        <v/>
      </c>
      <c r="I580" t="str">
        <f>IF(E580="","",IFERROR(VALUE(SUBSTITUTE('MSR RAW'!S580,",","")),0))</f>
        <v/>
      </c>
    </row>
    <row r="581" spans="1:9" ht="68.650000000000006" customHeight="1" x14ac:dyDescent="0.2">
      <c r="A581">
        <v>581</v>
      </c>
      <c r="B58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81" t="str">
        <f>IF(LEFT(TRIM('MSR RAW'!A581),11)="Department:",TRIM('MSR RAW'!A581),C580)</f>
        <v>Department: 36637 - SPECIALTY CONCESSIONS (VENDING)</v>
      </c>
      <c r="D581" t="str">
        <f>IF(LEFT(TRIM('MSR RAW'!B581),9)="Location:",TRIM(MID('MSR RAW'!B581,10,999)),D580)</f>
        <v>FB 155 - SUB ISLAND NOODLES</v>
      </c>
      <c r="E581" t="str">
        <f>IF(AND(ISNUMBER(SEARCH(" - ",TRIM('MSR RAW'!C581))),RIGHT(TRIM('MSR RAW'!C581),6)="Total:"),LEFT(TRIM('MSR RAW'!C581),SEARCH(" - ",TRIM('MSR RAW'!C581))-1),"")</f>
        <v/>
      </c>
      <c r="F581" t="str">
        <f>IF(E581="","",TRIM(MID(TRIM('MSR RAW'!C581),SEARCH(" - ",TRIM('MSR RAW'!C581))+3,LEN(TRIM('MSR RAW'!C581))-SEARCH(" - ",TRIM('MSR RAW'!C581))-9)))</f>
        <v/>
      </c>
      <c r="G581" t="str">
        <f>IF(E581="","",IFERROR(VLOOKUP(E581,'CATEGORY MAP'!$A$2:$B$20,2,FALSE()),"REVIEW"))</f>
        <v/>
      </c>
      <c r="H581" t="str">
        <f>IF(E581="","",IFERROR(VALUE(SUBSTITUTE('MSR RAW'!P581,",","")),0))</f>
        <v/>
      </c>
      <c r="I581" t="str">
        <f>IF(E581="","",IFERROR(VALUE(SUBSTITUTE('MSR RAW'!S581,",","")),0))</f>
        <v/>
      </c>
    </row>
    <row r="582" spans="1:9" ht="68.650000000000006" customHeight="1" x14ac:dyDescent="0.2">
      <c r="A582">
        <v>582</v>
      </c>
      <c r="B58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82" t="str">
        <f>IF(LEFT(TRIM('MSR RAW'!A582),11)="Department:",TRIM('MSR RAW'!A582),C581)</f>
        <v>Department: 36637 - SPECIALTY CONCESSIONS (VENDING)</v>
      </c>
      <c r="D582" t="str">
        <f>IF(LEFT(TRIM('MSR RAW'!B582),9)="Location:",TRIM(MID('MSR RAW'!B582,10,999)),D581)</f>
        <v>FB 155 - SUB ISLAND NOODLES</v>
      </c>
      <c r="E582" t="str">
        <f>IF(AND(ISNUMBER(SEARCH(" - ",TRIM('MSR RAW'!C582))),RIGHT(TRIM('MSR RAW'!C582),6)="Total:"),LEFT(TRIM('MSR RAW'!C582),SEARCH(" - ",TRIM('MSR RAW'!C582))-1),"")</f>
        <v/>
      </c>
      <c r="F582" t="str">
        <f>IF(E582="","",TRIM(MID(TRIM('MSR RAW'!C582),SEARCH(" - ",TRIM('MSR RAW'!C582))+3,LEN(TRIM('MSR RAW'!C582))-SEARCH(" - ",TRIM('MSR RAW'!C582))-9)))</f>
        <v/>
      </c>
      <c r="G582" t="str">
        <f>IF(E582="","",IFERROR(VLOOKUP(E582,'CATEGORY MAP'!$A$2:$B$20,2,FALSE()),"REVIEW"))</f>
        <v/>
      </c>
      <c r="H582" t="str">
        <f>IF(E582="","",IFERROR(VALUE(SUBSTITUTE('MSR RAW'!P582,",","")),0))</f>
        <v/>
      </c>
      <c r="I582" t="str">
        <f>IF(E582="","",IFERROR(VALUE(SUBSTITUTE('MSR RAW'!S582,",","")),0))</f>
        <v/>
      </c>
    </row>
    <row r="583" spans="1:9" ht="68.650000000000006" customHeight="1" x14ac:dyDescent="0.2">
      <c r="A583">
        <v>583</v>
      </c>
      <c r="B58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83" t="str">
        <f>IF(LEFT(TRIM('MSR RAW'!A583),11)="Department:",TRIM('MSR RAW'!A583),C582)</f>
        <v>Department: 36637 - SPECIALTY CONCESSIONS (VENDING)</v>
      </c>
      <c r="D583" t="str">
        <f>IF(LEFT(TRIM('MSR RAW'!B583),9)="Location:",TRIM(MID('MSR RAW'!B583,10,999)),D582)</f>
        <v>FB 155 - SUB ISLAND NOODLES</v>
      </c>
      <c r="E583" t="str">
        <f>IF(AND(ISNUMBER(SEARCH(" - ",TRIM('MSR RAW'!C583))),RIGHT(TRIM('MSR RAW'!C583),6)="Total:"),LEFT(TRIM('MSR RAW'!C583),SEARCH(" - ",TRIM('MSR RAW'!C583))-1),"")</f>
        <v/>
      </c>
      <c r="F583" t="str">
        <f>IF(E583="","",TRIM(MID(TRIM('MSR RAW'!C583),SEARCH(" - ",TRIM('MSR RAW'!C583))+3,LEN(TRIM('MSR RAW'!C583))-SEARCH(" - ",TRIM('MSR RAW'!C583))-9)))</f>
        <v/>
      </c>
      <c r="G583" t="str">
        <f>IF(E583="","",IFERROR(VLOOKUP(E583,'CATEGORY MAP'!$A$2:$B$20,2,FALSE()),"REVIEW"))</f>
        <v/>
      </c>
      <c r="H583" t="str">
        <f>IF(E583="","",IFERROR(VALUE(SUBSTITUTE('MSR RAW'!P583,",","")),0))</f>
        <v/>
      </c>
      <c r="I583" t="str">
        <f>IF(E583="","",IFERROR(VALUE(SUBSTITUTE('MSR RAW'!S583,",","")),0))</f>
        <v/>
      </c>
    </row>
    <row r="584" spans="1:9" ht="68.650000000000006" customHeight="1" x14ac:dyDescent="0.2">
      <c r="A584">
        <v>584</v>
      </c>
      <c r="B58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84" t="str">
        <f>IF(LEFT(TRIM('MSR RAW'!A584),11)="Department:",TRIM('MSR RAW'!A584),C583)</f>
        <v>Department: 36637 - SPECIALTY CONCESSIONS (VENDING)</v>
      </c>
      <c r="D584" t="str">
        <f>IF(LEFT(TRIM('MSR RAW'!B584),9)="Location:",TRIM(MID('MSR RAW'!B584,10,999)),D583)</f>
        <v>FB 155 - SUB ISLAND NOODLES</v>
      </c>
      <c r="E584" t="str">
        <f>IF(AND(ISNUMBER(SEARCH(" - ",TRIM('MSR RAW'!C584))),RIGHT(TRIM('MSR RAW'!C584),6)="Total:"),LEFT(TRIM('MSR RAW'!C584),SEARCH(" - ",TRIM('MSR RAW'!C584))-1),"")</f>
        <v/>
      </c>
      <c r="F584" t="str">
        <f>IF(E584="","",TRIM(MID(TRIM('MSR RAW'!C584),SEARCH(" - ",TRIM('MSR RAW'!C584))+3,LEN(TRIM('MSR RAW'!C584))-SEARCH(" - ",TRIM('MSR RAW'!C584))-9)))</f>
        <v/>
      </c>
      <c r="G584" t="str">
        <f>IF(E584="","",IFERROR(VLOOKUP(E584,'CATEGORY MAP'!$A$2:$B$20,2,FALSE()),"REVIEW"))</f>
        <v/>
      </c>
      <c r="H584" t="str">
        <f>IF(E584="","",IFERROR(VALUE(SUBSTITUTE('MSR RAW'!P584,",","")),0))</f>
        <v/>
      </c>
      <c r="I584" t="str">
        <f>IF(E584="","",IFERROR(VALUE(SUBSTITUTE('MSR RAW'!S584,",","")),0))</f>
        <v/>
      </c>
    </row>
    <row r="585" spans="1:9" ht="68.650000000000006" customHeight="1" x14ac:dyDescent="0.2">
      <c r="A585">
        <v>585</v>
      </c>
      <c r="B58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85" t="str">
        <f>IF(LEFT(TRIM('MSR RAW'!A585),11)="Department:",TRIM('MSR RAW'!A585),C584)</f>
        <v>Department: 36637 - SPECIALTY CONCESSIONS (VENDING)</v>
      </c>
      <c r="D585" t="str">
        <f>IF(LEFT(TRIM('MSR RAW'!B585),9)="Location:",TRIM(MID('MSR RAW'!B585,10,999)),D584)</f>
        <v>FB 155 - SUB ISLAND NOODLES</v>
      </c>
      <c r="E585" t="str">
        <f>IF(AND(ISNUMBER(SEARCH(" - ",TRIM('MSR RAW'!C585))),RIGHT(TRIM('MSR RAW'!C585),6)="Total:"),LEFT(TRIM('MSR RAW'!C585),SEARCH(" - ",TRIM('MSR RAW'!C585))-1),"")</f>
        <v/>
      </c>
      <c r="F585" t="str">
        <f>IF(E585="","",TRIM(MID(TRIM('MSR RAW'!C585),SEARCH(" - ",TRIM('MSR RAW'!C585))+3,LEN(TRIM('MSR RAW'!C585))-SEARCH(" - ",TRIM('MSR RAW'!C585))-9)))</f>
        <v/>
      </c>
      <c r="G585" t="str">
        <f>IF(E585="","",IFERROR(VLOOKUP(E585,'CATEGORY MAP'!$A$2:$B$20,2,FALSE()),"REVIEW"))</f>
        <v/>
      </c>
      <c r="H585" t="str">
        <f>IF(E585="","",IFERROR(VALUE(SUBSTITUTE('MSR RAW'!P585,",","")),0))</f>
        <v/>
      </c>
      <c r="I585" t="str">
        <f>IF(E585="","",IFERROR(VALUE(SUBSTITUTE('MSR RAW'!S585,",","")),0))</f>
        <v/>
      </c>
    </row>
    <row r="586" spans="1:9" ht="68.650000000000006" customHeight="1" x14ac:dyDescent="0.2">
      <c r="A586">
        <v>586</v>
      </c>
      <c r="B58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86" t="str">
        <f>IF(LEFT(TRIM('MSR RAW'!A586),11)="Department:",TRIM('MSR RAW'!A586),C585)</f>
        <v>Department: 36637 - SPECIALTY CONCESSIONS (VENDING)</v>
      </c>
      <c r="D586" t="str">
        <f>IF(LEFT(TRIM('MSR RAW'!B586),9)="Location:",TRIM(MID('MSR RAW'!B586,10,999)),D585)</f>
        <v>FB 155 - SUB ISLAND NOODLES</v>
      </c>
      <c r="E586" t="str">
        <f>IF(AND(ISNUMBER(SEARCH(" - ",TRIM('MSR RAW'!C586))),RIGHT(TRIM('MSR RAW'!C586),6)="Total:"),LEFT(TRIM('MSR RAW'!C586),SEARCH(" - ",TRIM('MSR RAW'!C586))-1),"")</f>
        <v/>
      </c>
      <c r="F586" t="str">
        <f>IF(E586="","",TRIM(MID(TRIM('MSR RAW'!C586),SEARCH(" - ",TRIM('MSR RAW'!C586))+3,LEN(TRIM('MSR RAW'!C586))-SEARCH(" - ",TRIM('MSR RAW'!C586))-9)))</f>
        <v/>
      </c>
      <c r="G586" t="str">
        <f>IF(E586="","",IFERROR(VLOOKUP(E586,'CATEGORY MAP'!$A$2:$B$20,2,FALSE()),"REVIEW"))</f>
        <v/>
      </c>
      <c r="H586" t="str">
        <f>IF(E586="","",IFERROR(VALUE(SUBSTITUTE('MSR RAW'!P586,",","")),0))</f>
        <v/>
      </c>
      <c r="I586" t="str">
        <f>IF(E586="","",IFERROR(VALUE(SUBSTITUTE('MSR RAW'!S586,",","")),0))</f>
        <v/>
      </c>
    </row>
    <row r="587" spans="1:9" ht="68.650000000000006" customHeight="1" x14ac:dyDescent="0.2">
      <c r="A587">
        <v>587</v>
      </c>
      <c r="B58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87" t="str">
        <f>IF(LEFT(TRIM('MSR RAW'!A587),11)="Department:",TRIM('MSR RAW'!A587),C586)</f>
        <v>Department: 36637 - SPECIALTY CONCESSIONS (VENDING)</v>
      </c>
      <c r="D587" t="str">
        <f>IF(LEFT(TRIM('MSR RAW'!B587),9)="Location:",TRIM(MID('MSR RAW'!B587,10,999)),D586)</f>
        <v>FB 155 - SUB ISLAND NOODLES</v>
      </c>
      <c r="E587" t="str">
        <f>IF(AND(ISNUMBER(SEARCH(" - ",TRIM('MSR RAW'!C587))),RIGHT(TRIM('MSR RAW'!C587),6)="Total:"),LEFT(TRIM('MSR RAW'!C587),SEARCH(" - ",TRIM('MSR RAW'!C587))-1),"")</f>
        <v/>
      </c>
      <c r="F587" t="str">
        <f>IF(E587="","",TRIM(MID(TRIM('MSR RAW'!C587),SEARCH(" - ",TRIM('MSR RAW'!C587))+3,LEN(TRIM('MSR RAW'!C587))-SEARCH(" - ",TRIM('MSR RAW'!C587))-9)))</f>
        <v/>
      </c>
      <c r="G587" t="str">
        <f>IF(E587="","",IFERROR(VLOOKUP(E587,'CATEGORY MAP'!$A$2:$B$20,2,FALSE()),"REVIEW"))</f>
        <v/>
      </c>
      <c r="H587" t="str">
        <f>IF(E587="","",IFERROR(VALUE(SUBSTITUTE('MSR RAW'!P587,",","")),0))</f>
        <v/>
      </c>
      <c r="I587" t="str">
        <f>IF(E587="","",IFERROR(VALUE(SUBSTITUTE('MSR RAW'!S587,",","")),0))</f>
        <v/>
      </c>
    </row>
    <row r="588" spans="1:9" ht="68.650000000000006" customHeight="1" x14ac:dyDescent="0.2">
      <c r="A588">
        <v>588</v>
      </c>
      <c r="B58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88" t="str">
        <f>IF(LEFT(TRIM('MSR RAW'!A588),11)="Department:",TRIM('MSR RAW'!A588),C587)</f>
        <v>Department: 36637 - SPECIALTY CONCESSIONS (VENDING)</v>
      </c>
      <c r="D588" t="str">
        <f>IF(LEFT(TRIM('MSR RAW'!B588),9)="Location:",TRIM(MID('MSR RAW'!B588,10,999)),D587)</f>
        <v>FB 155 - SUB ISLAND NOODLES</v>
      </c>
      <c r="E588" t="str">
        <f>IF(AND(ISNUMBER(SEARCH(" - ",TRIM('MSR RAW'!C588))),RIGHT(TRIM('MSR RAW'!C588),6)="Total:"),LEFT(TRIM('MSR RAW'!C588),SEARCH(" - ",TRIM('MSR RAW'!C588))-1),"")</f>
        <v/>
      </c>
      <c r="F588" t="str">
        <f>IF(E588="","",TRIM(MID(TRIM('MSR RAW'!C588),SEARCH(" - ",TRIM('MSR RAW'!C588))+3,LEN(TRIM('MSR RAW'!C588))-SEARCH(" - ",TRIM('MSR RAW'!C588))-9)))</f>
        <v/>
      </c>
      <c r="G588" t="str">
        <f>IF(E588="","",IFERROR(VLOOKUP(E588,'CATEGORY MAP'!$A$2:$B$20,2,FALSE()),"REVIEW"))</f>
        <v/>
      </c>
      <c r="H588" t="str">
        <f>IF(E588="","",IFERROR(VALUE(SUBSTITUTE('MSR RAW'!P588,",","")),0))</f>
        <v/>
      </c>
      <c r="I588" t="str">
        <f>IF(E588="","",IFERROR(VALUE(SUBSTITUTE('MSR RAW'!S588,",","")),0))</f>
        <v/>
      </c>
    </row>
    <row r="589" spans="1:9" ht="68.650000000000006" customHeight="1" x14ac:dyDescent="0.2">
      <c r="A589">
        <v>589</v>
      </c>
      <c r="B58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89" t="str">
        <f>IF(LEFT(TRIM('MSR RAW'!A589),11)="Department:",TRIM('MSR RAW'!A589),C588)</f>
        <v>Department: 36637 - SPECIALTY CONCESSIONS (VENDING)</v>
      </c>
      <c r="D589" t="str">
        <f>IF(LEFT(TRIM('MSR RAW'!B589),9)="Location:",TRIM(MID('MSR RAW'!B589,10,999)),D588)</f>
        <v>FB 155 - SUB ISLAND NOODLES</v>
      </c>
      <c r="E589" t="str">
        <f>IF(AND(ISNUMBER(SEARCH(" - ",TRIM('MSR RAW'!C589))),RIGHT(TRIM('MSR RAW'!C589),6)="Total:"),LEFT(TRIM('MSR RAW'!C589),SEARCH(" - ",TRIM('MSR RAW'!C589))-1),"")</f>
        <v/>
      </c>
      <c r="F589" t="str">
        <f>IF(E589="","",TRIM(MID(TRIM('MSR RAW'!C589),SEARCH(" - ",TRIM('MSR RAW'!C589))+3,LEN(TRIM('MSR RAW'!C589))-SEARCH(" - ",TRIM('MSR RAW'!C589))-9)))</f>
        <v/>
      </c>
      <c r="G589" t="str">
        <f>IF(E589="","",IFERROR(VLOOKUP(E589,'CATEGORY MAP'!$A$2:$B$20,2,FALSE()),"REVIEW"))</f>
        <v/>
      </c>
      <c r="H589" t="str">
        <f>IF(E589="","",IFERROR(VALUE(SUBSTITUTE('MSR RAW'!P589,",","")),0))</f>
        <v/>
      </c>
      <c r="I589" t="str">
        <f>IF(E589="","",IFERROR(VALUE(SUBSTITUTE('MSR RAW'!S589,",","")),0))</f>
        <v/>
      </c>
    </row>
    <row r="590" spans="1:9" ht="68.650000000000006" customHeight="1" x14ac:dyDescent="0.2">
      <c r="A590">
        <v>590</v>
      </c>
      <c r="B59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90" t="str">
        <f>IF(LEFT(TRIM('MSR RAW'!A590),11)="Department:",TRIM('MSR RAW'!A590),C589)</f>
        <v>Department: 36637 - SPECIALTY CONCESSIONS (VENDING)</v>
      </c>
      <c r="D590" t="str">
        <f>IF(LEFT(TRIM('MSR RAW'!B590),9)="Location:",TRIM(MID('MSR RAW'!B590,10,999)),D589)</f>
        <v>FB 155 - SUB ISLAND NOODLES</v>
      </c>
      <c r="E590" t="str">
        <f>IF(AND(ISNUMBER(SEARCH(" - ",TRIM('MSR RAW'!C590))),RIGHT(TRIM('MSR RAW'!C590),6)="Total:"),LEFT(TRIM('MSR RAW'!C590),SEARCH(" - ",TRIM('MSR RAW'!C590))-1),"")</f>
        <v/>
      </c>
      <c r="F590" t="str">
        <f>IF(E590="","",TRIM(MID(TRIM('MSR RAW'!C590),SEARCH(" - ",TRIM('MSR RAW'!C590))+3,LEN(TRIM('MSR RAW'!C590))-SEARCH(" - ",TRIM('MSR RAW'!C590))-9)))</f>
        <v/>
      </c>
      <c r="G590" t="str">
        <f>IF(E590="","",IFERROR(VLOOKUP(E590,'CATEGORY MAP'!$A$2:$B$20,2,FALSE()),"REVIEW"))</f>
        <v/>
      </c>
      <c r="H590" t="str">
        <f>IF(E590="","",IFERROR(VALUE(SUBSTITUTE('MSR RAW'!P590,",","")),0))</f>
        <v/>
      </c>
      <c r="I590" t="str">
        <f>IF(E590="","",IFERROR(VALUE(SUBSTITUTE('MSR RAW'!S590,",","")),0))</f>
        <v/>
      </c>
    </row>
    <row r="591" spans="1:9" ht="68.650000000000006" customHeight="1" x14ac:dyDescent="0.2">
      <c r="A591">
        <v>591</v>
      </c>
      <c r="B59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91" t="str">
        <f>IF(LEFT(TRIM('MSR RAW'!A591),11)="Department:",TRIM('MSR RAW'!A591),C590)</f>
        <v>Department: 36637 - SPECIALTY CONCESSIONS (VENDING)</v>
      </c>
      <c r="D591" t="str">
        <f>IF(LEFT(TRIM('MSR RAW'!B591),9)="Location:",TRIM(MID('MSR RAW'!B591,10,999)),D590)</f>
        <v>FB 155 - SUB ISLAND NOODLES</v>
      </c>
      <c r="E591" t="str">
        <f>IF(AND(ISNUMBER(SEARCH(" - ",TRIM('MSR RAW'!C591))),RIGHT(TRIM('MSR RAW'!C591),6)="Total:"),LEFT(TRIM('MSR RAW'!C591),SEARCH(" - ",TRIM('MSR RAW'!C591))-1),"")</f>
        <v/>
      </c>
      <c r="F591" t="str">
        <f>IF(E591="","",TRIM(MID(TRIM('MSR RAW'!C591),SEARCH(" - ",TRIM('MSR RAW'!C591))+3,LEN(TRIM('MSR RAW'!C591))-SEARCH(" - ",TRIM('MSR RAW'!C591))-9)))</f>
        <v/>
      </c>
      <c r="G591" t="str">
        <f>IF(E591="","",IFERROR(VLOOKUP(E591,'CATEGORY MAP'!$A$2:$B$20,2,FALSE()),"REVIEW"))</f>
        <v/>
      </c>
      <c r="H591" t="str">
        <f>IF(E591="","",IFERROR(VALUE(SUBSTITUTE('MSR RAW'!P591,",","")),0))</f>
        <v/>
      </c>
      <c r="I591" t="str">
        <f>IF(E591="","",IFERROR(VALUE(SUBSTITUTE('MSR RAW'!S591,",","")),0))</f>
        <v/>
      </c>
    </row>
    <row r="592" spans="1:9" ht="68.650000000000006" customHeight="1" x14ac:dyDescent="0.2">
      <c r="A592">
        <v>592</v>
      </c>
      <c r="B59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92" t="str">
        <f>IF(LEFT(TRIM('MSR RAW'!A592),11)="Department:",TRIM('MSR RAW'!A592),C591)</f>
        <v>Department: 36637 - SPECIALTY CONCESSIONS (VENDING)</v>
      </c>
      <c r="D592" t="str">
        <f>IF(LEFT(TRIM('MSR RAW'!B592),9)="Location:",TRIM(MID('MSR RAW'!B592,10,999)),D591)</f>
        <v>FB 155 - SUB ISLAND NOODLES</v>
      </c>
      <c r="E592" t="str">
        <f>IF(AND(ISNUMBER(SEARCH(" - ",TRIM('MSR RAW'!C592))),RIGHT(TRIM('MSR RAW'!C592),6)="Total:"),LEFT(TRIM('MSR RAW'!C592),SEARCH(" - ",TRIM('MSR RAW'!C592))-1),"")</f>
        <v/>
      </c>
      <c r="F592" t="str">
        <f>IF(E592="","",TRIM(MID(TRIM('MSR RAW'!C592),SEARCH(" - ",TRIM('MSR RAW'!C592))+3,LEN(TRIM('MSR RAW'!C592))-SEARCH(" - ",TRIM('MSR RAW'!C592))-9)))</f>
        <v/>
      </c>
      <c r="G592" t="str">
        <f>IF(E592="","",IFERROR(VLOOKUP(E592,'CATEGORY MAP'!$A$2:$B$20,2,FALSE()),"REVIEW"))</f>
        <v/>
      </c>
      <c r="H592" t="str">
        <f>IF(E592="","",IFERROR(VALUE(SUBSTITUTE('MSR RAW'!P592,",","")),0))</f>
        <v/>
      </c>
      <c r="I592" t="str">
        <f>IF(E592="","",IFERROR(VALUE(SUBSTITUTE('MSR RAW'!S592,",","")),0))</f>
        <v/>
      </c>
    </row>
    <row r="593" spans="1:9" ht="68.650000000000006" customHeight="1" x14ac:dyDescent="0.2">
      <c r="A593">
        <v>593</v>
      </c>
      <c r="B59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93" t="str">
        <f>IF(LEFT(TRIM('MSR RAW'!A593),11)="Department:",TRIM('MSR RAW'!A593),C592)</f>
        <v>Department: 36637 - SPECIALTY CONCESSIONS (VENDING)</v>
      </c>
      <c r="D593" t="str">
        <f>IF(LEFT(TRIM('MSR RAW'!B593),9)="Location:",TRIM(MID('MSR RAW'!B593,10,999)),D592)</f>
        <v>FB 155 - SUB ISLAND NOODLES</v>
      </c>
      <c r="E593" t="str">
        <f>IF(AND(ISNUMBER(SEARCH(" - ",TRIM('MSR RAW'!C593))),RIGHT(TRIM('MSR RAW'!C593),6)="Total:"),LEFT(TRIM('MSR RAW'!C593),SEARCH(" - ",TRIM('MSR RAW'!C593))-1),"")</f>
        <v/>
      </c>
      <c r="F593" t="str">
        <f>IF(E593="","",TRIM(MID(TRIM('MSR RAW'!C593),SEARCH(" - ",TRIM('MSR RAW'!C593))+3,LEN(TRIM('MSR RAW'!C593))-SEARCH(" - ",TRIM('MSR RAW'!C593))-9)))</f>
        <v/>
      </c>
      <c r="G593" t="str">
        <f>IF(E593="","",IFERROR(VLOOKUP(E593,'CATEGORY MAP'!$A$2:$B$20,2,FALSE()),"REVIEW"))</f>
        <v/>
      </c>
      <c r="H593" t="str">
        <f>IF(E593="","",IFERROR(VALUE(SUBSTITUTE('MSR RAW'!P593,",","")),0))</f>
        <v/>
      </c>
      <c r="I593" t="str">
        <f>IF(E593="","",IFERROR(VALUE(SUBSTITUTE('MSR RAW'!S593,",","")),0))</f>
        <v/>
      </c>
    </row>
    <row r="594" spans="1:9" ht="68.650000000000006" customHeight="1" x14ac:dyDescent="0.2">
      <c r="A594">
        <v>594</v>
      </c>
      <c r="B59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94" t="str">
        <f>IF(LEFT(TRIM('MSR RAW'!A594),11)="Department:",TRIM('MSR RAW'!A594),C593)</f>
        <v>Department: 36637 - SPECIALTY CONCESSIONS (VENDING)</v>
      </c>
      <c r="D594" t="str">
        <f>IF(LEFT(TRIM('MSR RAW'!B594),9)="Location:",TRIM(MID('MSR RAW'!B594,10,999)),D593)</f>
        <v>FB 155 - SUB ISLAND NOODLES</v>
      </c>
      <c r="E594" t="str">
        <f>IF(AND(ISNUMBER(SEARCH(" - ",TRIM('MSR RAW'!C594))),RIGHT(TRIM('MSR RAW'!C594),6)="Total:"),LEFT(TRIM('MSR RAW'!C594),SEARCH(" - ",TRIM('MSR RAW'!C594))-1),"")</f>
        <v/>
      </c>
      <c r="F594" t="str">
        <f>IF(E594="","",TRIM(MID(TRIM('MSR RAW'!C594),SEARCH(" - ",TRIM('MSR RAW'!C594))+3,LEN(TRIM('MSR RAW'!C594))-SEARCH(" - ",TRIM('MSR RAW'!C594))-9)))</f>
        <v/>
      </c>
      <c r="G594" t="str">
        <f>IF(E594="","",IFERROR(VLOOKUP(E594,'CATEGORY MAP'!$A$2:$B$20,2,FALSE()),"REVIEW"))</f>
        <v/>
      </c>
      <c r="H594" t="str">
        <f>IF(E594="","",IFERROR(VALUE(SUBSTITUTE('MSR RAW'!P594,",","")),0))</f>
        <v/>
      </c>
      <c r="I594" t="str">
        <f>IF(E594="","",IFERROR(VALUE(SUBSTITUTE('MSR RAW'!S594,",","")),0))</f>
        <v/>
      </c>
    </row>
    <row r="595" spans="1:9" ht="68.650000000000006" customHeight="1" x14ac:dyDescent="0.2">
      <c r="A595">
        <v>595</v>
      </c>
      <c r="B59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95" t="str">
        <f>IF(LEFT(TRIM('MSR RAW'!A595),11)="Department:",TRIM('MSR RAW'!A595),C594)</f>
        <v>Department: 36637 - SPECIALTY CONCESSIONS (VENDING)</v>
      </c>
      <c r="D595" t="str">
        <f>IF(LEFT(TRIM('MSR RAW'!B595),9)="Location:",TRIM(MID('MSR RAW'!B595,10,999)),D594)</f>
        <v>FB 155 - SUB ISLAND NOODLES</v>
      </c>
      <c r="E595" t="str">
        <f>IF(AND(ISNUMBER(SEARCH(" - ",TRIM('MSR RAW'!C595))),RIGHT(TRIM('MSR RAW'!C595),6)="Total:"),LEFT(TRIM('MSR RAW'!C595),SEARCH(" - ",TRIM('MSR RAW'!C595))-1),"")</f>
        <v/>
      </c>
      <c r="F595" t="str">
        <f>IF(E595="","",TRIM(MID(TRIM('MSR RAW'!C595),SEARCH(" - ",TRIM('MSR RAW'!C595))+3,LEN(TRIM('MSR RAW'!C595))-SEARCH(" - ",TRIM('MSR RAW'!C595))-9)))</f>
        <v/>
      </c>
      <c r="G595" t="str">
        <f>IF(E595="","",IFERROR(VLOOKUP(E595,'CATEGORY MAP'!$A$2:$B$20,2,FALSE()),"REVIEW"))</f>
        <v/>
      </c>
      <c r="H595" t="str">
        <f>IF(E595="","",IFERROR(VALUE(SUBSTITUTE('MSR RAW'!P595,",","")),0))</f>
        <v/>
      </c>
      <c r="I595" t="str">
        <f>IF(E595="","",IFERROR(VALUE(SUBSTITUTE('MSR RAW'!S595,",","")),0))</f>
        <v/>
      </c>
    </row>
    <row r="596" spans="1:9" ht="68.650000000000006" customHeight="1" x14ac:dyDescent="0.2">
      <c r="A596">
        <v>596</v>
      </c>
      <c r="B59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96" t="str">
        <f>IF(LEFT(TRIM('MSR RAW'!A596),11)="Department:",TRIM('MSR RAW'!A596),C595)</f>
        <v>Department: 36637 - SPECIALTY CONCESSIONS (VENDING)</v>
      </c>
      <c r="D596" t="str">
        <f>IF(LEFT(TRIM('MSR RAW'!B596),9)="Location:",TRIM(MID('MSR RAW'!B596,10,999)),D595)</f>
        <v>FB 155 - SUB ISLAND NOODLES</v>
      </c>
      <c r="E596" t="str">
        <f>IF(AND(ISNUMBER(SEARCH(" - ",TRIM('MSR RAW'!C596))),RIGHT(TRIM('MSR RAW'!C596),6)="Total:"),LEFT(TRIM('MSR RAW'!C596),SEARCH(" - ",TRIM('MSR RAW'!C596))-1),"")</f>
        <v/>
      </c>
      <c r="F596" t="str">
        <f>IF(E596="","",TRIM(MID(TRIM('MSR RAW'!C596),SEARCH(" - ",TRIM('MSR RAW'!C596))+3,LEN(TRIM('MSR RAW'!C596))-SEARCH(" - ",TRIM('MSR RAW'!C596))-9)))</f>
        <v/>
      </c>
      <c r="G596" t="str">
        <f>IF(E596="","",IFERROR(VLOOKUP(E596,'CATEGORY MAP'!$A$2:$B$20,2,FALSE()),"REVIEW"))</f>
        <v/>
      </c>
      <c r="H596" t="str">
        <f>IF(E596="","",IFERROR(VALUE(SUBSTITUTE('MSR RAW'!P596,",","")),0))</f>
        <v/>
      </c>
      <c r="I596" t="str">
        <f>IF(E596="","",IFERROR(VALUE(SUBSTITUTE('MSR RAW'!S596,",","")),0))</f>
        <v/>
      </c>
    </row>
    <row r="597" spans="1:9" ht="68.650000000000006" customHeight="1" x14ac:dyDescent="0.2">
      <c r="A597">
        <v>597</v>
      </c>
      <c r="B59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97" t="str">
        <f>IF(LEFT(TRIM('MSR RAW'!A597),11)="Department:",TRIM('MSR RAW'!A597),C596)</f>
        <v>Department: 36637 - SPECIALTY CONCESSIONS (VENDING)</v>
      </c>
      <c r="D597" t="str">
        <f>IF(LEFT(TRIM('MSR RAW'!B597),9)="Location:",TRIM(MID('MSR RAW'!B597,10,999)),D596)</f>
        <v>FB 155 - SUB ISLAND NOODLES</v>
      </c>
      <c r="E597" t="str">
        <f>IF(AND(ISNUMBER(SEARCH(" - ",TRIM('MSR RAW'!C597))),RIGHT(TRIM('MSR RAW'!C597),6)="Total:"),LEFT(TRIM('MSR RAW'!C597),SEARCH(" - ",TRIM('MSR RAW'!C597))-1),"")</f>
        <v/>
      </c>
      <c r="F597" t="str">
        <f>IF(E597="","",TRIM(MID(TRIM('MSR RAW'!C597),SEARCH(" - ",TRIM('MSR RAW'!C597))+3,LEN(TRIM('MSR RAW'!C597))-SEARCH(" - ",TRIM('MSR RAW'!C597))-9)))</f>
        <v/>
      </c>
      <c r="G597" t="str">
        <f>IF(E597="","",IFERROR(VLOOKUP(E597,'CATEGORY MAP'!$A$2:$B$20,2,FALSE()),"REVIEW"))</f>
        <v/>
      </c>
      <c r="H597" t="str">
        <f>IF(E597="","",IFERROR(VALUE(SUBSTITUTE('MSR RAW'!P597,",","")),0))</f>
        <v/>
      </c>
      <c r="I597" t="str">
        <f>IF(E597="","",IFERROR(VALUE(SUBSTITUTE('MSR RAW'!S597,",","")),0))</f>
        <v/>
      </c>
    </row>
    <row r="598" spans="1:9" ht="68.650000000000006" customHeight="1" x14ac:dyDescent="0.2">
      <c r="A598">
        <v>598</v>
      </c>
      <c r="B59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98" t="str">
        <f>IF(LEFT(TRIM('MSR RAW'!A598),11)="Department:",TRIM('MSR RAW'!A598),C597)</f>
        <v>Department: 36637 - SPECIALTY CONCESSIONS (VENDING)</v>
      </c>
      <c r="D598" t="str">
        <f>IF(LEFT(TRIM('MSR RAW'!B598),9)="Location:",TRIM(MID('MSR RAW'!B598,10,999)),D597)</f>
        <v>FB 155 - SUB ISLAND NOODLES</v>
      </c>
      <c r="E598" t="str">
        <f>IF(AND(ISNUMBER(SEARCH(" - ",TRIM('MSR RAW'!C598))),RIGHT(TRIM('MSR RAW'!C598),6)="Total:"),LEFT(TRIM('MSR RAW'!C598),SEARCH(" - ",TRIM('MSR RAW'!C598))-1),"")</f>
        <v/>
      </c>
      <c r="F598" t="str">
        <f>IF(E598="","",TRIM(MID(TRIM('MSR RAW'!C598),SEARCH(" - ",TRIM('MSR RAW'!C598))+3,LEN(TRIM('MSR RAW'!C598))-SEARCH(" - ",TRIM('MSR RAW'!C598))-9)))</f>
        <v/>
      </c>
      <c r="G598" t="str">
        <f>IF(E598="","",IFERROR(VLOOKUP(E598,'CATEGORY MAP'!$A$2:$B$20,2,FALSE()),"REVIEW"))</f>
        <v/>
      </c>
      <c r="H598" t="str">
        <f>IF(E598="","",IFERROR(VALUE(SUBSTITUTE('MSR RAW'!P598,",","")),0))</f>
        <v/>
      </c>
      <c r="I598" t="str">
        <f>IF(E598="","",IFERROR(VALUE(SUBSTITUTE('MSR RAW'!S598,",","")),0))</f>
        <v/>
      </c>
    </row>
    <row r="599" spans="1:9" ht="68.650000000000006" customHeight="1" x14ac:dyDescent="0.2">
      <c r="A599">
        <v>599</v>
      </c>
      <c r="B59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99" t="str">
        <f>IF(LEFT(TRIM('MSR RAW'!A599),11)="Department:",TRIM('MSR RAW'!A599),C598)</f>
        <v>Department: 36637 - SPECIALTY CONCESSIONS (VENDING)</v>
      </c>
      <c r="D599" t="str">
        <f>IF(LEFT(TRIM('MSR RAW'!B599),9)="Location:",TRIM(MID('MSR RAW'!B599,10,999)),D598)</f>
        <v>FB 155 - SUB ISLAND NOODLES</v>
      </c>
      <c r="E599" t="str">
        <f>IF(AND(ISNUMBER(SEARCH(" - ",TRIM('MSR RAW'!C599))),RIGHT(TRIM('MSR RAW'!C599),6)="Total:"),LEFT(TRIM('MSR RAW'!C599),SEARCH(" - ",TRIM('MSR RAW'!C599))-1),"")</f>
        <v/>
      </c>
      <c r="F599" t="str">
        <f>IF(E599="","",TRIM(MID(TRIM('MSR RAW'!C599),SEARCH(" - ",TRIM('MSR RAW'!C599))+3,LEN(TRIM('MSR RAW'!C599))-SEARCH(" - ",TRIM('MSR RAW'!C599))-9)))</f>
        <v/>
      </c>
      <c r="G599" t="str">
        <f>IF(E599="","",IFERROR(VLOOKUP(E599,'CATEGORY MAP'!$A$2:$B$20,2,FALSE()),"REVIEW"))</f>
        <v/>
      </c>
      <c r="H599" t="str">
        <f>IF(E599="","",IFERROR(VALUE(SUBSTITUTE('MSR RAW'!P599,",","")),0))</f>
        <v/>
      </c>
      <c r="I599" t="str">
        <f>IF(E599="","",IFERROR(VALUE(SUBSTITUTE('MSR RAW'!S599,",","")),0))</f>
        <v/>
      </c>
    </row>
    <row r="600" spans="1:9" ht="68.650000000000006" customHeight="1" x14ac:dyDescent="0.2">
      <c r="A600">
        <v>600</v>
      </c>
      <c r="B60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00" t="str">
        <f>IF(LEFT(TRIM('MSR RAW'!A600),11)="Department:",TRIM('MSR RAW'!A600),C599)</f>
        <v>Department: 36637 - SPECIALTY CONCESSIONS (VENDING)</v>
      </c>
      <c r="D600" t="str">
        <f>IF(LEFT(TRIM('MSR RAW'!B600),9)="Location:",TRIM(MID('MSR RAW'!B600,10,999)),D599)</f>
        <v>FB 155 - SUB ISLAND NOODLES</v>
      </c>
      <c r="E600" t="str">
        <f>IF(AND(ISNUMBER(SEARCH(" - ",TRIM('MSR RAW'!C600))),RIGHT(TRIM('MSR RAW'!C600),6)="Total:"),LEFT(TRIM('MSR RAW'!C600),SEARCH(" - ",TRIM('MSR RAW'!C600))-1),"")</f>
        <v/>
      </c>
      <c r="F600" t="str">
        <f>IF(E600="","",TRIM(MID(TRIM('MSR RAW'!C600),SEARCH(" - ",TRIM('MSR RAW'!C600))+3,LEN(TRIM('MSR RAW'!C600))-SEARCH(" - ",TRIM('MSR RAW'!C600))-9)))</f>
        <v/>
      </c>
      <c r="G600" t="str">
        <f>IF(E600="","",IFERROR(VLOOKUP(E600,'CATEGORY MAP'!$A$2:$B$20,2,FALSE()),"REVIEW"))</f>
        <v/>
      </c>
      <c r="H600" t="str">
        <f>IF(E600="","",IFERROR(VALUE(SUBSTITUTE('MSR RAW'!P600,",","")),0))</f>
        <v/>
      </c>
      <c r="I600" t="str">
        <f>IF(E600="","",IFERROR(VALUE(SUBSTITUTE('MSR RAW'!S600,",","")),0))</f>
        <v/>
      </c>
    </row>
    <row r="601" spans="1:9" ht="68.650000000000006" customHeight="1" x14ac:dyDescent="0.2">
      <c r="A601">
        <v>601</v>
      </c>
      <c r="B60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01" t="str">
        <f>IF(LEFT(TRIM('MSR RAW'!A601),11)="Department:",TRIM('MSR RAW'!A601),C600)</f>
        <v>Department: 36637 - SPECIALTY CONCESSIONS (VENDING)</v>
      </c>
      <c r="D601" t="str">
        <f>IF(LEFT(TRIM('MSR RAW'!B601),9)="Location:",TRIM(MID('MSR RAW'!B601,10,999)),D600)</f>
        <v>FB 155 - SUB ISLAND NOODLES</v>
      </c>
      <c r="E601" t="str">
        <f>IF(AND(ISNUMBER(SEARCH(" - ",TRIM('MSR RAW'!C601))),RIGHT(TRIM('MSR RAW'!C601),6)="Total:"),LEFT(TRIM('MSR RAW'!C601),SEARCH(" - ",TRIM('MSR RAW'!C601))-1),"")</f>
        <v/>
      </c>
      <c r="F601" t="str">
        <f>IF(E601="","",TRIM(MID(TRIM('MSR RAW'!C601),SEARCH(" - ",TRIM('MSR RAW'!C601))+3,LEN(TRIM('MSR RAW'!C601))-SEARCH(" - ",TRIM('MSR RAW'!C601))-9)))</f>
        <v/>
      </c>
      <c r="G601" t="str">
        <f>IF(E601="","",IFERROR(VLOOKUP(E601,'CATEGORY MAP'!$A$2:$B$20,2,FALSE()),"REVIEW"))</f>
        <v/>
      </c>
      <c r="H601" t="str">
        <f>IF(E601="","",IFERROR(VALUE(SUBSTITUTE('MSR RAW'!P601,",","")),0))</f>
        <v/>
      </c>
      <c r="I601" t="str">
        <f>IF(E601="","",IFERROR(VALUE(SUBSTITUTE('MSR RAW'!S601,",","")),0))</f>
        <v/>
      </c>
    </row>
    <row r="602" spans="1:9" ht="68.650000000000006" customHeight="1" x14ac:dyDescent="0.2">
      <c r="A602">
        <v>602</v>
      </c>
      <c r="B60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02" t="str">
        <f>IF(LEFT(TRIM('MSR RAW'!A602),11)="Department:",TRIM('MSR RAW'!A602),C601)</f>
        <v>Department: 36637 - SPECIALTY CONCESSIONS (VENDING)</v>
      </c>
      <c r="D602" t="str">
        <f>IF(LEFT(TRIM('MSR RAW'!B602),9)="Location:",TRIM(MID('MSR RAW'!B602,10,999)),D601)</f>
        <v>FB 155 - SUB ISLAND NOODLES</v>
      </c>
      <c r="E602" t="str">
        <f>IF(AND(ISNUMBER(SEARCH(" - ",TRIM('MSR RAW'!C602))),RIGHT(TRIM('MSR RAW'!C602),6)="Total:"),LEFT(TRIM('MSR RAW'!C602),SEARCH(" - ",TRIM('MSR RAW'!C602))-1),"")</f>
        <v/>
      </c>
      <c r="F602" t="str">
        <f>IF(E602="","",TRIM(MID(TRIM('MSR RAW'!C602),SEARCH(" - ",TRIM('MSR RAW'!C602))+3,LEN(TRIM('MSR RAW'!C602))-SEARCH(" - ",TRIM('MSR RAW'!C602))-9)))</f>
        <v/>
      </c>
      <c r="G602" t="str">
        <f>IF(E602="","",IFERROR(VLOOKUP(E602,'CATEGORY MAP'!$A$2:$B$20,2,FALSE()),"REVIEW"))</f>
        <v/>
      </c>
      <c r="H602" t="str">
        <f>IF(E602="","",IFERROR(VALUE(SUBSTITUTE('MSR RAW'!P602,",","")),0))</f>
        <v/>
      </c>
      <c r="I602" t="str">
        <f>IF(E602="","",IFERROR(VALUE(SUBSTITUTE('MSR RAW'!S602,",","")),0))</f>
        <v/>
      </c>
    </row>
    <row r="603" spans="1:9" ht="68.650000000000006" customHeight="1" x14ac:dyDescent="0.2">
      <c r="A603">
        <v>603</v>
      </c>
      <c r="B60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03" t="str">
        <f>IF(LEFT(TRIM('MSR RAW'!A603),11)="Department:",TRIM('MSR RAW'!A603),C602)</f>
        <v>Department: 36637 - SPECIALTY CONCESSIONS (VENDING)</v>
      </c>
      <c r="D603" t="str">
        <f>IF(LEFT(TRIM('MSR RAW'!B603),9)="Location:",TRIM(MID('MSR RAW'!B603,10,999)),D602)</f>
        <v>FB 155 - SUB ISLAND NOODLES</v>
      </c>
      <c r="E603" t="str">
        <f>IF(AND(ISNUMBER(SEARCH(" - ",TRIM('MSR RAW'!C603))),RIGHT(TRIM('MSR RAW'!C603),6)="Total:"),LEFT(TRIM('MSR RAW'!C603),SEARCH(" - ",TRIM('MSR RAW'!C603))-1),"")</f>
        <v/>
      </c>
      <c r="F603" t="str">
        <f>IF(E603="","",TRIM(MID(TRIM('MSR RAW'!C603),SEARCH(" - ",TRIM('MSR RAW'!C603))+3,LEN(TRIM('MSR RAW'!C603))-SEARCH(" - ",TRIM('MSR RAW'!C603))-9)))</f>
        <v/>
      </c>
      <c r="G603" t="str">
        <f>IF(E603="","",IFERROR(VLOOKUP(E603,'CATEGORY MAP'!$A$2:$B$20,2,FALSE()),"REVIEW"))</f>
        <v/>
      </c>
      <c r="H603" t="str">
        <f>IF(E603="","",IFERROR(VALUE(SUBSTITUTE('MSR RAW'!P603,",","")),0))</f>
        <v/>
      </c>
      <c r="I603" t="str">
        <f>IF(E603="","",IFERROR(VALUE(SUBSTITUTE('MSR RAW'!S603,",","")),0))</f>
        <v/>
      </c>
    </row>
    <row r="604" spans="1:9" ht="68.650000000000006" customHeight="1" x14ac:dyDescent="0.2">
      <c r="A604">
        <v>604</v>
      </c>
      <c r="B60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04" t="str">
        <f>IF(LEFT(TRIM('MSR RAW'!A604),11)="Department:",TRIM('MSR RAW'!A604),C603)</f>
        <v>Department: 36637 - SPECIALTY CONCESSIONS (VENDING)</v>
      </c>
      <c r="D604" t="str">
        <f>IF(LEFT(TRIM('MSR RAW'!B604),9)="Location:",TRIM(MID('MSR RAW'!B604,10,999)),D603)</f>
        <v>FB 155 - SUB ISLAND NOODLES</v>
      </c>
      <c r="E604" t="str">
        <f>IF(AND(ISNUMBER(SEARCH(" - ",TRIM('MSR RAW'!C604))),RIGHT(TRIM('MSR RAW'!C604),6)="Total:"),LEFT(TRIM('MSR RAW'!C604),SEARCH(" - ",TRIM('MSR RAW'!C604))-1),"")</f>
        <v/>
      </c>
      <c r="F604" t="str">
        <f>IF(E604="","",TRIM(MID(TRIM('MSR RAW'!C604),SEARCH(" - ",TRIM('MSR RAW'!C604))+3,LEN(TRIM('MSR RAW'!C604))-SEARCH(" - ",TRIM('MSR RAW'!C604))-9)))</f>
        <v/>
      </c>
      <c r="G604" t="str">
        <f>IF(E604="","",IFERROR(VLOOKUP(E604,'CATEGORY MAP'!$A$2:$B$20,2,FALSE()),"REVIEW"))</f>
        <v/>
      </c>
      <c r="H604" t="str">
        <f>IF(E604="","",IFERROR(VALUE(SUBSTITUTE('MSR RAW'!P604,",","")),0))</f>
        <v/>
      </c>
      <c r="I604" t="str">
        <f>IF(E604="","",IFERROR(VALUE(SUBSTITUTE('MSR RAW'!S604,",","")),0))</f>
        <v/>
      </c>
    </row>
    <row r="605" spans="1:9" ht="68.650000000000006" customHeight="1" x14ac:dyDescent="0.2">
      <c r="A605">
        <v>605</v>
      </c>
      <c r="B60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05" t="str">
        <f>IF(LEFT(TRIM('MSR RAW'!A605),11)="Department:",TRIM('MSR RAW'!A605),C604)</f>
        <v>Department: 36637 - SPECIALTY CONCESSIONS (VENDING)</v>
      </c>
      <c r="D605" t="str">
        <f>IF(LEFT(TRIM('MSR RAW'!B605),9)="Location:",TRIM(MID('MSR RAW'!B605,10,999)),D604)</f>
        <v>FB 155 - SUB ISLAND NOODLES</v>
      </c>
      <c r="E605" t="str">
        <f>IF(AND(ISNUMBER(SEARCH(" - ",TRIM('MSR RAW'!C605))),RIGHT(TRIM('MSR RAW'!C605),6)="Total:"),LEFT(TRIM('MSR RAW'!C605),SEARCH(" - ",TRIM('MSR RAW'!C605))-1),"")</f>
        <v/>
      </c>
      <c r="F605" t="str">
        <f>IF(E605="","",TRIM(MID(TRIM('MSR RAW'!C605),SEARCH(" - ",TRIM('MSR RAW'!C605))+3,LEN(TRIM('MSR RAW'!C605))-SEARCH(" - ",TRIM('MSR RAW'!C605))-9)))</f>
        <v/>
      </c>
      <c r="G605" t="str">
        <f>IF(E605="","",IFERROR(VLOOKUP(E605,'CATEGORY MAP'!$A$2:$B$20,2,FALSE()),"REVIEW"))</f>
        <v/>
      </c>
      <c r="H605" t="str">
        <f>IF(E605="","",IFERROR(VALUE(SUBSTITUTE('MSR RAW'!P605,",","")),0))</f>
        <v/>
      </c>
      <c r="I605" t="str">
        <f>IF(E605="","",IFERROR(VALUE(SUBSTITUTE('MSR RAW'!S605,",","")),0))</f>
        <v/>
      </c>
    </row>
    <row r="606" spans="1:9" ht="68.650000000000006" customHeight="1" x14ac:dyDescent="0.2">
      <c r="A606">
        <v>606</v>
      </c>
      <c r="B60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06" t="str">
        <f>IF(LEFT(TRIM('MSR RAW'!A606),11)="Department:",TRIM('MSR RAW'!A606),C605)</f>
        <v>Department: 36637 - SPECIALTY CONCESSIONS (VENDING)</v>
      </c>
      <c r="D606" t="str">
        <f>IF(LEFT(TRIM('MSR RAW'!B606),9)="Location:",TRIM(MID('MSR RAW'!B606,10,999)),D605)</f>
        <v>FB 155 - SUB ISLAND NOODLES</v>
      </c>
      <c r="E606" t="str">
        <f>IF(AND(ISNUMBER(SEARCH(" - ",TRIM('MSR RAW'!C606))),RIGHT(TRIM('MSR RAW'!C606),6)="Total:"),LEFT(TRIM('MSR RAW'!C606),SEARCH(" - ",TRIM('MSR RAW'!C606))-1),"")</f>
        <v/>
      </c>
      <c r="F606" t="str">
        <f>IF(E606="","",TRIM(MID(TRIM('MSR RAW'!C606),SEARCH(" - ",TRIM('MSR RAW'!C606))+3,LEN(TRIM('MSR RAW'!C606))-SEARCH(" - ",TRIM('MSR RAW'!C606))-9)))</f>
        <v/>
      </c>
      <c r="G606" t="str">
        <f>IF(E606="","",IFERROR(VLOOKUP(E606,'CATEGORY MAP'!$A$2:$B$20,2,FALSE()),"REVIEW"))</f>
        <v/>
      </c>
      <c r="H606" t="str">
        <f>IF(E606="","",IFERROR(VALUE(SUBSTITUTE('MSR RAW'!P606,",","")),0))</f>
        <v/>
      </c>
      <c r="I606" t="str">
        <f>IF(E606="","",IFERROR(VALUE(SUBSTITUTE('MSR RAW'!S606,",","")),0))</f>
        <v/>
      </c>
    </row>
    <row r="607" spans="1:9" ht="68.650000000000006" customHeight="1" x14ac:dyDescent="0.2">
      <c r="A607">
        <v>607</v>
      </c>
      <c r="B60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07" t="str">
        <f>IF(LEFT(TRIM('MSR RAW'!A607),11)="Department:",TRIM('MSR RAW'!A607),C606)</f>
        <v>Department: 36637 - SPECIALTY CONCESSIONS (VENDING)</v>
      </c>
      <c r="D607" t="str">
        <f>IF(LEFT(TRIM('MSR RAW'!B607),9)="Location:",TRIM(MID('MSR RAW'!B607,10,999)),D606)</f>
        <v>FB 155 - SUB ISLAND NOODLES</v>
      </c>
      <c r="E607" t="str">
        <f>IF(AND(ISNUMBER(SEARCH(" - ",TRIM('MSR RAW'!C607))),RIGHT(TRIM('MSR RAW'!C607),6)="Total:"),LEFT(TRIM('MSR RAW'!C607),SEARCH(" - ",TRIM('MSR RAW'!C607))-1),"")</f>
        <v/>
      </c>
      <c r="F607" t="str">
        <f>IF(E607="","",TRIM(MID(TRIM('MSR RAW'!C607),SEARCH(" - ",TRIM('MSR RAW'!C607))+3,LEN(TRIM('MSR RAW'!C607))-SEARCH(" - ",TRIM('MSR RAW'!C607))-9)))</f>
        <v/>
      </c>
      <c r="G607" t="str">
        <f>IF(E607="","",IFERROR(VLOOKUP(E607,'CATEGORY MAP'!$A$2:$B$20,2,FALSE()),"REVIEW"))</f>
        <v/>
      </c>
      <c r="H607" t="str">
        <f>IF(E607="","",IFERROR(VALUE(SUBSTITUTE('MSR RAW'!P607,",","")),0))</f>
        <v/>
      </c>
      <c r="I607" t="str">
        <f>IF(E607="","",IFERROR(VALUE(SUBSTITUTE('MSR RAW'!S607,",","")),0))</f>
        <v/>
      </c>
    </row>
    <row r="608" spans="1:9" ht="68.650000000000006" customHeight="1" x14ac:dyDescent="0.2">
      <c r="A608">
        <v>608</v>
      </c>
      <c r="B60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08" t="str">
        <f>IF(LEFT(TRIM('MSR RAW'!A608),11)="Department:",TRIM('MSR RAW'!A608),C607)</f>
        <v>Department: 36637 - SPECIALTY CONCESSIONS (VENDING)</v>
      </c>
      <c r="D608" t="str">
        <f>IF(LEFT(TRIM('MSR RAW'!B608),9)="Location:",TRIM(MID('MSR RAW'!B608,10,999)),D607)</f>
        <v>FB 155 - SUB ISLAND NOODLES</v>
      </c>
      <c r="E608" t="str">
        <f>IF(AND(ISNUMBER(SEARCH(" - ",TRIM('MSR RAW'!C608))),RIGHT(TRIM('MSR RAW'!C608),6)="Total:"),LEFT(TRIM('MSR RAW'!C608),SEARCH(" - ",TRIM('MSR RAW'!C608))-1),"")</f>
        <v/>
      </c>
      <c r="F608" t="str">
        <f>IF(E608="","",TRIM(MID(TRIM('MSR RAW'!C608),SEARCH(" - ",TRIM('MSR RAW'!C608))+3,LEN(TRIM('MSR RAW'!C608))-SEARCH(" - ",TRIM('MSR RAW'!C608))-9)))</f>
        <v/>
      </c>
      <c r="G608" t="str">
        <f>IF(E608="","",IFERROR(VLOOKUP(E608,'CATEGORY MAP'!$A$2:$B$20,2,FALSE()),"REVIEW"))</f>
        <v/>
      </c>
      <c r="H608" t="str">
        <f>IF(E608="","",IFERROR(VALUE(SUBSTITUTE('MSR RAW'!P608,",","")),0))</f>
        <v/>
      </c>
      <c r="I608" t="str">
        <f>IF(E608="","",IFERROR(VALUE(SUBSTITUTE('MSR RAW'!S608,",","")),0))</f>
        <v/>
      </c>
    </row>
    <row r="609" spans="1:9" ht="68.650000000000006" customHeight="1" x14ac:dyDescent="0.2">
      <c r="A609">
        <v>609</v>
      </c>
      <c r="B60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09" t="str">
        <f>IF(LEFT(TRIM('MSR RAW'!A609),11)="Department:",TRIM('MSR RAW'!A609),C608)</f>
        <v>Department: 36637 - SPECIALTY CONCESSIONS (VENDING)</v>
      </c>
      <c r="D609" t="str">
        <f>IF(LEFT(TRIM('MSR RAW'!B609),9)="Location:",TRIM(MID('MSR RAW'!B609,10,999)),D608)</f>
        <v>FB 155 - SUB ISLAND NOODLES</v>
      </c>
      <c r="E609" t="str">
        <f>IF(AND(ISNUMBER(SEARCH(" - ",TRIM('MSR RAW'!C609))),RIGHT(TRIM('MSR RAW'!C609),6)="Total:"),LEFT(TRIM('MSR RAW'!C609),SEARCH(" - ",TRIM('MSR RAW'!C609))-1),"")</f>
        <v/>
      </c>
      <c r="F609" t="str">
        <f>IF(E609="","",TRIM(MID(TRIM('MSR RAW'!C609),SEARCH(" - ",TRIM('MSR RAW'!C609))+3,LEN(TRIM('MSR RAW'!C609))-SEARCH(" - ",TRIM('MSR RAW'!C609))-9)))</f>
        <v/>
      </c>
      <c r="G609" t="str">
        <f>IF(E609="","",IFERROR(VLOOKUP(E609,'CATEGORY MAP'!$A$2:$B$20,2,FALSE()),"REVIEW"))</f>
        <v/>
      </c>
      <c r="H609" t="str">
        <f>IF(E609="","",IFERROR(VALUE(SUBSTITUTE('MSR RAW'!P609,",","")),0))</f>
        <v/>
      </c>
      <c r="I609" t="str">
        <f>IF(E609="","",IFERROR(VALUE(SUBSTITUTE('MSR RAW'!S609,",","")),0))</f>
        <v/>
      </c>
    </row>
    <row r="610" spans="1:9" ht="68.650000000000006" customHeight="1" x14ac:dyDescent="0.2">
      <c r="A610">
        <v>610</v>
      </c>
      <c r="B61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10" t="str">
        <f>IF(LEFT(TRIM('MSR RAW'!A610),11)="Department:",TRIM('MSR RAW'!A610),C609)</f>
        <v>Department: 36637 - SPECIALTY CONCESSIONS (VENDING)</v>
      </c>
      <c r="D610" t="str">
        <f>IF(LEFT(TRIM('MSR RAW'!B610),9)="Location:",TRIM(MID('MSR RAW'!B610,10,999)),D609)</f>
        <v>FB 155 - SUB ISLAND NOODLES</v>
      </c>
      <c r="E610" t="str">
        <f>IF(AND(ISNUMBER(SEARCH(" - ",TRIM('MSR RAW'!C610))),RIGHT(TRIM('MSR RAW'!C610),6)="Total:"),LEFT(TRIM('MSR RAW'!C610),SEARCH(" - ",TRIM('MSR RAW'!C610))-1),"")</f>
        <v/>
      </c>
      <c r="F610" t="str">
        <f>IF(E610="","",TRIM(MID(TRIM('MSR RAW'!C610),SEARCH(" - ",TRIM('MSR RAW'!C610))+3,LEN(TRIM('MSR RAW'!C610))-SEARCH(" - ",TRIM('MSR RAW'!C610))-9)))</f>
        <v/>
      </c>
      <c r="G610" t="str">
        <f>IF(E610="","",IFERROR(VLOOKUP(E610,'CATEGORY MAP'!$A$2:$B$20,2,FALSE()),"REVIEW"))</f>
        <v/>
      </c>
      <c r="H610" t="str">
        <f>IF(E610="","",IFERROR(VALUE(SUBSTITUTE('MSR RAW'!P610,",","")),0))</f>
        <v/>
      </c>
      <c r="I610" t="str">
        <f>IF(E610="","",IFERROR(VALUE(SUBSTITUTE('MSR RAW'!S610,",","")),0))</f>
        <v/>
      </c>
    </row>
    <row r="611" spans="1:9" ht="68.650000000000006" customHeight="1" x14ac:dyDescent="0.2">
      <c r="A611">
        <v>611</v>
      </c>
      <c r="B61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11" t="str">
        <f>IF(LEFT(TRIM('MSR RAW'!A611),11)="Department:",TRIM('MSR RAW'!A611),C610)</f>
        <v>Department: 36637 - SPECIALTY CONCESSIONS (VENDING)</v>
      </c>
      <c r="D611" t="str">
        <f>IF(LEFT(TRIM('MSR RAW'!B611),9)="Location:",TRIM(MID('MSR RAW'!B611,10,999)),D610)</f>
        <v>FB 155 - SUB ISLAND NOODLES</v>
      </c>
      <c r="E611" t="str">
        <f>IF(AND(ISNUMBER(SEARCH(" - ",TRIM('MSR RAW'!C611))),RIGHT(TRIM('MSR RAW'!C611),6)="Total:"),LEFT(TRIM('MSR RAW'!C611),SEARCH(" - ",TRIM('MSR RAW'!C611))-1),"")</f>
        <v/>
      </c>
      <c r="F611" t="str">
        <f>IF(E611="","",TRIM(MID(TRIM('MSR RAW'!C611),SEARCH(" - ",TRIM('MSR RAW'!C611))+3,LEN(TRIM('MSR RAW'!C611))-SEARCH(" - ",TRIM('MSR RAW'!C611))-9)))</f>
        <v/>
      </c>
      <c r="G611" t="str">
        <f>IF(E611="","",IFERROR(VLOOKUP(E611,'CATEGORY MAP'!$A$2:$B$20,2,FALSE()),"REVIEW"))</f>
        <v/>
      </c>
      <c r="H611" t="str">
        <f>IF(E611="","",IFERROR(VALUE(SUBSTITUTE('MSR RAW'!P611,",","")),0))</f>
        <v/>
      </c>
      <c r="I611" t="str">
        <f>IF(E611="","",IFERROR(VALUE(SUBSTITUTE('MSR RAW'!S611,",","")),0))</f>
        <v/>
      </c>
    </row>
    <row r="612" spans="1:9" ht="68.650000000000006" customHeight="1" x14ac:dyDescent="0.2">
      <c r="A612">
        <v>612</v>
      </c>
      <c r="B61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12" t="str">
        <f>IF(LEFT(TRIM('MSR RAW'!A612),11)="Department:",TRIM('MSR RAW'!A612),C611)</f>
        <v>Department: 36637 - SPECIALTY CONCESSIONS (VENDING)</v>
      </c>
      <c r="D612" t="str">
        <f>IF(LEFT(TRIM('MSR RAW'!B612),9)="Location:",TRIM(MID('MSR RAW'!B612,10,999)),D611)</f>
        <v>FB 155 - SUB ISLAND NOODLES</v>
      </c>
      <c r="E612" t="str">
        <f>IF(AND(ISNUMBER(SEARCH(" - ",TRIM('MSR RAW'!C612))),RIGHT(TRIM('MSR RAW'!C612),6)="Total:"),LEFT(TRIM('MSR RAW'!C612),SEARCH(" - ",TRIM('MSR RAW'!C612))-1),"")</f>
        <v/>
      </c>
      <c r="F612" t="str">
        <f>IF(E612="","",TRIM(MID(TRIM('MSR RAW'!C612),SEARCH(" - ",TRIM('MSR RAW'!C612))+3,LEN(TRIM('MSR RAW'!C612))-SEARCH(" - ",TRIM('MSR RAW'!C612))-9)))</f>
        <v/>
      </c>
      <c r="G612" t="str">
        <f>IF(E612="","",IFERROR(VLOOKUP(E612,'CATEGORY MAP'!$A$2:$B$20,2,FALSE()),"REVIEW"))</f>
        <v/>
      </c>
      <c r="H612" t="str">
        <f>IF(E612="","",IFERROR(VALUE(SUBSTITUTE('MSR RAW'!P612,",","")),0))</f>
        <v/>
      </c>
      <c r="I612" t="str">
        <f>IF(E612="","",IFERROR(VALUE(SUBSTITUTE('MSR RAW'!S612,",","")),0))</f>
        <v/>
      </c>
    </row>
    <row r="613" spans="1:9" ht="68.650000000000006" customHeight="1" x14ac:dyDescent="0.2">
      <c r="A613">
        <v>613</v>
      </c>
      <c r="B61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13" t="str">
        <f>IF(LEFT(TRIM('MSR RAW'!A613),11)="Department:",TRIM('MSR RAW'!A613),C612)</f>
        <v>Department: 36637 - SPECIALTY CONCESSIONS (VENDING)</v>
      </c>
      <c r="D613" t="str">
        <f>IF(LEFT(TRIM('MSR RAW'!B613),9)="Location:",TRIM(MID('MSR RAW'!B613,10,999)),D612)</f>
        <v>FB 155 - SUB ISLAND NOODLES</v>
      </c>
      <c r="E613" t="str">
        <f>IF(AND(ISNUMBER(SEARCH(" - ",TRIM('MSR RAW'!C613))),RIGHT(TRIM('MSR RAW'!C613),6)="Total:"),LEFT(TRIM('MSR RAW'!C613),SEARCH(" - ",TRIM('MSR RAW'!C613))-1),"")</f>
        <v/>
      </c>
      <c r="F613" t="str">
        <f>IF(E613="","",TRIM(MID(TRIM('MSR RAW'!C613),SEARCH(" - ",TRIM('MSR RAW'!C613))+3,LEN(TRIM('MSR RAW'!C613))-SEARCH(" - ",TRIM('MSR RAW'!C613))-9)))</f>
        <v/>
      </c>
      <c r="G613" t="str">
        <f>IF(E613="","",IFERROR(VLOOKUP(E613,'CATEGORY MAP'!$A$2:$B$20,2,FALSE()),"REVIEW"))</f>
        <v/>
      </c>
      <c r="H613" t="str">
        <f>IF(E613="","",IFERROR(VALUE(SUBSTITUTE('MSR RAW'!P613,",","")),0))</f>
        <v/>
      </c>
      <c r="I613" t="str">
        <f>IF(E613="","",IFERROR(VALUE(SUBSTITUTE('MSR RAW'!S613,",","")),0))</f>
        <v/>
      </c>
    </row>
    <row r="614" spans="1:9" ht="68.650000000000006" customHeight="1" x14ac:dyDescent="0.2">
      <c r="A614">
        <v>614</v>
      </c>
      <c r="B61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14" t="str">
        <f>IF(LEFT(TRIM('MSR RAW'!A614),11)="Department:",TRIM('MSR RAW'!A614),C613)</f>
        <v>Department: 36637 - SPECIALTY CONCESSIONS (VENDING)</v>
      </c>
      <c r="D614" t="str">
        <f>IF(LEFT(TRIM('MSR RAW'!B614),9)="Location:",TRIM(MID('MSR RAW'!B614,10,999)),D613)</f>
        <v>FB 155 - SUB ISLAND NOODLES</v>
      </c>
      <c r="E614" t="str">
        <f>IF(AND(ISNUMBER(SEARCH(" - ",TRIM('MSR RAW'!C614))),RIGHT(TRIM('MSR RAW'!C614),6)="Total:"),LEFT(TRIM('MSR RAW'!C614),SEARCH(" - ",TRIM('MSR RAW'!C614))-1),"")</f>
        <v/>
      </c>
      <c r="F614" t="str">
        <f>IF(E614="","",TRIM(MID(TRIM('MSR RAW'!C614),SEARCH(" - ",TRIM('MSR RAW'!C614))+3,LEN(TRIM('MSR RAW'!C614))-SEARCH(" - ",TRIM('MSR RAW'!C614))-9)))</f>
        <v/>
      </c>
      <c r="G614" t="str">
        <f>IF(E614="","",IFERROR(VLOOKUP(E614,'CATEGORY MAP'!$A$2:$B$20,2,FALSE()),"REVIEW"))</f>
        <v/>
      </c>
      <c r="H614" t="str">
        <f>IF(E614="","",IFERROR(VALUE(SUBSTITUTE('MSR RAW'!P614,",","")),0))</f>
        <v/>
      </c>
      <c r="I614" t="str">
        <f>IF(E614="","",IFERROR(VALUE(SUBSTITUTE('MSR RAW'!S614,",","")),0))</f>
        <v/>
      </c>
    </row>
    <row r="615" spans="1:9" ht="68.650000000000006" customHeight="1" x14ac:dyDescent="0.2">
      <c r="A615">
        <v>615</v>
      </c>
      <c r="B61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15" t="str">
        <f>IF(LEFT(TRIM('MSR RAW'!A615),11)="Department:",TRIM('MSR RAW'!A615),C614)</f>
        <v>Department: 36637 - SPECIALTY CONCESSIONS (VENDING)</v>
      </c>
      <c r="D615" t="str">
        <f>IF(LEFT(TRIM('MSR RAW'!B615),9)="Location:",TRIM(MID('MSR RAW'!B615,10,999)),D614)</f>
        <v>FB 155 - SUB ISLAND NOODLES</v>
      </c>
      <c r="E615" t="str">
        <f>IF(AND(ISNUMBER(SEARCH(" - ",TRIM('MSR RAW'!C615))),RIGHT(TRIM('MSR RAW'!C615),6)="Total:"),LEFT(TRIM('MSR RAW'!C615),SEARCH(" - ",TRIM('MSR RAW'!C615))-1),"")</f>
        <v/>
      </c>
      <c r="F615" t="str">
        <f>IF(E615="","",TRIM(MID(TRIM('MSR RAW'!C615),SEARCH(" - ",TRIM('MSR RAW'!C615))+3,LEN(TRIM('MSR RAW'!C615))-SEARCH(" - ",TRIM('MSR RAW'!C615))-9)))</f>
        <v/>
      </c>
      <c r="G615" t="str">
        <f>IF(E615="","",IFERROR(VLOOKUP(E615,'CATEGORY MAP'!$A$2:$B$20,2,FALSE()),"REVIEW"))</f>
        <v/>
      </c>
      <c r="H615" t="str">
        <f>IF(E615="","",IFERROR(VALUE(SUBSTITUTE('MSR RAW'!P615,",","")),0))</f>
        <v/>
      </c>
      <c r="I615" t="str">
        <f>IF(E615="","",IFERROR(VALUE(SUBSTITUTE('MSR RAW'!S615,",","")),0))</f>
        <v/>
      </c>
    </row>
    <row r="616" spans="1:9" ht="68.650000000000006" customHeight="1" x14ac:dyDescent="0.2">
      <c r="A616">
        <v>616</v>
      </c>
      <c r="B61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16" t="str">
        <f>IF(LEFT(TRIM('MSR RAW'!A616),11)="Department:",TRIM('MSR RAW'!A616),C615)</f>
        <v>Department: 36637 - SPECIALTY CONCESSIONS (VENDING)</v>
      </c>
      <c r="D616" t="str">
        <f>IF(LEFT(TRIM('MSR RAW'!B616),9)="Location:",TRIM(MID('MSR RAW'!B616,10,999)),D615)</f>
        <v>FB 155 - SUB ISLAND NOODLES</v>
      </c>
      <c r="E616" t="str">
        <f>IF(AND(ISNUMBER(SEARCH(" - ",TRIM('MSR RAW'!C616))),RIGHT(TRIM('MSR RAW'!C616),6)="Total:"),LEFT(TRIM('MSR RAW'!C616),SEARCH(" - ",TRIM('MSR RAW'!C616))-1),"")</f>
        <v/>
      </c>
      <c r="F616" t="str">
        <f>IF(E616="","",TRIM(MID(TRIM('MSR RAW'!C616),SEARCH(" - ",TRIM('MSR RAW'!C616))+3,LEN(TRIM('MSR RAW'!C616))-SEARCH(" - ",TRIM('MSR RAW'!C616))-9)))</f>
        <v/>
      </c>
      <c r="G616" t="str">
        <f>IF(E616="","",IFERROR(VLOOKUP(E616,'CATEGORY MAP'!$A$2:$B$20,2,FALSE()),"REVIEW"))</f>
        <v/>
      </c>
      <c r="H616" t="str">
        <f>IF(E616="","",IFERROR(VALUE(SUBSTITUTE('MSR RAW'!P616,",","")),0))</f>
        <v/>
      </c>
      <c r="I616" t="str">
        <f>IF(E616="","",IFERROR(VALUE(SUBSTITUTE('MSR RAW'!S616,",","")),0))</f>
        <v/>
      </c>
    </row>
    <row r="617" spans="1:9" ht="68.650000000000006" customHeight="1" x14ac:dyDescent="0.2">
      <c r="A617">
        <v>617</v>
      </c>
      <c r="B61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17" t="str">
        <f>IF(LEFT(TRIM('MSR RAW'!A617),11)="Department:",TRIM('MSR RAW'!A617),C616)</f>
        <v>Department: 36637 - SPECIALTY CONCESSIONS (VENDING)</v>
      </c>
      <c r="D617" t="str">
        <f>IF(LEFT(TRIM('MSR RAW'!B617),9)="Location:",TRIM(MID('MSR RAW'!B617,10,999)),D616)</f>
        <v>FB 155 - SUB ISLAND NOODLES</v>
      </c>
      <c r="E617" t="str">
        <f>IF(AND(ISNUMBER(SEARCH(" - ",TRIM('MSR RAW'!C617))),RIGHT(TRIM('MSR RAW'!C617),6)="Total:"),LEFT(TRIM('MSR RAW'!C617),SEARCH(" - ",TRIM('MSR RAW'!C617))-1),"")</f>
        <v/>
      </c>
      <c r="F617" t="str">
        <f>IF(E617="","",TRIM(MID(TRIM('MSR RAW'!C617),SEARCH(" - ",TRIM('MSR RAW'!C617))+3,LEN(TRIM('MSR RAW'!C617))-SEARCH(" - ",TRIM('MSR RAW'!C617))-9)))</f>
        <v/>
      </c>
      <c r="G617" t="str">
        <f>IF(E617="","",IFERROR(VLOOKUP(E617,'CATEGORY MAP'!$A$2:$B$20,2,FALSE()),"REVIEW"))</f>
        <v/>
      </c>
      <c r="H617" t="str">
        <f>IF(E617="","",IFERROR(VALUE(SUBSTITUTE('MSR RAW'!P617,",","")),0))</f>
        <v/>
      </c>
      <c r="I617" t="str">
        <f>IF(E617="","",IFERROR(VALUE(SUBSTITUTE('MSR RAW'!S617,",","")),0))</f>
        <v/>
      </c>
    </row>
    <row r="618" spans="1:9" ht="68.650000000000006" customHeight="1" x14ac:dyDescent="0.2">
      <c r="A618">
        <v>618</v>
      </c>
      <c r="B61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18" t="str">
        <f>IF(LEFT(TRIM('MSR RAW'!A618),11)="Department:",TRIM('MSR RAW'!A618),C617)</f>
        <v>Department: 36637 - SPECIALTY CONCESSIONS (VENDING)</v>
      </c>
      <c r="D618" t="str">
        <f>IF(LEFT(TRIM('MSR RAW'!B618),9)="Location:",TRIM(MID('MSR RAW'!B618,10,999)),D617)</f>
        <v>FB 155 - SUB ISLAND NOODLES</v>
      </c>
      <c r="E618" t="str">
        <f>IF(AND(ISNUMBER(SEARCH(" - ",TRIM('MSR RAW'!C618))),RIGHT(TRIM('MSR RAW'!C618),6)="Total:"),LEFT(TRIM('MSR RAW'!C618),SEARCH(" - ",TRIM('MSR RAW'!C618))-1),"")</f>
        <v/>
      </c>
      <c r="F618" t="str">
        <f>IF(E618="","",TRIM(MID(TRIM('MSR RAW'!C618),SEARCH(" - ",TRIM('MSR RAW'!C618))+3,LEN(TRIM('MSR RAW'!C618))-SEARCH(" - ",TRIM('MSR RAW'!C618))-9)))</f>
        <v/>
      </c>
      <c r="G618" t="str">
        <f>IF(E618="","",IFERROR(VLOOKUP(E618,'CATEGORY MAP'!$A$2:$B$20,2,FALSE()),"REVIEW"))</f>
        <v/>
      </c>
      <c r="H618" t="str">
        <f>IF(E618="","",IFERROR(VALUE(SUBSTITUTE('MSR RAW'!P618,",","")),0))</f>
        <v/>
      </c>
      <c r="I618" t="str">
        <f>IF(E618="","",IFERROR(VALUE(SUBSTITUTE('MSR RAW'!S618,",","")),0))</f>
        <v/>
      </c>
    </row>
    <row r="619" spans="1:9" ht="68.650000000000006" customHeight="1" x14ac:dyDescent="0.2">
      <c r="A619">
        <v>619</v>
      </c>
      <c r="B61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19" t="str">
        <f>IF(LEFT(TRIM('MSR RAW'!A619),11)="Department:",TRIM('MSR RAW'!A619),C618)</f>
        <v>Department: 36637 - SPECIALTY CONCESSIONS (VENDING)</v>
      </c>
      <c r="D619" t="str">
        <f>IF(LEFT(TRIM('MSR RAW'!B619),9)="Location:",TRIM(MID('MSR RAW'!B619,10,999)),D618)</f>
        <v>FB 155 - SUB ISLAND NOODLES</v>
      </c>
      <c r="E619" t="str">
        <f>IF(AND(ISNUMBER(SEARCH(" - ",TRIM('MSR RAW'!C619))),RIGHT(TRIM('MSR RAW'!C619),6)="Total:"),LEFT(TRIM('MSR RAW'!C619),SEARCH(" - ",TRIM('MSR RAW'!C619))-1),"")</f>
        <v/>
      </c>
      <c r="F619" t="str">
        <f>IF(E619="","",TRIM(MID(TRIM('MSR RAW'!C619),SEARCH(" - ",TRIM('MSR RAW'!C619))+3,LEN(TRIM('MSR RAW'!C619))-SEARCH(" - ",TRIM('MSR RAW'!C619))-9)))</f>
        <v/>
      </c>
      <c r="G619" t="str">
        <f>IF(E619="","",IFERROR(VLOOKUP(E619,'CATEGORY MAP'!$A$2:$B$20,2,FALSE()),"REVIEW"))</f>
        <v/>
      </c>
      <c r="H619" t="str">
        <f>IF(E619="","",IFERROR(VALUE(SUBSTITUTE('MSR RAW'!P619,",","")),0))</f>
        <v/>
      </c>
      <c r="I619" t="str">
        <f>IF(E619="","",IFERROR(VALUE(SUBSTITUTE('MSR RAW'!S619,",","")),0))</f>
        <v/>
      </c>
    </row>
    <row r="620" spans="1:9" ht="68.650000000000006" customHeight="1" x14ac:dyDescent="0.2">
      <c r="A620">
        <v>620</v>
      </c>
      <c r="B62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20" t="str">
        <f>IF(LEFT(TRIM('MSR RAW'!A620),11)="Department:",TRIM('MSR RAW'!A620),C619)</f>
        <v>Department: 36637 - SPECIALTY CONCESSIONS (VENDING)</v>
      </c>
      <c r="D620" t="str">
        <f>IF(LEFT(TRIM('MSR RAW'!B620),9)="Location:",TRIM(MID('MSR RAW'!B620,10,999)),D619)</f>
        <v>FB 155 - SUB ISLAND NOODLES</v>
      </c>
      <c r="E620" t="str">
        <f>IF(AND(ISNUMBER(SEARCH(" - ",TRIM('MSR RAW'!C620))),RIGHT(TRIM('MSR RAW'!C620),6)="Total:"),LEFT(TRIM('MSR RAW'!C620),SEARCH(" - ",TRIM('MSR RAW'!C620))-1),"")</f>
        <v/>
      </c>
      <c r="F620" t="str">
        <f>IF(E620="","",TRIM(MID(TRIM('MSR RAW'!C620),SEARCH(" - ",TRIM('MSR RAW'!C620))+3,LEN(TRIM('MSR RAW'!C620))-SEARCH(" - ",TRIM('MSR RAW'!C620))-9)))</f>
        <v/>
      </c>
      <c r="G620" t="str">
        <f>IF(E620="","",IFERROR(VLOOKUP(E620,'CATEGORY MAP'!$A$2:$B$20,2,FALSE()),"REVIEW"))</f>
        <v/>
      </c>
      <c r="H620" t="str">
        <f>IF(E620="","",IFERROR(VALUE(SUBSTITUTE('MSR RAW'!P620,",","")),0))</f>
        <v/>
      </c>
      <c r="I620" t="str">
        <f>IF(E620="","",IFERROR(VALUE(SUBSTITUTE('MSR RAW'!S620,",","")),0))</f>
        <v/>
      </c>
    </row>
    <row r="621" spans="1:9" ht="68.650000000000006" customHeight="1" x14ac:dyDescent="0.2">
      <c r="A621">
        <v>621</v>
      </c>
      <c r="B62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21" t="str">
        <f>IF(LEFT(TRIM('MSR RAW'!A621),11)="Department:",TRIM('MSR RAW'!A621),C620)</f>
        <v>Department: 36637 - SPECIALTY CONCESSIONS (VENDING)</v>
      </c>
      <c r="D621" t="str">
        <f>IF(LEFT(TRIM('MSR RAW'!B621),9)="Location:",TRIM(MID('MSR RAW'!B621,10,999)),D620)</f>
        <v>FB 155 - SUB ISLAND NOODLES</v>
      </c>
      <c r="E621" t="str">
        <f>IF(AND(ISNUMBER(SEARCH(" - ",TRIM('MSR RAW'!C621))),RIGHT(TRIM('MSR RAW'!C621),6)="Total:"),LEFT(TRIM('MSR RAW'!C621),SEARCH(" - ",TRIM('MSR RAW'!C621))-1),"")</f>
        <v/>
      </c>
      <c r="F621" t="str">
        <f>IF(E621="","",TRIM(MID(TRIM('MSR RAW'!C621),SEARCH(" - ",TRIM('MSR RAW'!C621))+3,LEN(TRIM('MSR RAW'!C621))-SEARCH(" - ",TRIM('MSR RAW'!C621))-9)))</f>
        <v/>
      </c>
      <c r="G621" t="str">
        <f>IF(E621="","",IFERROR(VLOOKUP(E621,'CATEGORY MAP'!$A$2:$B$20,2,FALSE()),"REVIEW"))</f>
        <v/>
      </c>
      <c r="H621" t="str">
        <f>IF(E621="","",IFERROR(VALUE(SUBSTITUTE('MSR RAW'!P621,",","")),0))</f>
        <v/>
      </c>
      <c r="I621" t="str">
        <f>IF(E621="","",IFERROR(VALUE(SUBSTITUTE('MSR RAW'!S621,",","")),0))</f>
        <v/>
      </c>
    </row>
    <row r="622" spans="1:9" ht="68.650000000000006" customHeight="1" x14ac:dyDescent="0.2">
      <c r="A622">
        <v>622</v>
      </c>
      <c r="B62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22" t="str">
        <f>IF(LEFT(TRIM('MSR RAW'!A622),11)="Department:",TRIM('MSR RAW'!A622),C621)</f>
        <v>Department: 36637 - SPECIALTY CONCESSIONS (VENDING)</v>
      </c>
      <c r="D622" t="str">
        <f>IF(LEFT(TRIM('MSR RAW'!B622),9)="Location:",TRIM(MID('MSR RAW'!B622,10,999)),D621)</f>
        <v>FB 155 - SUB ISLAND NOODLES</v>
      </c>
      <c r="E622" t="str">
        <f>IF(AND(ISNUMBER(SEARCH(" - ",TRIM('MSR RAW'!C622))),RIGHT(TRIM('MSR RAW'!C622),6)="Total:"),LEFT(TRIM('MSR RAW'!C622),SEARCH(" - ",TRIM('MSR RAW'!C622))-1),"")</f>
        <v/>
      </c>
      <c r="F622" t="str">
        <f>IF(E622="","",TRIM(MID(TRIM('MSR RAW'!C622),SEARCH(" - ",TRIM('MSR RAW'!C622))+3,LEN(TRIM('MSR RAW'!C622))-SEARCH(" - ",TRIM('MSR RAW'!C622))-9)))</f>
        <v/>
      </c>
      <c r="G622" t="str">
        <f>IF(E622="","",IFERROR(VLOOKUP(E622,'CATEGORY MAP'!$A$2:$B$20,2,FALSE()),"REVIEW"))</f>
        <v/>
      </c>
      <c r="H622" t="str">
        <f>IF(E622="","",IFERROR(VALUE(SUBSTITUTE('MSR RAW'!P622,",","")),0))</f>
        <v/>
      </c>
      <c r="I622" t="str">
        <f>IF(E622="","",IFERROR(VALUE(SUBSTITUTE('MSR RAW'!S622,",","")),0))</f>
        <v/>
      </c>
    </row>
    <row r="623" spans="1:9" ht="68.650000000000006" customHeight="1" x14ac:dyDescent="0.2">
      <c r="A623">
        <v>623</v>
      </c>
      <c r="B62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23" t="str">
        <f>IF(LEFT(TRIM('MSR RAW'!A623),11)="Department:",TRIM('MSR RAW'!A623),C622)</f>
        <v>Department: 36637 - SPECIALTY CONCESSIONS (VENDING)</v>
      </c>
      <c r="D623" t="str">
        <f>IF(LEFT(TRIM('MSR RAW'!B623),9)="Location:",TRIM(MID('MSR RAW'!B623,10,999)),D622)</f>
        <v>FB 155 - SUB ISLAND NOODLES</v>
      </c>
      <c r="E623" t="str">
        <f>IF(AND(ISNUMBER(SEARCH(" - ",TRIM('MSR RAW'!C623))),RIGHT(TRIM('MSR RAW'!C623),6)="Total:"),LEFT(TRIM('MSR RAW'!C623),SEARCH(" - ",TRIM('MSR RAW'!C623))-1),"")</f>
        <v/>
      </c>
      <c r="F623" t="str">
        <f>IF(E623="","",TRIM(MID(TRIM('MSR RAW'!C623),SEARCH(" - ",TRIM('MSR RAW'!C623))+3,LEN(TRIM('MSR RAW'!C623))-SEARCH(" - ",TRIM('MSR RAW'!C623))-9)))</f>
        <v/>
      </c>
      <c r="G623" t="str">
        <f>IF(E623="","",IFERROR(VLOOKUP(E623,'CATEGORY MAP'!$A$2:$B$20,2,FALSE()),"REVIEW"))</f>
        <v/>
      </c>
      <c r="H623" t="str">
        <f>IF(E623="","",IFERROR(VALUE(SUBSTITUTE('MSR RAW'!P623,",","")),0))</f>
        <v/>
      </c>
      <c r="I623" t="str">
        <f>IF(E623="","",IFERROR(VALUE(SUBSTITUTE('MSR RAW'!S623,",","")),0))</f>
        <v/>
      </c>
    </row>
    <row r="624" spans="1:9" ht="68.650000000000006" customHeight="1" x14ac:dyDescent="0.2">
      <c r="A624">
        <v>624</v>
      </c>
      <c r="B62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24" t="str">
        <f>IF(LEFT(TRIM('MSR RAW'!A624),11)="Department:",TRIM('MSR RAW'!A624),C623)</f>
        <v>Department: 36637 - SPECIALTY CONCESSIONS (VENDING)</v>
      </c>
      <c r="D624" t="str">
        <f>IF(LEFT(TRIM('MSR RAW'!B624),9)="Location:",TRIM(MID('MSR RAW'!B624,10,999)),D623)</f>
        <v>FB 155 - SUB ISLAND NOODLES</v>
      </c>
      <c r="E624" t="str">
        <f>IF(AND(ISNUMBER(SEARCH(" - ",TRIM('MSR RAW'!C624))),RIGHT(TRIM('MSR RAW'!C624),6)="Total:"),LEFT(TRIM('MSR RAW'!C624),SEARCH(" - ",TRIM('MSR RAW'!C624))-1),"")</f>
        <v/>
      </c>
      <c r="F624" t="str">
        <f>IF(E624="","",TRIM(MID(TRIM('MSR RAW'!C624),SEARCH(" - ",TRIM('MSR RAW'!C624))+3,LEN(TRIM('MSR RAW'!C624))-SEARCH(" - ",TRIM('MSR RAW'!C624))-9)))</f>
        <v/>
      </c>
      <c r="G624" t="str">
        <f>IF(E624="","",IFERROR(VLOOKUP(E624,'CATEGORY MAP'!$A$2:$B$20,2,FALSE()),"REVIEW"))</f>
        <v/>
      </c>
      <c r="H624" t="str">
        <f>IF(E624="","",IFERROR(VALUE(SUBSTITUTE('MSR RAW'!P624,",","")),0))</f>
        <v/>
      </c>
      <c r="I624" t="str">
        <f>IF(E624="","",IFERROR(VALUE(SUBSTITUTE('MSR RAW'!S624,",","")),0))</f>
        <v/>
      </c>
    </row>
    <row r="625" spans="1:9" ht="68.650000000000006" customHeight="1" x14ac:dyDescent="0.2">
      <c r="A625">
        <v>625</v>
      </c>
      <c r="B62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25" t="str">
        <f>IF(LEFT(TRIM('MSR RAW'!A625),11)="Department:",TRIM('MSR RAW'!A625),C624)</f>
        <v>Department: 36637 - SPECIALTY CONCESSIONS (VENDING)</v>
      </c>
      <c r="D625" t="str">
        <f>IF(LEFT(TRIM('MSR RAW'!B625),9)="Location:",TRIM(MID('MSR RAW'!B625,10,999)),D624)</f>
        <v>FB 155 - SUB ISLAND NOODLES</v>
      </c>
      <c r="E625" t="str">
        <f>IF(AND(ISNUMBER(SEARCH(" - ",TRIM('MSR RAW'!C625))),RIGHT(TRIM('MSR RAW'!C625),6)="Total:"),LEFT(TRIM('MSR RAW'!C625),SEARCH(" - ",TRIM('MSR RAW'!C625))-1),"")</f>
        <v/>
      </c>
      <c r="F625" t="str">
        <f>IF(E625="","",TRIM(MID(TRIM('MSR RAW'!C625),SEARCH(" - ",TRIM('MSR RAW'!C625))+3,LEN(TRIM('MSR RAW'!C625))-SEARCH(" - ",TRIM('MSR RAW'!C625))-9)))</f>
        <v/>
      </c>
      <c r="G625" t="str">
        <f>IF(E625="","",IFERROR(VLOOKUP(E625,'CATEGORY MAP'!$A$2:$B$20,2,FALSE()),"REVIEW"))</f>
        <v/>
      </c>
      <c r="H625" t="str">
        <f>IF(E625="","",IFERROR(VALUE(SUBSTITUTE('MSR RAW'!P625,",","")),0))</f>
        <v/>
      </c>
      <c r="I625" t="str">
        <f>IF(E625="","",IFERROR(VALUE(SUBSTITUTE('MSR RAW'!S625,",","")),0))</f>
        <v/>
      </c>
    </row>
    <row r="626" spans="1:9" ht="68.650000000000006" customHeight="1" x14ac:dyDescent="0.2">
      <c r="A626">
        <v>626</v>
      </c>
      <c r="B62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26" t="str">
        <f>IF(LEFT(TRIM('MSR RAW'!A626),11)="Department:",TRIM('MSR RAW'!A626),C625)</f>
        <v>Department: 36637 - SPECIALTY CONCESSIONS (VENDING)</v>
      </c>
      <c r="D626" t="str">
        <f>IF(LEFT(TRIM('MSR RAW'!B626),9)="Location:",TRIM(MID('MSR RAW'!B626,10,999)),D625)</f>
        <v>FB 155 - SUB ISLAND NOODLES</v>
      </c>
      <c r="E626" t="str">
        <f>IF(AND(ISNUMBER(SEARCH(" - ",TRIM('MSR RAW'!C626))),RIGHT(TRIM('MSR RAW'!C626),6)="Total:"),LEFT(TRIM('MSR RAW'!C626),SEARCH(" - ",TRIM('MSR RAW'!C626))-1),"")</f>
        <v/>
      </c>
      <c r="F626" t="str">
        <f>IF(E626="","",TRIM(MID(TRIM('MSR RAW'!C626),SEARCH(" - ",TRIM('MSR RAW'!C626))+3,LEN(TRIM('MSR RAW'!C626))-SEARCH(" - ",TRIM('MSR RAW'!C626))-9)))</f>
        <v/>
      </c>
      <c r="G626" t="str">
        <f>IF(E626="","",IFERROR(VLOOKUP(E626,'CATEGORY MAP'!$A$2:$B$20,2,FALSE()),"REVIEW"))</f>
        <v/>
      </c>
      <c r="H626" t="str">
        <f>IF(E626="","",IFERROR(VALUE(SUBSTITUTE('MSR RAW'!P626,",","")),0))</f>
        <v/>
      </c>
      <c r="I626" t="str">
        <f>IF(E626="","",IFERROR(VALUE(SUBSTITUTE('MSR RAW'!S626,",","")),0))</f>
        <v/>
      </c>
    </row>
    <row r="627" spans="1:9" ht="68.650000000000006" customHeight="1" x14ac:dyDescent="0.2">
      <c r="A627">
        <v>627</v>
      </c>
      <c r="B62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27" t="str">
        <f>IF(LEFT(TRIM('MSR RAW'!A627),11)="Department:",TRIM('MSR RAW'!A627),C626)</f>
        <v>Department: 36637 - SPECIALTY CONCESSIONS (VENDING)</v>
      </c>
      <c r="D627" t="str">
        <f>IF(LEFT(TRIM('MSR RAW'!B627),9)="Location:",TRIM(MID('MSR RAW'!B627,10,999)),D626)</f>
        <v>FB 155 - SUB ISLAND NOODLES</v>
      </c>
      <c r="E627" t="str">
        <f>IF(AND(ISNUMBER(SEARCH(" - ",TRIM('MSR RAW'!C627))),RIGHT(TRIM('MSR RAW'!C627),6)="Total:"),LEFT(TRIM('MSR RAW'!C627),SEARCH(" - ",TRIM('MSR RAW'!C627))-1),"")</f>
        <v/>
      </c>
      <c r="F627" t="str">
        <f>IF(E627="","",TRIM(MID(TRIM('MSR RAW'!C627),SEARCH(" - ",TRIM('MSR RAW'!C627))+3,LEN(TRIM('MSR RAW'!C627))-SEARCH(" - ",TRIM('MSR RAW'!C627))-9)))</f>
        <v/>
      </c>
      <c r="G627" t="str">
        <f>IF(E627="","",IFERROR(VLOOKUP(E627,'CATEGORY MAP'!$A$2:$B$20,2,FALSE()),"REVIEW"))</f>
        <v/>
      </c>
      <c r="H627" t="str">
        <f>IF(E627="","",IFERROR(VALUE(SUBSTITUTE('MSR RAW'!P627,",","")),0))</f>
        <v/>
      </c>
      <c r="I627" t="str">
        <f>IF(E627="","",IFERROR(VALUE(SUBSTITUTE('MSR RAW'!S627,",","")),0))</f>
        <v/>
      </c>
    </row>
    <row r="628" spans="1:9" ht="68.650000000000006" customHeight="1" x14ac:dyDescent="0.2">
      <c r="A628">
        <v>628</v>
      </c>
      <c r="B62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28" t="str">
        <f>IF(LEFT(TRIM('MSR RAW'!A628),11)="Department:",TRIM('MSR RAW'!A628),C627)</f>
        <v>Department: 36637 - SPECIALTY CONCESSIONS (VENDING)</v>
      </c>
      <c r="D628" t="str">
        <f>IF(LEFT(TRIM('MSR RAW'!B628),9)="Location:",TRIM(MID('MSR RAW'!B628,10,999)),D627)</f>
        <v>FB 155 - SUB ISLAND NOODLES</v>
      </c>
      <c r="E628" t="str">
        <f>IF(AND(ISNUMBER(SEARCH(" - ",TRIM('MSR RAW'!C628))),RIGHT(TRIM('MSR RAW'!C628),6)="Total:"),LEFT(TRIM('MSR RAW'!C628),SEARCH(" - ",TRIM('MSR RAW'!C628))-1),"")</f>
        <v/>
      </c>
      <c r="F628" t="str">
        <f>IF(E628="","",TRIM(MID(TRIM('MSR RAW'!C628),SEARCH(" - ",TRIM('MSR RAW'!C628))+3,LEN(TRIM('MSR RAW'!C628))-SEARCH(" - ",TRIM('MSR RAW'!C628))-9)))</f>
        <v/>
      </c>
      <c r="G628" t="str">
        <f>IF(E628="","",IFERROR(VLOOKUP(E628,'CATEGORY MAP'!$A$2:$B$20,2,FALSE()),"REVIEW"))</f>
        <v/>
      </c>
      <c r="H628" t="str">
        <f>IF(E628="","",IFERROR(VALUE(SUBSTITUTE('MSR RAW'!P628,",","")),0))</f>
        <v/>
      </c>
      <c r="I628" t="str">
        <f>IF(E628="","",IFERROR(VALUE(SUBSTITUTE('MSR RAW'!S628,",","")),0))</f>
        <v/>
      </c>
    </row>
    <row r="629" spans="1:9" ht="68.650000000000006" customHeight="1" x14ac:dyDescent="0.2">
      <c r="A629">
        <v>629</v>
      </c>
      <c r="B62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29" t="str">
        <f>IF(LEFT(TRIM('MSR RAW'!A629),11)="Department:",TRIM('MSR RAW'!A629),C628)</f>
        <v>Department: 36637 - SPECIALTY CONCESSIONS (VENDING)</v>
      </c>
      <c r="D629" t="str">
        <f>IF(LEFT(TRIM('MSR RAW'!B629),9)="Location:",TRIM(MID('MSR RAW'!B629,10,999)),D628)</f>
        <v>FB 155 - SUB ISLAND NOODLES</v>
      </c>
      <c r="E629" t="str">
        <f>IF(AND(ISNUMBER(SEARCH(" - ",TRIM('MSR RAW'!C629))),RIGHT(TRIM('MSR RAW'!C629),6)="Total:"),LEFT(TRIM('MSR RAW'!C629),SEARCH(" - ",TRIM('MSR RAW'!C629))-1),"")</f>
        <v/>
      </c>
      <c r="F629" t="str">
        <f>IF(E629="","",TRIM(MID(TRIM('MSR RAW'!C629),SEARCH(" - ",TRIM('MSR RAW'!C629))+3,LEN(TRIM('MSR RAW'!C629))-SEARCH(" - ",TRIM('MSR RAW'!C629))-9)))</f>
        <v/>
      </c>
      <c r="G629" t="str">
        <f>IF(E629="","",IFERROR(VLOOKUP(E629,'CATEGORY MAP'!$A$2:$B$20,2,FALSE()),"REVIEW"))</f>
        <v/>
      </c>
      <c r="H629" t="str">
        <f>IF(E629="","",IFERROR(VALUE(SUBSTITUTE('MSR RAW'!P629,",","")),0))</f>
        <v/>
      </c>
      <c r="I629" t="str">
        <f>IF(E629="","",IFERROR(VALUE(SUBSTITUTE('MSR RAW'!S629,",","")),0))</f>
        <v/>
      </c>
    </row>
    <row r="630" spans="1:9" ht="68.650000000000006" customHeight="1" x14ac:dyDescent="0.2">
      <c r="A630">
        <v>630</v>
      </c>
      <c r="B63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30" t="str">
        <f>IF(LEFT(TRIM('MSR RAW'!A630),11)="Department:",TRIM('MSR RAW'!A630),C629)</f>
        <v>Department: 36637 - SPECIALTY CONCESSIONS (VENDING)</v>
      </c>
      <c r="D630" t="str">
        <f>IF(LEFT(TRIM('MSR RAW'!B630),9)="Location:",TRIM(MID('MSR RAW'!B630,10,999)),D629)</f>
        <v>FB 155 - SUB ISLAND NOODLES</v>
      </c>
      <c r="E630" t="str">
        <f>IF(AND(ISNUMBER(SEARCH(" - ",TRIM('MSR RAW'!C630))),RIGHT(TRIM('MSR RAW'!C630),6)="Total:"),LEFT(TRIM('MSR RAW'!C630),SEARCH(" - ",TRIM('MSR RAW'!C630))-1),"")</f>
        <v/>
      </c>
      <c r="F630" t="str">
        <f>IF(E630="","",TRIM(MID(TRIM('MSR RAW'!C630),SEARCH(" - ",TRIM('MSR RAW'!C630))+3,LEN(TRIM('MSR RAW'!C630))-SEARCH(" - ",TRIM('MSR RAW'!C630))-9)))</f>
        <v/>
      </c>
      <c r="G630" t="str">
        <f>IF(E630="","",IFERROR(VLOOKUP(E630,'CATEGORY MAP'!$A$2:$B$20,2,FALSE()),"REVIEW"))</f>
        <v/>
      </c>
      <c r="H630" t="str">
        <f>IF(E630="","",IFERROR(VALUE(SUBSTITUTE('MSR RAW'!P630,",","")),0))</f>
        <v/>
      </c>
      <c r="I630" t="str">
        <f>IF(E630="","",IFERROR(VALUE(SUBSTITUTE('MSR RAW'!S630,",","")),0))</f>
        <v/>
      </c>
    </row>
    <row r="631" spans="1:9" ht="68.650000000000006" customHeight="1" x14ac:dyDescent="0.2">
      <c r="A631">
        <v>631</v>
      </c>
      <c r="B63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31" t="str">
        <f>IF(LEFT(TRIM('MSR RAW'!A631),11)="Department:",TRIM('MSR RAW'!A631),C630)</f>
        <v>Department: 36637 - SPECIALTY CONCESSIONS (VENDING)</v>
      </c>
      <c r="D631" t="str">
        <f>IF(LEFT(TRIM('MSR RAW'!B631),9)="Location:",TRIM(MID('MSR RAW'!B631,10,999)),D630)</f>
        <v>FB 155 - SUB ISLAND NOODLES</v>
      </c>
      <c r="E631" t="str">
        <f>IF(AND(ISNUMBER(SEARCH(" - ",TRIM('MSR RAW'!C631))),RIGHT(TRIM('MSR RAW'!C631),6)="Total:"),LEFT(TRIM('MSR RAW'!C631),SEARCH(" - ",TRIM('MSR RAW'!C631))-1),"")</f>
        <v/>
      </c>
      <c r="F631" t="str">
        <f>IF(E631="","",TRIM(MID(TRIM('MSR RAW'!C631),SEARCH(" - ",TRIM('MSR RAW'!C631))+3,LEN(TRIM('MSR RAW'!C631))-SEARCH(" - ",TRIM('MSR RAW'!C631))-9)))</f>
        <v/>
      </c>
      <c r="G631" t="str">
        <f>IF(E631="","",IFERROR(VLOOKUP(E631,'CATEGORY MAP'!$A$2:$B$20,2,FALSE()),"REVIEW"))</f>
        <v/>
      </c>
      <c r="H631" t="str">
        <f>IF(E631="","",IFERROR(VALUE(SUBSTITUTE('MSR RAW'!P631,",","")),0))</f>
        <v/>
      </c>
      <c r="I631" t="str">
        <f>IF(E631="","",IFERROR(VALUE(SUBSTITUTE('MSR RAW'!S631,",","")),0))</f>
        <v/>
      </c>
    </row>
    <row r="632" spans="1:9" ht="68.650000000000006" customHeight="1" x14ac:dyDescent="0.2">
      <c r="A632">
        <v>632</v>
      </c>
      <c r="B63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32" t="str">
        <f>IF(LEFT(TRIM('MSR RAW'!A632),11)="Department:",TRIM('MSR RAW'!A632),C631)</f>
        <v>Department: 36637 - SPECIALTY CONCESSIONS (VENDING)</v>
      </c>
      <c r="D632" t="str">
        <f>IF(LEFT(TRIM('MSR RAW'!B632),9)="Location:",TRIM(MID('MSR RAW'!B632,10,999)),D631)</f>
        <v>FB 155 - SUB ISLAND NOODLES</v>
      </c>
      <c r="E632" t="str">
        <f>IF(AND(ISNUMBER(SEARCH(" - ",TRIM('MSR RAW'!C632))),RIGHT(TRIM('MSR RAW'!C632),6)="Total:"),LEFT(TRIM('MSR RAW'!C632),SEARCH(" - ",TRIM('MSR RAW'!C632))-1),"")</f>
        <v/>
      </c>
      <c r="F632" t="str">
        <f>IF(E632="","",TRIM(MID(TRIM('MSR RAW'!C632),SEARCH(" - ",TRIM('MSR RAW'!C632))+3,LEN(TRIM('MSR RAW'!C632))-SEARCH(" - ",TRIM('MSR RAW'!C632))-9)))</f>
        <v/>
      </c>
      <c r="G632" t="str">
        <f>IF(E632="","",IFERROR(VLOOKUP(E632,'CATEGORY MAP'!$A$2:$B$20,2,FALSE()),"REVIEW"))</f>
        <v/>
      </c>
      <c r="H632" t="str">
        <f>IF(E632="","",IFERROR(VALUE(SUBSTITUTE('MSR RAW'!P632,",","")),0))</f>
        <v/>
      </c>
      <c r="I632" t="str">
        <f>IF(E632="","",IFERROR(VALUE(SUBSTITUTE('MSR RAW'!S632,",","")),0))</f>
        <v/>
      </c>
    </row>
    <row r="633" spans="1:9" ht="68.650000000000006" customHeight="1" x14ac:dyDescent="0.2">
      <c r="A633">
        <v>633</v>
      </c>
      <c r="B63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33" t="str">
        <f>IF(LEFT(TRIM('MSR RAW'!A633),11)="Department:",TRIM('MSR RAW'!A633),C632)</f>
        <v>Department: 36637 - SPECIALTY CONCESSIONS (VENDING)</v>
      </c>
      <c r="D633" t="str">
        <f>IF(LEFT(TRIM('MSR RAW'!B633),9)="Location:",TRIM(MID('MSR RAW'!B633,10,999)),D632)</f>
        <v>FB 155 - SUB ISLAND NOODLES</v>
      </c>
      <c r="E633" t="str">
        <f>IF(AND(ISNUMBER(SEARCH(" - ",TRIM('MSR RAW'!C633))),RIGHT(TRIM('MSR RAW'!C633),6)="Total:"),LEFT(TRIM('MSR RAW'!C633),SEARCH(" - ",TRIM('MSR RAW'!C633))-1),"")</f>
        <v/>
      </c>
      <c r="F633" t="str">
        <f>IF(E633="","",TRIM(MID(TRIM('MSR RAW'!C633),SEARCH(" - ",TRIM('MSR RAW'!C633))+3,LEN(TRIM('MSR RAW'!C633))-SEARCH(" - ",TRIM('MSR RAW'!C633))-9)))</f>
        <v/>
      </c>
      <c r="G633" t="str">
        <f>IF(E633="","",IFERROR(VLOOKUP(E633,'CATEGORY MAP'!$A$2:$B$20,2,FALSE()),"REVIEW"))</f>
        <v/>
      </c>
      <c r="H633" t="str">
        <f>IF(E633="","",IFERROR(VALUE(SUBSTITUTE('MSR RAW'!P633,",","")),0))</f>
        <v/>
      </c>
      <c r="I633" t="str">
        <f>IF(E633="","",IFERROR(VALUE(SUBSTITUTE('MSR RAW'!S633,",","")),0))</f>
        <v/>
      </c>
    </row>
    <row r="634" spans="1:9" ht="68.650000000000006" customHeight="1" x14ac:dyDescent="0.2">
      <c r="A634">
        <v>634</v>
      </c>
      <c r="B63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34" t="str">
        <f>IF(LEFT(TRIM('MSR RAW'!A634),11)="Department:",TRIM('MSR RAW'!A634),C633)</f>
        <v>Department: 36637 - SPECIALTY CONCESSIONS (VENDING)</v>
      </c>
      <c r="D634" t="str">
        <f>IF(LEFT(TRIM('MSR RAW'!B634),9)="Location:",TRIM(MID('MSR RAW'!B634,10,999)),D633)</f>
        <v>FB 155 - SUB ISLAND NOODLES</v>
      </c>
      <c r="E634" t="str">
        <f>IF(AND(ISNUMBER(SEARCH(" - ",TRIM('MSR RAW'!C634))),RIGHT(TRIM('MSR RAW'!C634),6)="Total:"),LEFT(TRIM('MSR RAW'!C634),SEARCH(" - ",TRIM('MSR RAW'!C634))-1),"")</f>
        <v/>
      </c>
      <c r="F634" t="str">
        <f>IF(E634="","",TRIM(MID(TRIM('MSR RAW'!C634),SEARCH(" - ",TRIM('MSR RAW'!C634))+3,LEN(TRIM('MSR RAW'!C634))-SEARCH(" - ",TRIM('MSR RAW'!C634))-9)))</f>
        <v/>
      </c>
      <c r="G634" t="str">
        <f>IF(E634="","",IFERROR(VLOOKUP(E634,'CATEGORY MAP'!$A$2:$B$20,2,FALSE()),"REVIEW"))</f>
        <v/>
      </c>
      <c r="H634" t="str">
        <f>IF(E634="","",IFERROR(VALUE(SUBSTITUTE('MSR RAW'!P634,",","")),0))</f>
        <v/>
      </c>
      <c r="I634" t="str">
        <f>IF(E634="","",IFERROR(VALUE(SUBSTITUTE('MSR RAW'!S634,",","")),0))</f>
        <v/>
      </c>
    </row>
    <row r="635" spans="1:9" ht="68.650000000000006" customHeight="1" x14ac:dyDescent="0.2">
      <c r="A635">
        <v>635</v>
      </c>
      <c r="B63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35" t="str">
        <f>IF(LEFT(TRIM('MSR RAW'!A635),11)="Department:",TRIM('MSR RAW'!A635),C634)</f>
        <v>Department: 36637 - SPECIALTY CONCESSIONS (VENDING)</v>
      </c>
      <c r="D635" t="str">
        <f>IF(LEFT(TRIM('MSR RAW'!B635),9)="Location:",TRIM(MID('MSR RAW'!B635,10,999)),D634)</f>
        <v>FB 155 - SUB ISLAND NOODLES</v>
      </c>
      <c r="E635" t="str">
        <f>IF(AND(ISNUMBER(SEARCH(" - ",TRIM('MSR RAW'!C635))),RIGHT(TRIM('MSR RAW'!C635),6)="Total:"),LEFT(TRIM('MSR RAW'!C635),SEARCH(" - ",TRIM('MSR RAW'!C635))-1),"")</f>
        <v/>
      </c>
      <c r="F635" t="str">
        <f>IF(E635="","",TRIM(MID(TRIM('MSR RAW'!C635),SEARCH(" - ",TRIM('MSR RAW'!C635))+3,LEN(TRIM('MSR RAW'!C635))-SEARCH(" - ",TRIM('MSR RAW'!C635))-9)))</f>
        <v/>
      </c>
      <c r="G635" t="str">
        <f>IF(E635="","",IFERROR(VLOOKUP(E635,'CATEGORY MAP'!$A$2:$B$20,2,FALSE()),"REVIEW"))</f>
        <v/>
      </c>
      <c r="H635" t="str">
        <f>IF(E635="","",IFERROR(VALUE(SUBSTITUTE('MSR RAW'!P635,",","")),0))</f>
        <v/>
      </c>
      <c r="I635" t="str">
        <f>IF(E635="","",IFERROR(VALUE(SUBSTITUTE('MSR RAW'!S635,",","")),0))</f>
        <v/>
      </c>
    </row>
    <row r="636" spans="1:9" ht="68.650000000000006" customHeight="1" x14ac:dyDescent="0.2">
      <c r="A636">
        <v>636</v>
      </c>
      <c r="B63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36" t="str">
        <f>IF(LEFT(TRIM('MSR RAW'!A636),11)="Department:",TRIM('MSR RAW'!A636),C635)</f>
        <v>Department: 36637 - SPECIALTY CONCESSIONS (VENDING)</v>
      </c>
      <c r="D636" t="str">
        <f>IF(LEFT(TRIM('MSR RAW'!B636),9)="Location:",TRIM(MID('MSR RAW'!B636,10,999)),D635)</f>
        <v>FB 155 - SUB ISLAND NOODLES</v>
      </c>
      <c r="E636" t="str">
        <f>IF(AND(ISNUMBER(SEARCH(" - ",TRIM('MSR RAW'!C636))),RIGHT(TRIM('MSR RAW'!C636),6)="Total:"),LEFT(TRIM('MSR RAW'!C636),SEARCH(" - ",TRIM('MSR RAW'!C636))-1),"")</f>
        <v/>
      </c>
      <c r="F636" t="str">
        <f>IF(E636="","",TRIM(MID(TRIM('MSR RAW'!C636),SEARCH(" - ",TRIM('MSR RAW'!C636))+3,LEN(TRIM('MSR RAW'!C636))-SEARCH(" - ",TRIM('MSR RAW'!C636))-9)))</f>
        <v/>
      </c>
      <c r="G636" t="str">
        <f>IF(E636="","",IFERROR(VLOOKUP(E636,'CATEGORY MAP'!$A$2:$B$20,2,FALSE()),"REVIEW"))</f>
        <v/>
      </c>
      <c r="H636" t="str">
        <f>IF(E636="","",IFERROR(VALUE(SUBSTITUTE('MSR RAW'!P636,",","")),0))</f>
        <v/>
      </c>
      <c r="I636" t="str">
        <f>IF(E636="","",IFERROR(VALUE(SUBSTITUTE('MSR RAW'!S636,",","")),0))</f>
        <v/>
      </c>
    </row>
    <row r="637" spans="1:9" ht="68.650000000000006" customHeight="1" x14ac:dyDescent="0.2">
      <c r="A637">
        <v>637</v>
      </c>
      <c r="B63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37" t="str">
        <f>IF(LEFT(TRIM('MSR RAW'!A637),11)="Department:",TRIM('MSR RAW'!A637),C636)</f>
        <v>Department: 36637 - SPECIALTY CONCESSIONS (VENDING)</v>
      </c>
      <c r="D637" t="str">
        <f>IF(LEFT(TRIM('MSR RAW'!B637),9)="Location:",TRIM(MID('MSR RAW'!B637,10,999)),D636)</f>
        <v>FB 155 - SUB ISLAND NOODLES</v>
      </c>
      <c r="E637" t="str">
        <f>IF(AND(ISNUMBER(SEARCH(" - ",TRIM('MSR RAW'!C637))),RIGHT(TRIM('MSR RAW'!C637),6)="Total:"),LEFT(TRIM('MSR RAW'!C637),SEARCH(" - ",TRIM('MSR RAW'!C637))-1),"")</f>
        <v/>
      </c>
      <c r="F637" t="str">
        <f>IF(E637="","",TRIM(MID(TRIM('MSR RAW'!C637),SEARCH(" - ",TRIM('MSR RAW'!C637))+3,LEN(TRIM('MSR RAW'!C637))-SEARCH(" - ",TRIM('MSR RAW'!C637))-9)))</f>
        <v/>
      </c>
      <c r="G637" t="str">
        <f>IF(E637="","",IFERROR(VLOOKUP(E637,'CATEGORY MAP'!$A$2:$B$20,2,FALSE()),"REVIEW"))</f>
        <v/>
      </c>
      <c r="H637" t="str">
        <f>IF(E637="","",IFERROR(VALUE(SUBSTITUTE('MSR RAW'!P637,",","")),0))</f>
        <v/>
      </c>
      <c r="I637" t="str">
        <f>IF(E637="","",IFERROR(VALUE(SUBSTITUTE('MSR RAW'!S637,",","")),0))</f>
        <v/>
      </c>
    </row>
    <row r="638" spans="1:9" ht="68.650000000000006" customHeight="1" x14ac:dyDescent="0.2">
      <c r="A638">
        <v>638</v>
      </c>
      <c r="B63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38" t="str">
        <f>IF(LEFT(TRIM('MSR RAW'!A638),11)="Department:",TRIM('MSR RAW'!A638),C637)</f>
        <v>Department: 36637 - SPECIALTY CONCESSIONS (VENDING)</v>
      </c>
      <c r="D638" t="str">
        <f>IF(LEFT(TRIM('MSR RAW'!B638),9)="Location:",TRIM(MID('MSR RAW'!B638,10,999)),D637)</f>
        <v>FB 155 - SUB ISLAND NOODLES</v>
      </c>
      <c r="E638" t="str">
        <f>IF(AND(ISNUMBER(SEARCH(" - ",TRIM('MSR RAW'!C638))),RIGHT(TRIM('MSR RAW'!C638),6)="Total:"),LEFT(TRIM('MSR RAW'!C638),SEARCH(" - ",TRIM('MSR RAW'!C638))-1),"")</f>
        <v/>
      </c>
      <c r="F638" t="str">
        <f>IF(E638="","",TRIM(MID(TRIM('MSR RAW'!C638),SEARCH(" - ",TRIM('MSR RAW'!C638))+3,LEN(TRIM('MSR RAW'!C638))-SEARCH(" - ",TRIM('MSR RAW'!C638))-9)))</f>
        <v/>
      </c>
      <c r="G638" t="str">
        <f>IF(E638="","",IFERROR(VLOOKUP(E638,'CATEGORY MAP'!$A$2:$B$20,2,FALSE()),"REVIEW"))</f>
        <v/>
      </c>
      <c r="H638" t="str">
        <f>IF(E638="","",IFERROR(VALUE(SUBSTITUTE('MSR RAW'!P638,",","")),0))</f>
        <v/>
      </c>
      <c r="I638" t="str">
        <f>IF(E638="","",IFERROR(VALUE(SUBSTITUTE('MSR RAW'!S638,",","")),0))</f>
        <v/>
      </c>
    </row>
    <row r="639" spans="1:9" ht="68.650000000000006" customHeight="1" x14ac:dyDescent="0.2">
      <c r="A639">
        <v>639</v>
      </c>
      <c r="B63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39" t="str">
        <f>IF(LEFT(TRIM('MSR RAW'!A639),11)="Department:",TRIM('MSR RAW'!A639),C638)</f>
        <v>Department: 36637 - SPECIALTY CONCESSIONS (VENDING)</v>
      </c>
      <c r="D639" t="str">
        <f>IF(LEFT(TRIM('MSR RAW'!B639),9)="Location:",TRIM(MID('MSR RAW'!B639,10,999)),D638)</f>
        <v>FB 155 - SUB ISLAND NOODLES</v>
      </c>
      <c r="E639" t="str">
        <f>IF(AND(ISNUMBER(SEARCH(" - ",TRIM('MSR RAW'!C639))),RIGHT(TRIM('MSR RAW'!C639),6)="Total:"),LEFT(TRIM('MSR RAW'!C639),SEARCH(" - ",TRIM('MSR RAW'!C639))-1),"")</f>
        <v/>
      </c>
      <c r="F639" t="str">
        <f>IF(E639="","",TRIM(MID(TRIM('MSR RAW'!C639),SEARCH(" - ",TRIM('MSR RAW'!C639))+3,LEN(TRIM('MSR RAW'!C639))-SEARCH(" - ",TRIM('MSR RAW'!C639))-9)))</f>
        <v/>
      </c>
      <c r="G639" t="str">
        <f>IF(E639="","",IFERROR(VLOOKUP(E639,'CATEGORY MAP'!$A$2:$B$20,2,FALSE()),"REVIEW"))</f>
        <v/>
      </c>
      <c r="H639" t="str">
        <f>IF(E639="","",IFERROR(VALUE(SUBSTITUTE('MSR RAW'!P639,",","")),0))</f>
        <v/>
      </c>
      <c r="I639" t="str">
        <f>IF(E639="","",IFERROR(VALUE(SUBSTITUTE('MSR RAW'!S639,",","")),0))</f>
        <v/>
      </c>
    </row>
    <row r="640" spans="1:9" ht="68.650000000000006" customHeight="1" x14ac:dyDescent="0.2">
      <c r="A640">
        <v>640</v>
      </c>
      <c r="B64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40" t="str">
        <f>IF(LEFT(TRIM('MSR RAW'!A640),11)="Department:",TRIM('MSR RAW'!A640),C639)</f>
        <v>Department: 36637 - SPECIALTY CONCESSIONS (VENDING)</v>
      </c>
      <c r="D640" t="str">
        <f>IF(LEFT(TRIM('MSR RAW'!B640),9)="Location:",TRIM(MID('MSR RAW'!B640,10,999)),D639)</f>
        <v>FB 155 - SUB ISLAND NOODLES</v>
      </c>
      <c r="E640" t="str">
        <f>IF(AND(ISNUMBER(SEARCH(" - ",TRIM('MSR RAW'!C640))),RIGHT(TRIM('MSR RAW'!C640),6)="Total:"),LEFT(TRIM('MSR RAW'!C640),SEARCH(" - ",TRIM('MSR RAW'!C640))-1),"")</f>
        <v/>
      </c>
      <c r="F640" t="str">
        <f>IF(E640="","",TRIM(MID(TRIM('MSR RAW'!C640),SEARCH(" - ",TRIM('MSR RAW'!C640))+3,LEN(TRIM('MSR RAW'!C640))-SEARCH(" - ",TRIM('MSR RAW'!C640))-9)))</f>
        <v/>
      </c>
      <c r="G640" t="str">
        <f>IF(E640="","",IFERROR(VLOOKUP(E640,'CATEGORY MAP'!$A$2:$B$20,2,FALSE()),"REVIEW"))</f>
        <v/>
      </c>
      <c r="H640" t="str">
        <f>IF(E640="","",IFERROR(VALUE(SUBSTITUTE('MSR RAW'!P640,",","")),0))</f>
        <v/>
      </c>
      <c r="I640" t="str">
        <f>IF(E640="","",IFERROR(VALUE(SUBSTITUTE('MSR RAW'!S640,",","")),0))</f>
        <v/>
      </c>
    </row>
    <row r="641" spans="1:9" ht="68.650000000000006" customHeight="1" x14ac:dyDescent="0.2">
      <c r="A641">
        <v>641</v>
      </c>
      <c r="B64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41" t="str">
        <f>IF(LEFT(TRIM('MSR RAW'!A641),11)="Department:",TRIM('MSR RAW'!A641),C640)</f>
        <v>Department: 36637 - SPECIALTY CONCESSIONS (VENDING)</v>
      </c>
      <c r="D641" t="str">
        <f>IF(LEFT(TRIM('MSR RAW'!B641),9)="Location:",TRIM(MID('MSR RAW'!B641,10,999)),D640)</f>
        <v>FB 155 - SUB ISLAND NOODLES</v>
      </c>
      <c r="E641" t="str">
        <f>IF(AND(ISNUMBER(SEARCH(" - ",TRIM('MSR RAW'!C641))),RIGHT(TRIM('MSR RAW'!C641),6)="Total:"),LEFT(TRIM('MSR RAW'!C641),SEARCH(" - ",TRIM('MSR RAW'!C641))-1),"")</f>
        <v/>
      </c>
      <c r="F641" t="str">
        <f>IF(E641="","",TRIM(MID(TRIM('MSR RAW'!C641),SEARCH(" - ",TRIM('MSR RAW'!C641))+3,LEN(TRIM('MSR RAW'!C641))-SEARCH(" - ",TRIM('MSR RAW'!C641))-9)))</f>
        <v/>
      </c>
      <c r="G641" t="str">
        <f>IF(E641="","",IFERROR(VLOOKUP(E641,'CATEGORY MAP'!$A$2:$B$20,2,FALSE()),"REVIEW"))</f>
        <v/>
      </c>
      <c r="H641" t="str">
        <f>IF(E641="","",IFERROR(VALUE(SUBSTITUTE('MSR RAW'!P641,",","")),0))</f>
        <v/>
      </c>
      <c r="I641" t="str">
        <f>IF(E641="","",IFERROR(VALUE(SUBSTITUTE('MSR RAW'!S641,",","")),0))</f>
        <v/>
      </c>
    </row>
    <row r="642" spans="1:9" ht="68.650000000000006" customHeight="1" x14ac:dyDescent="0.2">
      <c r="A642">
        <v>642</v>
      </c>
      <c r="B64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42" t="str">
        <f>IF(LEFT(TRIM('MSR RAW'!A642),11)="Department:",TRIM('MSR RAW'!A642),C641)</f>
        <v>Department: 36637 - SPECIALTY CONCESSIONS (VENDING)</v>
      </c>
      <c r="D642" t="str">
        <f>IF(LEFT(TRIM('MSR RAW'!B642),9)="Location:",TRIM(MID('MSR RAW'!B642,10,999)),D641)</f>
        <v>FB 155 - SUB ISLAND NOODLES</v>
      </c>
      <c r="E642" t="str">
        <f>IF(AND(ISNUMBER(SEARCH(" - ",TRIM('MSR RAW'!C642))),RIGHT(TRIM('MSR RAW'!C642),6)="Total:"),LEFT(TRIM('MSR RAW'!C642),SEARCH(" - ",TRIM('MSR RAW'!C642))-1),"")</f>
        <v/>
      </c>
      <c r="F642" t="str">
        <f>IF(E642="","",TRIM(MID(TRIM('MSR RAW'!C642),SEARCH(" - ",TRIM('MSR RAW'!C642))+3,LEN(TRIM('MSR RAW'!C642))-SEARCH(" - ",TRIM('MSR RAW'!C642))-9)))</f>
        <v/>
      </c>
      <c r="G642" t="str">
        <f>IF(E642="","",IFERROR(VLOOKUP(E642,'CATEGORY MAP'!$A$2:$B$20,2,FALSE()),"REVIEW"))</f>
        <v/>
      </c>
      <c r="H642" t="str">
        <f>IF(E642="","",IFERROR(VALUE(SUBSTITUTE('MSR RAW'!P642,",","")),0))</f>
        <v/>
      </c>
      <c r="I642" t="str">
        <f>IF(E642="","",IFERROR(VALUE(SUBSTITUTE('MSR RAW'!S642,",","")),0))</f>
        <v/>
      </c>
    </row>
    <row r="643" spans="1:9" ht="68.650000000000006" customHeight="1" x14ac:dyDescent="0.2">
      <c r="A643">
        <v>643</v>
      </c>
      <c r="B64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43" t="str">
        <f>IF(LEFT(TRIM('MSR RAW'!A643),11)="Department:",TRIM('MSR RAW'!A643),C642)</f>
        <v>Department: 36637 - SPECIALTY CONCESSIONS (VENDING)</v>
      </c>
      <c r="D643" t="str">
        <f>IF(LEFT(TRIM('MSR RAW'!B643),9)="Location:",TRIM(MID('MSR RAW'!B643,10,999)),D642)</f>
        <v>FB 155 - SUB ISLAND NOODLES</v>
      </c>
      <c r="E643" t="str">
        <f>IF(AND(ISNUMBER(SEARCH(" - ",TRIM('MSR RAW'!C643))),RIGHT(TRIM('MSR RAW'!C643),6)="Total:"),LEFT(TRIM('MSR RAW'!C643),SEARCH(" - ",TRIM('MSR RAW'!C643))-1),"")</f>
        <v/>
      </c>
      <c r="F643" t="str">
        <f>IF(E643="","",TRIM(MID(TRIM('MSR RAW'!C643),SEARCH(" - ",TRIM('MSR RAW'!C643))+3,LEN(TRIM('MSR RAW'!C643))-SEARCH(" - ",TRIM('MSR RAW'!C643))-9)))</f>
        <v/>
      </c>
      <c r="G643" t="str">
        <f>IF(E643="","",IFERROR(VLOOKUP(E643,'CATEGORY MAP'!$A$2:$B$20,2,FALSE()),"REVIEW"))</f>
        <v/>
      </c>
      <c r="H643" t="str">
        <f>IF(E643="","",IFERROR(VALUE(SUBSTITUTE('MSR RAW'!P643,",","")),0))</f>
        <v/>
      </c>
      <c r="I643" t="str">
        <f>IF(E643="","",IFERROR(VALUE(SUBSTITUTE('MSR RAW'!S643,",","")),0))</f>
        <v/>
      </c>
    </row>
    <row r="644" spans="1:9" ht="68.650000000000006" customHeight="1" x14ac:dyDescent="0.2">
      <c r="A644">
        <v>644</v>
      </c>
      <c r="B64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44" t="str">
        <f>IF(LEFT(TRIM('MSR RAW'!A644),11)="Department:",TRIM('MSR RAW'!A644),C643)</f>
        <v>Department: 36637 - SPECIALTY CONCESSIONS (VENDING)</v>
      </c>
      <c r="D644" t="str">
        <f>IF(LEFT(TRIM('MSR RAW'!B644),9)="Location:",TRIM(MID('MSR RAW'!B644,10,999)),D643)</f>
        <v>FB 155 - SUB ISLAND NOODLES</v>
      </c>
      <c r="E644" t="str">
        <f>IF(AND(ISNUMBER(SEARCH(" - ",TRIM('MSR RAW'!C644))),RIGHT(TRIM('MSR RAW'!C644),6)="Total:"),LEFT(TRIM('MSR RAW'!C644),SEARCH(" - ",TRIM('MSR RAW'!C644))-1),"")</f>
        <v/>
      </c>
      <c r="F644" t="str">
        <f>IF(E644="","",TRIM(MID(TRIM('MSR RAW'!C644),SEARCH(" - ",TRIM('MSR RAW'!C644))+3,LEN(TRIM('MSR RAW'!C644))-SEARCH(" - ",TRIM('MSR RAW'!C644))-9)))</f>
        <v/>
      </c>
      <c r="G644" t="str">
        <f>IF(E644="","",IFERROR(VLOOKUP(E644,'CATEGORY MAP'!$A$2:$B$20,2,FALSE()),"REVIEW"))</f>
        <v/>
      </c>
      <c r="H644" t="str">
        <f>IF(E644="","",IFERROR(VALUE(SUBSTITUTE('MSR RAW'!P644,",","")),0))</f>
        <v/>
      </c>
      <c r="I644" t="str">
        <f>IF(E644="","",IFERROR(VALUE(SUBSTITUTE('MSR RAW'!S644,",","")),0))</f>
        <v/>
      </c>
    </row>
    <row r="645" spans="1:9" ht="68.650000000000006" customHeight="1" x14ac:dyDescent="0.2">
      <c r="A645">
        <v>645</v>
      </c>
      <c r="B64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45" t="str">
        <f>IF(LEFT(TRIM('MSR RAW'!A645),11)="Department:",TRIM('MSR RAW'!A645),C644)</f>
        <v>Department: 36637 - SPECIALTY CONCESSIONS (VENDING)</v>
      </c>
      <c r="D645" t="str">
        <f>IF(LEFT(TRIM('MSR RAW'!B645),9)="Location:",TRIM(MID('MSR RAW'!B645,10,999)),D644)</f>
        <v>FB 155 - SUB ISLAND NOODLES</v>
      </c>
      <c r="E645" t="str">
        <f>IF(AND(ISNUMBER(SEARCH(" - ",TRIM('MSR RAW'!C645))),RIGHT(TRIM('MSR RAW'!C645),6)="Total:"),LEFT(TRIM('MSR RAW'!C645),SEARCH(" - ",TRIM('MSR RAW'!C645))-1),"")</f>
        <v/>
      </c>
      <c r="F645" t="str">
        <f>IF(E645="","",TRIM(MID(TRIM('MSR RAW'!C645),SEARCH(" - ",TRIM('MSR RAW'!C645))+3,LEN(TRIM('MSR RAW'!C645))-SEARCH(" - ",TRIM('MSR RAW'!C645))-9)))</f>
        <v/>
      </c>
      <c r="G645" t="str">
        <f>IF(E645="","",IFERROR(VLOOKUP(E645,'CATEGORY MAP'!$A$2:$B$20,2,FALSE()),"REVIEW"))</f>
        <v/>
      </c>
      <c r="H645" t="str">
        <f>IF(E645="","",IFERROR(VALUE(SUBSTITUTE('MSR RAW'!P645,",","")),0))</f>
        <v/>
      </c>
      <c r="I645" t="str">
        <f>IF(E645="","",IFERROR(VALUE(SUBSTITUTE('MSR RAW'!S645,",","")),0))</f>
        <v/>
      </c>
    </row>
    <row r="646" spans="1:9" ht="68.650000000000006" customHeight="1" x14ac:dyDescent="0.2">
      <c r="A646">
        <v>646</v>
      </c>
      <c r="B64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46" t="str">
        <f>IF(LEFT(TRIM('MSR RAW'!A646),11)="Department:",TRIM('MSR RAW'!A646),C645)</f>
        <v>Department: 36637 - SPECIALTY CONCESSIONS (VENDING)</v>
      </c>
      <c r="D646" t="str">
        <f>IF(LEFT(TRIM('MSR RAW'!B646),9)="Location:",TRIM(MID('MSR RAW'!B646,10,999)),D645)</f>
        <v>FB 155 - SUB ISLAND NOODLES</v>
      </c>
      <c r="E646" t="str">
        <f>IF(AND(ISNUMBER(SEARCH(" - ",TRIM('MSR RAW'!C646))),RIGHT(TRIM('MSR RAW'!C646),6)="Total:"),LEFT(TRIM('MSR RAW'!C646),SEARCH(" - ",TRIM('MSR RAW'!C646))-1),"")</f>
        <v/>
      </c>
      <c r="F646" t="str">
        <f>IF(E646="","",TRIM(MID(TRIM('MSR RAW'!C646),SEARCH(" - ",TRIM('MSR RAW'!C646))+3,LEN(TRIM('MSR RAW'!C646))-SEARCH(" - ",TRIM('MSR RAW'!C646))-9)))</f>
        <v/>
      </c>
      <c r="G646" t="str">
        <f>IF(E646="","",IFERROR(VLOOKUP(E646,'CATEGORY MAP'!$A$2:$B$20,2,FALSE()),"REVIEW"))</f>
        <v/>
      </c>
      <c r="H646" t="str">
        <f>IF(E646="","",IFERROR(VALUE(SUBSTITUTE('MSR RAW'!P646,",","")),0))</f>
        <v/>
      </c>
      <c r="I646" t="str">
        <f>IF(E646="","",IFERROR(VALUE(SUBSTITUTE('MSR RAW'!S646,",","")),0))</f>
        <v/>
      </c>
    </row>
    <row r="647" spans="1:9" ht="68.650000000000006" customHeight="1" x14ac:dyDescent="0.2">
      <c r="A647">
        <v>647</v>
      </c>
      <c r="B64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47" t="str">
        <f>IF(LEFT(TRIM('MSR RAW'!A647),11)="Department:",TRIM('MSR RAW'!A647),C646)</f>
        <v>Department: 36637 - SPECIALTY CONCESSIONS (VENDING)</v>
      </c>
      <c r="D647" t="str">
        <f>IF(LEFT(TRIM('MSR RAW'!B647),9)="Location:",TRIM(MID('MSR RAW'!B647,10,999)),D646)</f>
        <v>FB 155 - SUB ISLAND NOODLES</v>
      </c>
      <c r="E647" t="str">
        <f>IF(AND(ISNUMBER(SEARCH(" - ",TRIM('MSR RAW'!C647))),RIGHT(TRIM('MSR RAW'!C647),6)="Total:"),LEFT(TRIM('MSR RAW'!C647),SEARCH(" - ",TRIM('MSR RAW'!C647))-1),"")</f>
        <v/>
      </c>
      <c r="F647" t="str">
        <f>IF(E647="","",TRIM(MID(TRIM('MSR RAW'!C647),SEARCH(" - ",TRIM('MSR RAW'!C647))+3,LEN(TRIM('MSR RAW'!C647))-SEARCH(" - ",TRIM('MSR RAW'!C647))-9)))</f>
        <v/>
      </c>
      <c r="G647" t="str">
        <f>IF(E647="","",IFERROR(VLOOKUP(E647,'CATEGORY MAP'!$A$2:$B$20,2,FALSE()),"REVIEW"))</f>
        <v/>
      </c>
      <c r="H647" t="str">
        <f>IF(E647="","",IFERROR(VALUE(SUBSTITUTE('MSR RAW'!P647,",","")),0))</f>
        <v/>
      </c>
      <c r="I647" t="str">
        <f>IF(E647="","",IFERROR(VALUE(SUBSTITUTE('MSR RAW'!S647,",","")),0))</f>
        <v/>
      </c>
    </row>
    <row r="648" spans="1:9" ht="68.650000000000006" customHeight="1" x14ac:dyDescent="0.2">
      <c r="A648">
        <v>648</v>
      </c>
      <c r="B64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48" t="str">
        <f>IF(LEFT(TRIM('MSR RAW'!A648),11)="Department:",TRIM('MSR RAW'!A648),C647)</f>
        <v>Department: 36637 - SPECIALTY CONCESSIONS (VENDING)</v>
      </c>
      <c r="D648" t="str">
        <f>IF(LEFT(TRIM('MSR RAW'!B648),9)="Location:",TRIM(MID('MSR RAW'!B648,10,999)),D647)</f>
        <v>FB 155 - SUB ISLAND NOODLES</v>
      </c>
      <c r="E648" t="str">
        <f>IF(AND(ISNUMBER(SEARCH(" - ",TRIM('MSR RAW'!C648))),RIGHT(TRIM('MSR RAW'!C648),6)="Total:"),LEFT(TRIM('MSR RAW'!C648),SEARCH(" - ",TRIM('MSR RAW'!C648))-1),"")</f>
        <v/>
      </c>
      <c r="F648" t="str">
        <f>IF(E648="","",TRIM(MID(TRIM('MSR RAW'!C648),SEARCH(" - ",TRIM('MSR RAW'!C648))+3,LEN(TRIM('MSR RAW'!C648))-SEARCH(" - ",TRIM('MSR RAW'!C648))-9)))</f>
        <v/>
      </c>
      <c r="G648" t="str">
        <f>IF(E648="","",IFERROR(VLOOKUP(E648,'CATEGORY MAP'!$A$2:$B$20,2,FALSE()),"REVIEW"))</f>
        <v/>
      </c>
      <c r="H648" t="str">
        <f>IF(E648="","",IFERROR(VALUE(SUBSTITUTE('MSR RAW'!P648,",","")),0))</f>
        <v/>
      </c>
      <c r="I648" t="str">
        <f>IF(E648="","",IFERROR(VALUE(SUBSTITUTE('MSR RAW'!S648,",","")),0))</f>
        <v/>
      </c>
    </row>
    <row r="649" spans="1:9" ht="68.650000000000006" customHeight="1" x14ac:dyDescent="0.2">
      <c r="A649">
        <v>649</v>
      </c>
      <c r="B64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49" t="str">
        <f>IF(LEFT(TRIM('MSR RAW'!A649),11)="Department:",TRIM('MSR RAW'!A649),C648)</f>
        <v>Department: 36637 - SPECIALTY CONCESSIONS (VENDING)</v>
      </c>
      <c r="D649" t="str">
        <f>IF(LEFT(TRIM('MSR RAW'!B649),9)="Location:",TRIM(MID('MSR RAW'!B649,10,999)),D648)</f>
        <v>FB 155 - SUB ISLAND NOODLES</v>
      </c>
      <c r="E649" t="str">
        <f>IF(AND(ISNUMBER(SEARCH(" - ",TRIM('MSR RAW'!C649))),RIGHT(TRIM('MSR RAW'!C649),6)="Total:"),LEFT(TRIM('MSR RAW'!C649),SEARCH(" - ",TRIM('MSR RAW'!C649))-1),"")</f>
        <v/>
      </c>
      <c r="F649" t="str">
        <f>IF(E649="","",TRIM(MID(TRIM('MSR RAW'!C649),SEARCH(" - ",TRIM('MSR RAW'!C649))+3,LEN(TRIM('MSR RAW'!C649))-SEARCH(" - ",TRIM('MSR RAW'!C649))-9)))</f>
        <v/>
      </c>
      <c r="G649" t="str">
        <f>IF(E649="","",IFERROR(VLOOKUP(E649,'CATEGORY MAP'!$A$2:$B$20,2,FALSE()),"REVIEW"))</f>
        <v/>
      </c>
      <c r="H649" t="str">
        <f>IF(E649="","",IFERROR(VALUE(SUBSTITUTE('MSR RAW'!P649,",","")),0))</f>
        <v/>
      </c>
      <c r="I649" t="str">
        <f>IF(E649="","",IFERROR(VALUE(SUBSTITUTE('MSR RAW'!S649,",","")),0))</f>
        <v/>
      </c>
    </row>
    <row r="650" spans="1:9" ht="68.650000000000006" customHeight="1" x14ac:dyDescent="0.2">
      <c r="A650">
        <v>650</v>
      </c>
      <c r="B65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50" t="str">
        <f>IF(LEFT(TRIM('MSR RAW'!A650),11)="Department:",TRIM('MSR RAW'!A650),C649)</f>
        <v>Department: 36637 - SPECIALTY CONCESSIONS (VENDING)</v>
      </c>
      <c r="D650" t="str">
        <f>IF(LEFT(TRIM('MSR RAW'!B650),9)="Location:",TRIM(MID('MSR RAW'!B650,10,999)),D649)</f>
        <v>FB 155 - SUB ISLAND NOODLES</v>
      </c>
      <c r="E650" t="str">
        <f>IF(AND(ISNUMBER(SEARCH(" - ",TRIM('MSR RAW'!C650))),RIGHT(TRIM('MSR RAW'!C650),6)="Total:"),LEFT(TRIM('MSR RAW'!C650),SEARCH(" - ",TRIM('MSR RAW'!C650))-1),"")</f>
        <v/>
      </c>
      <c r="F650" t="str">
        <f>IF(E650="","",TRIM(MID(TRIM('MSR RAW'!C650),SEARCH(" - ",TRIM('MSR RAW'!C650))+3,LEN(TRIM('MSR RAW'!C650))-SEARCH(" - ",TRIM('MSR RAW'!C650))-9)))</f>
        <v/>
      </c>
      <c r="G650" t="str">
        <f>IF(E650="","",IFERROR(VLOOKUP(E650,'CATEGORY MAP'!$A$2:$B$20,2,FALSE()),"REVIEW"))</f>
        <v/>
      </c>
      <c r="H650" t="str">
        <f>IF(E650="","",IFERROR(VALUE(SUBSTITUTE('MSR RAW'!P650,",","")),0))</f>
        <v/>
      </c>
      <c r="I650" t="str">
        <f>IF(E650="","",IFERROR(VALUE(SUBSTITUTE('MSR RAW'!S650,",","")),0))</f>
        <v/>
      </c>
    </row>
    <row r="651" spans="1:9" ht="68.650000000000006" customHeight="1" x14ac:dyDescent="0.2">
      <c r="A651">
        <v>651</v>
      </c>
      <c r="B65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51" t="str">
        <f>IF(LEFT(TRIM('MSR RAW'!A651),11)="Department:",TRIM('MSR RAW'!A651),C650)</f>
        <v>Department: 36637 - SPECIALTY CONCESSIONS (VENDING)</v>
      </c>
      <c r="D651" t="str">
        <f>IF(LEFT(TRIM('MSR RAW'!B651),9)="Location:",TRIM(MID('MSR RAW'!B651,10,999)),D650)</f>
        <v>FB 155 - SUB ISLAND NOODLES</v>
      </c>
      <c r="E651" t="str">
        <f>IF(AND(ISNUMBER(SEARCH(" - ",TRIM('MSR RAW'!C651))),RIGHT(TRIM('MSR RAW'!C651),6)="Total:"),LEFT(TRIM('MSR RAW'!C651),SEARCH(" - ",TRIM('MSR RAW'!C651))-1),"")</f>
        <v/>
      </c>
      <c r="F651" t="str">
        <f>IF(E651="","",TRIM(MID(TRIM('MSR RAW'!C651),SEARCH(" - ",TRIM('MSR RAW'!C651))+3,LEN(TRIM('MSR RAW'!C651))-SEARCH(" - ",TRIM('MSR RAW'!C651))-9)))</f>
        <v/>
      </c>
      <c r="G651" t="str">
        <f>IF(E651="","",IFERROR(VLOOKUP(E651,'CATEGORY MAP'!$A$2:$B$20,2,FALSE()),"REVIEW"))</f>
        <v/>
      </c>
      <c r="H651" t="str">
        <f>IF(E651="","",IFERROR(VALUE(SUBSTITUTE('MSR RAW'!P651,",","")),0))</f>
        <v/>
      </c>
      <c r="I651" t="str">
        <f>IF(E651="","",IFERROR(VALUE(SUBSTITUTE('MSR RAW'!S651,",","")),0))</f>
        <v/>
      </c>
    </row>
    <row r="652" spans="1:9" ht="68.650000000000006" customHeight="1" x14ac:dyDescent="0.2">
      <c r="A652">
        <v>652</v>
      </c>
      <c r="B65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52" t="str">
        <f>IF(LEFT(TRIM('MSR RAW'!A652),11)="Department:",TRIM('MSR RAW'!A652),C651)</f>
        <v>Department: 36637 - SPECIALTY CONCESSIONS (VENDING)</v>
      </c>
      <c r="D652" t="str">
        <f>IF(LEFT(TRIM('MSR RAW'!B652),9)="Location:",TRIM(MID('MSR RAW'!B652,10,999)),D651)</f>
        <v>FB 155 - SUB ISLAND NOODLES</v>
      </c>
      <c r="E652" t="str">
        <f>IF(AND(ISNUMBER(SEARCH(" - ",TRIM('MSR RAW'!C652))),RIGHT(TRIM('MSR RAW'!C652),6)="Total:"),LEFT(TRIM('MSR RAW'!C652),SEARCH(" - ",TRIM('MSR RAW'!C652))-1),"")</f>
        <v/>
      </c>
      <c r="F652" t="str">
        <f>IF(E652="","",TRIM(MID(TRIM('MSR RAW'!C652),SEARCH(" - ",TRIM('MSR RAW'!C652))+3,LEN(TRIM('MSR RAW'!C652))-SEARCH(" - ",TRIM('MSR RAW'!C652))-9)))</f>
        <v/>
      </c>
      <c r="G652" t="str">
        <f>IF(E652="","",IFERROR(VLOOKUP(E652,'CATEGORY MAP'!$A$2:$B$20,2,FALSE()),"REVIEW"))</f>
        <v/>
      </c>
      <c r="H652" t="str">
        <f>IF(E652="","",IFERROR(VALUE(SUBSTITUTE('MSR RAW'!P652,",","")),0))</f>
        <v/>
      </c>
      <c r="I652" t="str">
        <f>IF(E652="","",IFERROR(VALUE(SUBSTITUTE('MSR RAW'!S652,",","")),0))</f>
        <v/>
      </c>
    </row>
    <row r="653" spans="1:9" ht="68.650000000000006" customHeight="1" x14ac:dyDescent="0.2">
      <c r="A653">
        <v>653</v>
      </c>
      <c r="B65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53" t="str">
        <f>IF(LEFT(TRIM('MSR RAW'!A653),11)="Department:",TRIM('MSR RAW'!A653),C652)</f>
        <v>Department: 36637 - SPECIALTY CONCESSIONS (VENDING)</v>
      </c>
      <c r="D653" t="str">
        <f>IF(LEFT(TRIM('MSR RAW'!B653),9)="Location:",TRIM(MID('MSR RAW'!B653,10,999)),D652)</f>
        <v>FB 155 - SUB ISLAND NOODLES</v>
      </c>
      <c r="E653" t="str">
        <f>IF(AND(ISNUMBER(SEARCH(" - ",TRIM('MSR RAW'!C653))),RIGHT(TRIM('MSR RAW'!C653),6)="Total:"),LEFT(TRIM('MSR RAW'!C653),SEARCH(" - ",TRIM('MSR RAW'!C653))-1),"")</f>
        <v/>
      </c>
      <c r="F653" t="str">
        <f>IF(E653="","",TRIM(MID(TRIM('MSR RAW'!C653),SEARCH(" - ",TRIM('MSR RAW'!C653))+3,LEN(TRIM('MSR RAW'!C653))-SEARCH(" - ",TRIM('MSR RAW'!C653))-9)))</f>
        <v/>
      </c>
      <c r="G653" t="str">
        <f>IF(E653="","",IFERROR(VLOOKUP(E653,'CATEGORY MAP'!$A$2:$B$20,2,FALSE()),"REVIEW"))</f>
        <v/>
      </c>
      <c r="H653" t="str">
        <f>IF(E653="","",IFERROR(VALUE(SUBSTITUTE('MSR RAW'!P653,",","")),0))</f>
        <v/>
      </c>
      <c r="I653" t="str">
        <f>IF(E653="","",IFERROR(VALUE(SUBSTITUTE('MSR RAW'!S653,",","")),0))</f>
        <v/>
      </c>
    </row>
    <row r="654" spans="1:9" ht="68.650000000000006" customHeight="1" x14ac:dyDescent="0.2">
      <c r="A654">
        <v>654</v>
      </c>
      <c r="B65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54" t="str">
        <f>IF(LEFT(TRIM('MSR RAW'!A654),11)="Department:",TRIM('MSR RAW'!A654),C653)</f>
        <v>Department: 36637 - SPECIALTY CONCESSIONS (VENDING)</v>
      </c>
      <c r="D654" t="str">
        <f>IF(LEFT(TRIM('MSR RAW'!B654),9)="Location:",TRIM(MID('MSR RAW'!B654,10,999)),D653)</f>
        <v>FB 155 - SUB ISLAND NOODLES</v>
      </c>
      <c r="E654" t="str">
        <f>IF(AND(ISNUMBER(SEARCH(" - ",TRIM('MSR RAW'!C654))),RIGHT(TRIM('MSR RAW'!C654),6)="Total:"),LEFT(TRIM('MSR RAW'!C654),SEARCH(" - ",TRIM('MSR RAW'!C654))-1),"")</f>
        <v/>
      </c>
      <c r="F654" t="str">
        <f>IF(E654="","",TRIM(MID(TRIM('MSR RAW'!C654),SEARCH(" - ",TRIM('MSR RAW'!C654))+3,LEN(TRIM('MSR RAW'!C654))-SEARCH(" - ",TRIM('MSR RAW'!C654))-9)))</f>
        <v/>
      </c>
      <c r="G654" t="str">
        <f>IF(E654="","",IFERROR(VLOOKUP(E654,'CATEGORY MAP'!$A$2:$B$20,2,FALSE()),"REVIEW"))</f>
        <v/>
      </c>
      <c r="H654" t="str">
        <f>IF(E654="","",IFERROR(VALUE(SUBSTITUTE('MSR RAW'!P654,",","")),0))</f>
        <v/>
      </c>
      <c r="I654" t="str">
        <f>IF(E654="","",IFERROR(VALUE(SUBSTITUTE('MSR RAW'!S654,",","")),0))</f>
        <v/>
      </c>
    </row>
    <row r="655" spans="1:9" ht="68.650000000000006" customHeight="1" x14ac:dyDescent="0.2">
      <c r="A655">
        <v>655</v>
      </c>
      <c r="B65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55" t="str">
        <f>IF(LEFT(TRIM('MSR RAW'!A655),11)="Department:",TRIM('MSR RAW'!A655),C654)</f>
        <v>Department: 36637 - SPECIALTY CONCESSIONS (VENDING)</v>
      </c>
      <c r="D655" t="str">
        <f>IF(LEFT(TRIM('MSR RAW'!B655),9)="Location:",TRIM(MID('MSR RAW'!B655,10,999)),D654)</f>
        <v>FB 155 - SUB ISLAND NOODLES</v>
      </c>
      <c r="E655" t="str">
        <f>IF(AND(ISNUMBER(SEARCH(" - ",TRIM('MSR RAW'!C655))),RIGHT(TRIM('MSR RAW'!C655),6)="Total:"),LEFT(TRIM('MSR RAW'!C655),SEARCH(" - ",TRIM('MSR RAW'!C655))-1),"")</f>
        <v/>
      </c>
      <c r="F655" t="str">
        <f>IF(E655="","",TRIM(MID(TRIM('MSR RAW'!C655),SEARCH(" - ",TRIM('MSR RAW'!C655))+3,LEN(TRIM('MSR RAW'!C655))-SEARCH(" - ",TRIM('MSR RAW'!C655))-9)))</f>
        <v/>
      </c>
      <c r="G655" t="str">
        <f>IF(E655="","",IFERROR(VLOOKUP(E655,'CATEGORY MAP'!$A$2:$B$20,2,FALSE()),"REVIEW"))</f>
        <v/>
      </c>
      <c r="H655" t="str">
        <f>IF(E655="","",IFERROR(VALUE(SUBSTITUTE('MSR RAW'!P655,",","")),0))</f>
        <v/>
      </c>
      <c r="I655" t="str">
        <f>IF(E655="","",IFERROR(VALUE(SUBSTITUTE('MSR RAW'!S655,",","")),0))</f>
        <v/>
      </c>
    </row>
    <row r="656" spans="1:9" ht="68.650000000000006" customHeight="1" x14ac:dyDescent="0.2">
      <c r="A656">
        <v>656</v>
      </c>
      <c r="B65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56" t="str">
        <f>IF(LEFT(TRIM('MSR RAW'!A656),11)="Department:",TRIM('MSR RAW'!A656),C655)</f>
        <v>Department: 36637 - SPECIALTY CONCESSIONS (VENDING)</v>
      </c>
      <c r="D656" t="str">
        <f>IF(LEFT(TRIM('MSR RAW'!B656),9)="Location:",TRIM(MID('MSR RAW'!B656,10,999)),D655)</f>
        <v>FB 155 - SUB ISLAND NOODLES</v>
      </c>
      <c r="E656" t="str">
        <f>IF(AND(ISNUMBER(SEARCH(" - ",TRIM('MSR RAW'!C656))),RIGHT(TRIM('MSR RAW'!C656),6)="Total:"),LEFT(TRIM('MSR RAW'!C656),SEARCH(" - ",TRIM('MSR RAW'!C656))-1),"")</f>
        <v/>
      </c>
      <c r="F656" t="str">
        <f>IF(E656="","",TRIM(MID(TRIM('MSR RAW'!C656),SEARCH(" - ",TRIM('MSR RAW'!C656))+3,LEN(TRIM('MSR RAW'!C656))-SEARCH(" - ",TRIM('MSR RAW'!C656))-9)))</f>
        <v/>
      </c>
      <c r="G656" t="str">
        <f>IF(E656="","",IFERROR(VLOOKUP(E656,'CATEGORY MAP'!$A$2:$B$20,2,FALSE()),"REVIEW"))</f>
        <v/>
      </c>
      <c r="H656" t="str">
        <f>IF(E656="","",IFERROR(VALUE(SUBSTITUTE('MSR RAW'!P656,",","")),0))</f>
        <v/>
      </c>
      <c r="I656" t="str">
        <f>IF(E656="","",IFERROR(VALUE(SUBSTITUTE('MSR RAW'!S656,",","")),0))</f>
        <v/>
      </c>
    </row>
    <row r="657" spans="1:9" ht="68.650000000000006" customHeight="1" x14ac:dyDescent="0.2">
      <c r="A657">
        <v>657</v>
      </c>
      <c r="B65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57" t="str">
        <f>IF(LEFT(TRIM('MSR RAW'!A657),11)="Department:",TRIM('MSR RAW'!A657),C656)</f>
        <v>Department: 36637 - SPECIALTY CONCESSIONS (VENDING)</v>
      </c>
      <c r="D657" t="str">
        <f>IF(LEFT(TRIM('MSR RAW'!B657),9)="Location:",TRIM(MID('MSR RAW'!B657,10,999)),D656)</f>
        <v>FB 155 - SUB ISLAND NOODLES</v>
      </c>
      <c r="E657" t="str">
        <f>IF(AND(ISNUMBER(SEARCH(" - ",TRIM('MSR RAW'!C657))),RIGHT(TRIM('MSR RAW'!C657),6)="Total:"),LEFT(TRIM('MSR RAW'!C657),SEARCH(" - ",TRIM('MSR RAW'!C657))-1),"")</f>
        <v/>
      </c>
      <c r="F657" t="str">
        <f>IF(E657="","",TRIM(MID(TRIM('MSR RAW'!C657),SEARCH(" - ",TRIM('MSR RAW'!C657))+3,LEN(TRIM('MSR RAW'!C657))-SEARCH(" - ",TRIM('MSR RAW'!C657))-9)))</f>
        <v/>
      </c>
      <c r="G657" t="str">
        <f>IF(E657="","",IFERROR(VLOOKUP(E657,'CATEGORY MAP'!$A$2:$B$20,2,FALSE()),"REVIEW"))</f>
        <v/>
      </c>
      <c r="H657" t="str">
        <f>IF(E657="","",IFERROR(VALUE(SUBSTITUTE('MSR RAW'!P657,",","")),0))</f>
        <v/>
      </c>
      <c r="I657" t="str">
        <f>IF(E657="","",IFERROR(VALUE(SUBSTITUTE('MSR RAW'!S657,",","")),0))</f>
        <v/>
      </c>
    </row>
    <row r="658" spans="1:9" ht="68.650000000000006" customHeight="1" x14ac:dyDescent="0.2">
      <c r="A658">
        <v>658</v>
      </c>
      <c r="B65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58" t="str">
        <f>IF(LEFT(TRIM('MSR RAW'!A658),11)="Department:",TRIM('MSR RAW'!A658),C657)</f>
        <v>Department: 36637 - SPECIALTY CONCESSIONS (VENDING)</v>
      </c>
      <c r="D658" t="str">
        <f>IF(LEFT(TRIM('MSR RAW'!B658),9)="Location:",TRIM(MID('MSR RAW'!B658,10,999)),D657)</f>
        <v>FB 155 - SUB ISLAND NOODLES</v>
      </c>
      <c r="E658" t="str">
        <f>IF(AND(ISNUMBER(SEARCH(" - ",TRIM('MSR RAW'!C658))),RIGHT(TRIM('MSR RAW'!C658),6)="Total:"),LEFT(TRIM('MSR RAW'!C658),SEARCH(" - ",TRIM('MSR RAW'!C658))-1),"")</f>
        <v/>
      </c>
      <c r="F658" t="str">
        <f>IF(E658="","",TRIM(MID(TRIM('MSR RAW'!C658),SEARCH(" - ",TRIM('MSR RAW'!C658))+3,LEN(TRIM('MSR RAW'!C658))-SEARCH(" - ",TRIM('MSR RAW'!C658))-9)))</f>
        <v/>
      </c>
      <c r="G658" t="str">
        <f>IF(E658="","",IFERROR(VLOOKUP(E658,'CATEGORY MAP'!$A$2:$B$20,2,FALSE()),"REVIEW"))</f>
        <v/>
      </c>
      <c r="H658" t="str">
        <f>IF(E658="","",IFERROR(VALUE(SUBSTITUTE('MSR RAW'!P658,",","")),0))</f>
        <v/>
      </c>
      <c r="I658" t="str">
        <f>IF(E658="","",IFERROR(VALUE(SUBSTITUTE('MSR RAW'!S658,",","")),0))</f>
        <v/>
      </c>
    </row>
    <row r="659" spans="1:9" ht="68.650000000000006" customHeight="1" x14ac:dyDescent="0.2">
      <c r="A659">
        <v>659</v>
      </c>
      <c r="B65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59" t="str">
        <f>IF(LEFT(TRIM('MSR RAW'!A659),11)="Department:",TRIM('MSR RAW'!A659),C658)</f>
        <v>Department: 36637 - SPECIALTY CONCESSIONS (VENDING)</v>
      </c>
      <c r="D659" t="str">
        <f>IF(LEFT(TRIM('MSR RAW'!B659),9)="Location:",TRIM(MID('MSR RAW'!B659,10,999)),D658)</f>
        <v>FB 155 - SUB ISLAND NOODLES</v>
      </c>
      <c r="E659" t="str">
        <f>IF(AND(ISNUMBER(SEARCH(" - ",TRIM('MSR RAW'!C659))),RIGHT(TRIM('MSR RAW'!C659),6)="Total:"),LEFT(TRIM('MSR RAW'!C659),SEARCH(" - ",TRIM('MSR RAW'!C659))-1),"")</f>
        <v/>
      </c>
      <c r="F659" t="str">
        <f>IF(E659="","",TRIM(MID(TRIM('MSR RAW'!C659),SEARCH(" - ",TRIM('MSR RAW'!C659))+3,LEN(TRIM('MSR RAW'!C659))-SEARCH(" - ",TRIM('MSR RAW'!C659))-9)))</f>
        <v/>
      </c>
      <c r="G659" t="str">
        <f>IF(E659="","",IFERROR(VLOOKUP(E659,'CATEGORY MAP'!$A$2:$B$20,2,FALSE()),"REVIEW"))</f>
        <v/>
      </c>
      <c r="H659" t="str">
        <f>IF(E659="","",IFERROR(VALUE(SUBSTITUTE('MSR RAW'!P659,",","")),0))</f>
        <v/>
      </c>
      <c r="I659" t="str">
        <f>IF(E659="","",IFERROR(VALUE(SUBSTITUTE('MSR RAW'!S659,",","")),0))</f>
        <v/>
      </c>
    </row>
    <row r="660" spans="1:9" ht="68.650000000000006" customHeight="1" x14ac:dyDescent="0.2">
      <c r="A660">
        <v>660</v>
      </c>
      <c r="B66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60" t="str">
        <f>IF(LEFT(TRIM('MSR RAW'!A660),11)="Department:",TRIM('MSR RAW'!A660),C659)</f>
        <v>Department: 36637 - SPECIALTY CONCESSIONS (VENDING)</v>
      </c>
      <c r="D660" t="str">
        <f>IF(LEFT(TRIM('MSR RAW'!B660),9)="Location:",TRIM(MID('MSR RAW'!B660,10,999)),D659)</f>
        <v>FB 155 - SUB ISLAND NOODLES</v>
      </c>
      <c r="E660" t="str">
        <f>IF(AND(ISNUMBER(SEARCH(" - ",TRIM('MSR RAW'!C660))),RIGHT(TRIM('MSR RAW'!C660),6)="Total:"),LEFT(TRIM('MSR RAW'!C660),SEARCH(" - ",TRIM('MSR RAW'!C660))-1),"")</f>
        <v/>
      </c>
      <c r="F660" t="str">
        <f>IF(E660="","",TRIM(MID(TRIM('MSR RAW'!C660),SEARCH(" - ",TRIM('MSR RAW'!C660))+3,LEN(TRIM('MSR RAW'!C660))-SEARCH(" - ",TRIM('MSR RAW'!C660))-9)))</f>
        <v/>
      </c>
      <c r="G660" t="str">
        <f>IF(E660="","",IFERROR(VLOOKUP(E660,'CATEGORY MAP'!$A$2:$B$20,2,FALSE()),"REVIEW"))</f>
        <v/>
      </c>
      <c r="H660" t="str">
        <f>IF(E660="","",IFERROR(VALUE(SUBSTITUTE('MSR RAW'!P660,",","")),0))</f>
        <v/>
      </c>
      <c r="I660" t="str">
        <f>IF(E660="","",IFERROR(VALUE(SUBSTITUTE('MSR RAW'!S660,",","")),0))</f>
        <v/>
      </c>
    </row>
    <row r="661" spans="1:9" ht="68.650000000000006" customHeight="1" x14ac:dyDescent="0.2">
      <c r="A661">
        <v>661</v>
      </c>
      <c r="B66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61" t="str">
        <f>IF(LEFT(TRIM('MSR RAW'!A661),11)="Department:",TRIM('MSR RAW'!A661),C660)</f>
        <v>Department: 36637 - SPECIALTY CONCESSIONS (VENDING)</v>
      </c>
      <c r="D661" t="str">
        <f>IF(LEFT(TRIM('MSR RAW'!B661),9)="Location:",TRIM(MID('MSR RAW'!B661,10,999)),D660)</f>
        <v>FB 155 - SUB ISLAND NOODLES</v>
      </c>
      <c r="E661" t="str">
        <f>IF(AND(ISNUMBER(SEARCH(" - ",TRIM('MSR RAW'!C661))),RIGHT(TRIM('MSR RAW'!C661),6)="Total:"),LEFT(TRIM('MSR RAW'!C661),SEARCH(" - ",TRIM('MSR RAW'!C661))-1),"")</f>
        <v/>
      </c>
      <c r="F661" t="str">
        <f>IF(E661="","",TRIM(MID(TRIM('MSR RAW'!C661),SEARCH(" - ",TRIM('MSR RAW'!C661))+3,LEN(TRIM('MSR RAW'!C661))-SEARCH(" - ",TRIM('MSR RAW'!C661))-9)))</f>
        <v/>
      </c>
      <c r="G661" t="str">
        <f>IF(E661="","",IFERROR(VLOOKUP(E661,'CATEGORY MAP'!$A$2:$B$20,2,FALSE()),"REVIEW"))</f>
        <v/>
      </c>
      <c r="H661" t="str">
        <f>IF(E661="","",IFERROR(VALUE(SUBSTITUTE('MSR RAW'!P661,",","")),0))</f>
        <v/>
      </c>
      <c r="I661" t="str">
        <f>IF(E661="","",IFERROR(VALUE(SUBSTITUTE('MSR RAW'!S661,",","")),0))</f>
        <v/>
      </c>
    </row>
    <row r="662" spans="1:9" ht="68.650000000000006" customHeight="1" x14ac:dyDescent="0.2">
      <c r="A662">
        <v>662</v>
      </c>
      <c r="B66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62" t="str">
        <f>IF(LEFT(TRIM('MSR RAW'!A662),11)="Department:",TRIM('MSR RAW'!A662),C661)</f>
        <v>Department: 36637 - SPECIALTY CONCESSIONS (VENDING)</v>
      </c>
      <c r="D662" t="str">
        <f>IF(LEFT(TRIM('MSR RAW'!B662),9)="Location:",TRIM(MID('MSR RAW'!B662,10,999)),D661)</f>
        <v>FB 155 - SUB ISLAND NOODLES</v>
      </c>
      <c r="E662" t="str">
        <f>IF(AND(ISNUMBER(SEARCH(" - ",TRIM('MSR RAW'!C662))),RIGHT(TRIM('MSR RAW'!C662),6)="Total:"),LEFT(TRIM('MSR RAW'!C662),SEARCH(" - ",TRIM('MSR RAW'!C662))-1),"")</f>
        <v/>
      </c>
      <c r="F662" t="str">
        <f>IF(E662="","",TRIM(MID(TRIM('MSR RAW'!C662),SEARCH(" - ",TRIM('MSR RAW'!C662))+3,LEN(TRIM('MSR RAW'!C662))-SEARCH(" - ",TRIM('MSR RAW'!C662))-9)))</f>
        <v/>
      </c>
      <c r="G662" t="str">
        <f>IF(E662="","",IFERROR(VLOOKUP(E662,'CATEGORY MAP'!$A$2:$B$20,2,FALSE()),"REVIEW"))</f>
        <v/>
      </c>
      <c r="H662" t="str">
        <f>IF(E662="","",IFERROR(VALUE(SUBSTITUTE('MSR RAW'!P662,",","")),0))</f>
        <v/>
      </c>
      <c r="I662" t="str">
        <f>IF(E662="","",IFERROR(VALUE(SUBSTITUTE('MSR RAW'!S662,",","")),0))</f>
        <v/>
      </c>
    </row>
    <row r="663" spans="1:9" ht="68.650000000000006" customHeight="1" x14ac:dyDescent="0.2">
      <c r="A663">
        <v>663</v>
      </c>
      <c r="B66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63" t="str">
        <f>IF(LEFT(TRIM('MSR RAW'!A663),11)="Department:",TRIM('MSR RAW'!A663),C662)</f>
        <v>Department: 36637 - SPECIALTY CONCESSIONS (VENDING)</v>
      </c>
      <c r="D663" t="str">
        <f>IF(LEFT(TRIM('MSR RAW'!B663),9)="Location:",TRIM(MID('MSR RAW'!B663,10,999)),D662)</f>
        <v>FB 155 - SUB ISLAND NOODLES</v>
      </c>
      <c r="E663" t="str">
        <f>IF(AND(ISNUMBER(SEARCH(" - ",TRIM('MSR RAW'!C663))),RIGHT(TRIM('MSR RAW'!C663),6)="Total:"),LEFT(TRIM('MSR RAW'!C663),SEARCH(" - ",TRIM('MSR RAW'!C663))-1),"")</f>
        <v/>
      </c>
      <c r="F663" t="str">
        <f>IF(E663="","",TRIM(MID(TRIM('MSR RAW'!C663),SEARCH(" - ",TRIM('MSR RAW'!C663))+3,LEN(TRIM('MSR RAW'!C663))-SEARCH(" - ",TRIM('MSR RAW'!C663))-9)))</f>
        <v/>
      </c>
      <c r="G663" t="str">
        <f>IF(E663="","",IFERROR(VLOOKUP(E663,'CATEGORY MAP'!$A$2:$B$20,2,FALSE()),"REVIEW"))</f>
        <v/>
      </c>
      <c r="H663" t="str">
        <f>IF(E663="","",IFERROR(VALUE(SUBSTITUTE('MSR RAW'!P663,",","")),0))</f>
        <v/>
      </c>
      <c r="I663" t="str">
        <f>IF(E663="","",IFERROR(VALUE(SUBSTITUTE('MSR RAW'!S663,",","")),0))</f>
        <v/>
      </c>
    </row>
    <row r="664" spans="1:9" ht="68.650000000000006" customHeight="1" x14ac:dyDescent="0.2">
      <c r="A664">
        <v>664</v>
      </c>
      <c r="B66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64" t="str">
        <f>IF(LEFT(TRIM('MSR RAW'!A664),11)="Department:",TRIM('MSR RAW'!A664),C663)</f>
        <v>Department: 36637 - SPECIALTY CONCESSIONS (VENDING)</v>
      </c>
      <c r="D664" t="str">
        <f>IF(LEFT(TRIM('MSR RAW'!B664),9)="Location:",TRIM(MID('MSR RAW'!B664,10,999)),D663)</f>
        <v>FB 155 - SUB ISLAND NOODLES</v>
      </c>
      <c r="E664" t="str">
        <f>IF(AND(ISNUMBER(SEARCH(" - ",TRIM('MSR RAW'!C664))),RIGHT(TRIM('MSR RAW'!C664),6)="Total:"),LEFT(TRIM('MSR RAW'!C664),SEARCH(" - ",TRIM('MSR RAW'!C664))-1),"")</f>
        <v/>
      </c>
      <c r="F664" t="str">
        <f>IF(E664="","",TRIM(MID(TRIM('MSR RAW'!C664),SEARCH(" - ",TRIM('MSR RAW'!C664))+3,LEN(TRIM('MSR RAW'!C664))-SEARCH(" - ",TRIM('MSR RAW'!C664))-9)))</f>
        <v/>
      </c>
      <c r="G664" t="str">
        <f>IF(E664="","",IFERROR(VLOOKUP(E664,'CATEGORY MAP'!$A$2:$B$20,2,FALSE()),"REVIEW"))</f>
        <v/>
      </c>
      <c r="H664" t="str">
        <f>IF(E664="","",IFERROR(VALUE(SUBSTITUTE('MSR RAW'!P664,",","")),0))</f>
        <v/>
      </c>
      <c r="I664" t="str">
        <f>IF(E664="","",IFERROR(VALUE(SUBSTITUTE('MSR RAW'!S664,",","")),0))</f>
        <v/>
      </c>
    </row>
    <row r="665" spans="1:9" ht="68.650000000000006" customHeight="1" x14ac:dyDescent="0.2">
      <c r="A665">
        <v>665</v>
      </c>
      <c r="B66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65" t="str">
        <f>IF(LEFT(TRIM('MSR RAW'!A665),11)="Department:",TRIM('MSR RAW'!A665),C664)</f>
        <v>Department: 36637 - SPECIALTY CONCESSIONS (VENDING)</v>
      </c>
      <c r="D665" t="str">
        <f>IF(LEFT(TRIM('MSR RAW'!B665),9)="Location:",TRIM(MID('MSR RAW'!B665,10,999)),D664)</f>
        <v>FB 155 - SUB ISLAND NOODLES</v>
      </c>
      <c r="E665" t="str">
        <f>IF(AND(ISNUMBER(SEARCH(" - ",TRIM('MSR RAW'!C665))),RIGHT(TRIM('MSR RAW'!C665),6)="Total:"),LEFT(TRIM('MSR RAW'!C665),SEARCH(" - ",TRIM('MSR RAW'!C665))-1),"")</f>
        <v/>
      </c>
      <c r="F665" t="str">
        <f>IF(E665="","",TRIM(MID(TRIM('MSR RAW'!C665),SEARCH(" - ",TRIM('MSR RAW'!C665))+3,LEN(TRIM('MSR RAW'!C665))-SEARCH(" - ",TRIM('MSR RAW'!C665))-9)))</f>
        <v/>
      </c>
      <c r="G665" t="str">
        <f>IF(E665="","",IFERROR(VLOOKUP(E665,'CATEGORY MAP'!$A$2:$B$20,2,FALSE()),"REVIEW"))</f>
        <v/>
      </c>
      <c r="H665" t="str">
        <f>IF(E665="","",IFERROR(VALUE(SUBSTITUTE('MSR RAW'!P665,",","")),0))</f>
        <v/>
      </c>
      <c r="I665" t="str">
        <f>IF(E665="","",IFERROR(VALUE(SUBSTITUTE('MSR RAW'!S665,",","")),0))</f>
        <v/>
      </c>
    </row>
    <row r="666" spans="1:9" ht="68.650000000000006" customHeight="1" x14ac:dyDescent="0.2">
      <c r="A666">
        <v>666</v>
      </c>
      <c r="B66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66" t="str">
        <f>IF(LEFT(TRIM('MSR RAW'!A666),11)="Department:",TRIM('MSR RAW'!A666),C665)</f>
        <v>Department: 36637 - SPECIALTY CONCESSIONS (VENDING)</v>
      </c>
      <c r="D666" t="str">
        <f>IF(LEFT(TRIM('MSR RAW'!B666),9)="Location:",TRIM(MID('MSR RAW'!B666,10,999)),D665)</f>
        <v>FB 155 - SUB ISLAND NOODLES</v>
      </c>
      <c r="E666" t="str">
        <f>IF(AND(ISNUMBER(SEARCH(" - ",TRIM('MSR RAW'!C666))),RIGHT(TRIM('MSR RAW'!C666),6)="Total:"),LEFT(TRIM('MSR RAW'!C666),SEARCH(" - ",TRIM('MSR RAW'!C666))-1),"")</f>
        <v/>
      </c>
      <c r="F666" t="str">
        <f>IF(E666="","",TRIM(MID(TRIM('MSR RAW'!C666),SEARCH(" - ",TRIM('MSR RAW'!C666))+3,LEN(TRIM('MSR RAW'!C666))-SEARCH(" - ",TRIM('MSR RAW'!C666))-9)))</f>
        <v/>
      </c>
      <c r="G666" t="str">
        <f>IF(E666="","",IFERROR(VLOOKUP(E666,'CATEGORY MAP'!$A$2:$B$20,2,FALSE()),"REVIEW"))</f>
        <v/>
      </c>
      <c r="H666" t="str">
        <f>IF(E666="","",IFERROR(VALUE(SUBSTITUTE('MSR RAW'!P666,",","")),0))</f>
        <v/>
      </c>
      <c r="I666" t="str">
        <f>IF(E666="","",IFERROR(VALUE(SUBSTITUTE('MSR RAW'!S666,",","")),0))</f>
        <v/>
      </c>
    </row>
    <row r="667" spans="1:9" ht="68.650000000000006" customHeight="1" x14ac:dyDescent="0.2">
      <c r="A667">
        <v>667</v>
      </c>
      <c r="B66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67" t="str">
        <f>IF(LEFT(TRIM('MSR RAW'!A667),11)="Department:",TRIM('MSR RAW'!A667),C666)</f>
        <v>Department: 36637 - SPECIALTY CONCESSIONS (VENDING)</v>
      </c>
      <c r="D667" t="str">
        <f>IF(LEFT(TRIM('MSR RAW'!B667),9)="Location:",TRIM(MID('MSR RAW'!B667,10,999)),D666)</f>
        <v>FB 155 - SUB ISLAND NOODLES</v>
      </c>
      <c r="E667" t="str">
        <f>IF(AND(ISNUMBER(SEARCH(" - ",TRIM('MSR RAW'!C667))),RIGHT(TRIM('MSR RAW'!C667),6)="Total:"),LEFT(TRIM('MSR RAW'!C667),SEARCH(" - ",TRIM('MSR RAW'!C667))-1),"")</f>
        <v/>
      </c>
      <c r="F667" t="str">
        <f>IF(E667="","",TRIM(MID(TRIM('MSR RAW'!C667),SEARCH(" - ",TRIM('MSR RAW'!C667))+3,LEN(TRIM('MSR RAW'!C667))-SEARCH(" - ",TRIM('MSR RAW'!C667))-9)))</f>
        <v/>
      </c>
      <c r="G667" t="str">
        <f>IF(E667="","",IFERROR(VLOOKUP(E667,'CATEGORY MAP'!$A$2:$B$20,2,FALSE()),"REVIEW"))</f>
        <v/>
      </c>
      <c r="H667" t="str">
        <f>IF(E667="","",IFERROR(VALUE(SUBSTITUTE('MSR RAW'!P667,",","")),0))</f>
        <v/>
      </c>
      <c r="I667" t="str">
        <f>IF(E667="","",IFERROR(VALUE(SUBSTITUTE('MSR RAW'!S667,",","")),0))</f>
        <v/>
      </c>
    </row>
    <row r="668" spans="1:9" ht="68.650000000000006" customHeight="1" x14ac:dyDescent="0.2">
      <c r="A668">
        <v>668</v>
      </c>
      <c r="B66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68" t="str">
        <f>IF(LEFT(TRIM('MSR RAW'!A668),11)="Department:",TRIM('MSR RAW'!A668),C667)</f>
        <v>Department: 36637 - SPECIALTY CONCESSIONS (VENDING)</v>
      </c>
      <c r="D668" t="str">
        <f>IF(LEFT(TRIM('MSR RAW'!B668),9)="Location:",TRIM(MID('MSR RAW'!B668,10,999)),D667)</f>
        <v>FB 155 - SUB ISLAND NOODLES</v>
      </c>
      <c r="E668" t="str">
        <f>IF(AND(ISNUMBER(SEARCH(" - ",TRIM('MSR RAW'!C668))),RIGHT(TRIM('MSR RAW'!C668),6)="Total:"),LEFT(TRIM('MSR RAW'!C668),SEARCH(" - ",TRIM('MSR RAW'!C668))-1),"")</f>
        <v/>
      </c>
      <c r="F668" t="str">
        <f>IF(E668="","",TRIM(MID(TRIM('MSR RAW'!C668),SEARCH(" - ",TRIM('MSR RAW'!C668))+3,LEN(TRIM('MSR RAW'!C668))-SEARCH(" - ",TRIM('MSR RAW'!C668))-9)))</f>
        <v/>
      </c>
      <c r="G668" t="str">
        <f>IF(E668="","",IFERROR(VLOOKUP(E668,'CATEGORY MAP'!$A$2:$B$20,2,FALSE()),"REVIEW"))</f>
        <v/>
      </c>
      <c r="H668" t="str">
        <f>IF(E668="","",IFERROR(VALUE(SUBSTITUTE('MSR RAW'!P668,",","")),0))</f>
        <v/>
      </c>
      <c r="I668" t="str">
        <f>IF(E668="","",IFERROR(VALUE(SUBSTITUTE('MSR RAW'!S668,",","")),0))</f>
        <v/>
      </c>
    </row>
    <row r="669" spans="1:9" ht="68.650000000000006" customHeight="1" x14ac:dyDescent="0.2">
      <c r="A669">
        <v>669</v>
      </c>
      <c r="B66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69" t="str">
        <f>IF(LEFT(TRIM('MSR RAW'!A669),11)="Department:",TRIM('MSR RAW'!A669),C668)</f>
        <v>Department: 36637 - SPECIALTY CONCESSIONS (VENDING)</v>
      </c>
      <c r="D669" t="str">
        <f>IF(LEFT(TRIM('MSR RAW'!B669),9)="Location:",TRIM(MID('MSR RAW'!B669,10,999)),D668)</f>
        <v>FB 155 - SUB ISLAND NOODLES</v>
      </c>
      <c r="E669" t="str">
        <f>IF(AND(ISNUMBER(SEARCH(" - ",TRIM('MSR RAW'!C669))),RIGHT(TRIM('MSR RAW'!C669),6)="Total:"),LEFT(TRIM('MSR RAW'!C669),SEARCH(" - ",TRIM('MSR RAW'!C669))-1),"")</f>
        <v/>
      </c>
      <c r="F669" t="str">
        <f>IF(E669="","",TRIM(MID(TRIM('MSR RAW'!C669),SEARCH(" - ",TRIM('MSR RAW'!C669))+3,LEN(TRIM('MSR RAW'!C669))-SEARCH(" - ",TRIM('MSR RAW'!C669))-9)))</f>
        <v/>
      </c>
      <c r="G669" t="str">
        <f>IF(E669="","",IFERROR(VLOOKUP(E669,'CATEGORY MAP'!$A$2:$B$20,2,FALSE()),"REVIEW"))</f>
        <v/>
      </c>
      <c r="H669" t="str">
        <f>IF(E669="","",IFERROR(VALUE(SUBSTITUTE('MSR RAW'!P669,",","")),0))</f>
        <v/>
      </c>
      <c r="I669" t="str">
        <f>IF(E669="","",IFERROR(VALUE(SUBSTITUTE('MSR RAW'!S669,",","")),0))</f>
        <v/>
      </c>
    </row>
    <row r="670" spans="1:9" ht="68.650000000000006" customHeight="1" x14ac:dyDescent="0.2">
      <c r="A670">
        <v>670</v>
      </c>
      <c r="B67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70" t="str">
        <f>IF(LEFT(TRIM('MSR RAW'!A670),11)="Department:",TRIM('MSR RAW'!A670),C669)</f>
        <v>Department: 36637 - SPECIALTY CONCESSIONS (VENDING)</v>
      </c>
      <c r="D670" t="str">
        <f>IF(LEFT(TRIM('MSR RAW'!B670),9)="Location:",TRIM(MID('MSR RAW'!B670,10,999)),D669)</f>
        <v>FB 155 - SUB ISLAND NOODLES</v>
      </c>
      <c r="E670" t="str">
        <f>IF(AND(ISNUMBER(SEARCH(" - ",TRIM('MSR RAW'!C670))),RIGHT(TRIM('MSR RAW'!C670),6)="Total:"),LEFT(TRIM('MSR RAW'!C670),SEARCH(" - ",TRIM('MSR RAW'!C670))-1),"")</f>
        <v/>
      </c>
      <c r="F670" t="str">
        <f>IF(E670="","",TRIM(MID(TRIM('MSR RAW'!C670),SEARCH(" - ",TRIM('MSR RAW'!C670))+3,LEN(TRIM('MSR RAW'!C670))-SEARCH(" - ",TRIM('MSR RAW'!C670))-9)))</f>
        <v/>
      </c>
      <c r="G670" t="str">
        <f>IF(E670="","",IFERROR(VLOOKUP(E670,'CATEGORY MAP'!$A$2:$B$20,2,FALSE()),"REVIEW"))</f>
        <v/>
      </c>
      <c r="H670" t="str">
        <f>IF(E670="","",IFERROR(VALUE(SUBSTITUTE('MSR RAW'!P670,",","")),0))</f>
        <v/>
      </c>
      <c r="I670" t="str">
        <f>IF(E670="","",IFERROR(VALUE(SUBSTITUTE('MSR RAW'!S670,",","")),0))</f>
        <v/>
      </c>
    </row>
    <row r="671" spans="1:9" ht="68.650000000000006" customHeight="1" x14ac:dyDescent="0.2">
      <c r="A671">
        <v>671</v>
      </c>
      <c r="B67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71" t="str">
        <f>IF(LEFT(TRIM('MSR RAW'!A671),11)="Department:",TRIM('MSR RAW'!A671),C670)</f>
        <v>Department: 36637 - SPECIALTY CONCESSIONS (VENDING)</v>
      </c>
      <c r="D671" t="str">
        <f>IF(LEFT(TRIM('MSR RAW'!B671),9)="Location:",TRIM(MID('MSR RAW'!B671,10,999)),D670)</f>
        <v>FB 155 - SUB ISLAND NOODLES</v>
      </c>
      <c r="E671" t="str">
        <f>IF(AND(ISNUMBER(SEARCH(" - ",TRIM('MSR RAW'!C671))),RIGHT(TRIM('MSR RAW'!C671),6)="Total:"),LEFT(TRIM('MSR RAW'!C671),SEARCH(" - ",TRIM('MSR RAW'!C671))-1),"")</f>
        <v/>
      </c>
      <c r="F671" t="str">
        <f>IF(E671="","",TRIM(MID(TRIM('MSR RAW'!C671),SEARCH(" - ",TRIM('MSR RAW'!C671))+3,LEN(TRIM('MSR RAW'!C671))-SEARCH(" - ",TRIM('MSR RAW'!C671))-9)))</f>
        <v/>
      </c>
      <c r="G671" t="str">
        <f>IF(E671="","",IFERROR(VLOOKUP(E671,'CATEGORY MAP'!$A$2:$B$20,2,FALSE()),"REVIEW"))</f>
        <v/>
      </c>
      <c r="H671" t="str">
        <f>IF(E671="","",IFERROR(VALUE(SUBSTITUTE('MSR RAW'!P671,",","")),0))</f>
        <v/>
      </c>
      <c r="I671" t="str">
        <f>IF(E671="","",IFERROR(VALUE(SUBSTITUTE('MSR RAW'!S671,",","")),0))</f>
        <v/>
      </c>
    </row>
    <row r="672" spans="1:9" ht="68.650000000000006" customHeight="1" x14ac:dyDescent="0.2">
      <c r="A672">
        <v>672</v>
      </c>
      <c r="B67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72" t="str">
        <f>IF(LEFT(TRIM('MSR RAW'!A672),11)="Department:",TRIM('MSR RAW'!A672),C671)</f>
        <v>Department: 36637 - SPECIALTY CONCESSIONS (VENDING)</v>
      </c>
      <c r="D672" t="str">
        <f>IF(LEFT(TRIM('MSR RAW'!B672),9)="Location:",TRIM(MID('MSR RAW'!B672,10,999)),D671)</f>
        <v>FB 155 - SUB ISLAND NOODLES</v>
      </c>
      <c r="E672" t="str">
        <f>IF(AND(ISNUMBER(SEARCH(" - ",TRIM('MSR RAW'!C672))),RIGHT(TRIM('MSR RAW'!C672),6)="Total:"),LEFT(TRIM('MSR RAW'!C672),SEARCH(" - ",TRIM('MSR RAW'!C672))-1),"")</f>
        <v/>
      </c>
      <c r="F672" t="str">
        <f>IF(E672="","",TRIM(MID(TRIM('MSR RAW'!C672),SEARCH(" - ",TRIM('MSR RAW'!C672))+3,LEN(TRIM('MSR RAW'!C672))-SEARCH(" - ",TRIM('MSR RAW'!C672))-9)))</f>
        <v/>
      </c>
      <c r="G672" t="str">
        <f>IF(E672="","",IFERROR(VLOOKUP(E672,'CATEGORY MAP'!$A$2:$B$20,2,FALSE()),"REVIEW"))</f>
        <v/>
      </c>
      <c r="H672" t="str">
        <f>IF(E672="","",IFERROR(VALUE(SUBSTITUTE('MSR RAW'!P672,",","")),0))</f>
        <v/>
      </c>
      <c r="I672" t="str">
        <f>IF(E672="","",IFERROR(VALUE(SUBSTITUTE('MSR RAW'!S672,",","")),0))</f>
        <v/>
      </c>
    </row>
    <row r="673" spans="1:9" ht="68.650000000000006" customHeight="1" x14ac:dyDescent="0.2">
      <c r="A673">
        <v>673</v>
      </c>
      <c r="B67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73" t="str">
        <f>IF(LEFT(TRIM('MSR RAW'!A673),11)="Department:",TRIM('MSR RAW'!A673),C672)</f>
        <v>Department: 36637 - SPECIALTY CONCESSIONS (VENDING)</v>
      </c>
      <c r="D673" t="str">
        <f>IF(LEFT(TRIM('MSR RAW'!B673),9)="Location:",TRIM(MID('MSR RAW'!B673,10,999)),D672)</f>
        <v>FB 155 - SUB ISLAND NOODLES</v>
      </c>
      <c r="E673" t="str">
        <f>IF(AND(ISNUMBER(SEARCH(" - ",TRIM('MSR RAW'!C673))),RIGHT(TRIM('MSR RAW'!C673),6)="Total:"),LEFT(TRIM('MSR RAW'!C673),SEARCH(" - ",TRIM('MSR RAW'!C673))-1),"")</f>
        <v/>
      </c>
      <c r="F673" t="str">
        <f>IF(E673="","",TRIM(MID(TRIM('MSR RAW'!C673),SEARCH(" - ",TRIM('MSR RAW'!C673))+3,LEN(TRIM('MSR RAW'!C673))-SEARCH(" - ",TRIM('MSR RAW'!C673))-9)))</f>
        <v/>
      </c>
      <c r="G673" t="str">
        <f>IF(E673="","",IFERROR(VLOOKUP(E673,'CATEGORY MAP'!$A$2:$B$20,2,FALSE()),"REVIEW"))</f>
        <v/>
      </c>
      <c r="H673" t="str">
        <f>IF(E673="","",IFERROR(VALUE(SUBSTITUTE('MSR RAW'!P673,",","")),0))</f>
        <v/>
      </c>
      <c r="I673" t="str">
        <f>IF(E673="","",IFERROR(VALUE(SUBSTITUTE('MSR RAW'!S673,",","")),0))</f>
        <v/>
      </c>
    </row>
    <row r="674" spans="1:9" ht="68.650000000000006" customHeight="1" x14ac:dyDescent="0.2">
      <c r="A674">
        <v>674</v>
      </c>
      <c r="B67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74" t="str">
        <f>IF(LEFT(TRIM('MSR RAW'!A674),11)="Department:",TRIM('MSR RAW'!A674),C673)</f>
        <v>Department: 36637 - SPECIALTY CONCESSIONS (VENDING)</v>
      </c>
      <c r="D674" t="str">
        <f>IF(LEFT(TRIM('MSR RAW'!B674),9)="Location:",TRIM(MID('MSR RAW'!B674,10,999)),D673)</f>
        <v>FB 155 - SUB ISLAND NOODLES</v>
      </c>
      <c r="E674" t="str">
        <f>IF(AND(ISNUMBER(SEARCH(" - ",TRIM('MSR RAW'!C674))),RIGHT(TRIM('MSR RAW'!C674),6)="Total:"),LEFT(TRIM('MSR RAW'!C674),SEARCH(" - ",TRIM('MSR RAW'!C674))-1),"")</f>
        <v/>
      </c>
      <c r="F674" t="str">
        <f>IF(E674="","",TRIM(MID(TRIM('MSR RAW'!C674),SEARCH(" - ",TRIM('MSR RAW'!C674))+3,LEN(TRIM('MSR RAW'!C674))-SEARCH(" - ",TRIM('MSR RAW'!C674))-9)))</f>
        <v/>
      </c>
      <c r="G674" t="str">
        <f>IF(E674="","",IFERROR(VLOOKUP(E674,'CATEGORY MAP'!$A$2:$B$20,2,FALSE()),"REVIEW"))</f>
        <v/>
      </c>
      <c r="H674" t="str">
        <f>IF(E674="","",IFERROR(VALUE(SUBSTITUTE('MSR RAW'!P674,",","")),0))</f>
        <v/>
      </c>
      <c r="I674" t="str">
        <f>IF(E674="","",IFERROR(VALUE(SUBSTITUTE('MSR RAW'!S674,",","")),0))</f>
        <v/>
      </c>
    </row>
    <row r="675" spans="1:9" ht="68.650000000000006" customHeight="1" x14ac:dyDescent="0.2">
      <c r="A675">
        <v>675</v>
      </c>
      <c r="B67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75" t="str">
        <f>IF(LEFT(TRIM('MSR RAW'!A675),11)="Department:",TRIM('MSR RAW'!A675),C674)</f>
        <v>Department: 36637 - SPECIALTY CONCESSIONS (VENDING)</v>
      </c>
      <c r="D675" t="str">
        <f>IF(LEFT(TRIM('MSR RAW'!B675),9)="Location:",TRIM(MID('MSR RAW'!B675,10,999)),D674)</f>
        <v>FB 155 - SUB ISLAND NOODLES</v>
      </c>
      <c r="E675" t="str">
        <f>IF(AND(ISNUMBER(SEARCH(" - ",TRIM('MSR RAW'!C675))),RIGHT(TRIM('MSR RAW'!C675),6)="Total:"),LEFT(TRIM('MSR RAW'!C675),SEARCH(" - ",TRIM('MSR RAW'!C675))-1),"")</f>
        <v/>
      </c>
      <c r="F675" t="str">
        <f>IF(E675="","",TRIM(MID(TRIM('MSR RAW'!C675),SEARCH(" - ",TRIM('MSR RAW'!C675))+3,LEN(TRIM('MSR RAW'!C675))-SEARCH(" - ",TRIM('MSR RAW'!C675))-9)))</f>
        <v/>
      </c>
      <c r="G675" t="str">
        <f>IF(E675="","",IFERROR(VLOOKUP(E675,'CATEGORY MAP'!$A$2:$B$20,2,FALSE()),"REVIEW"))</f>
        <v/>
      </c>
      <c r="H675" t="str">
        <f>IF(E675="","",IFERROR(VALUE(SUBSTITUTE('MSR RAW'!P675,",","")),0))</f>
        <v/>
      </c>
      <c r="I675" t="str">
        <f>IF(E675="","",IFERROR(VALUE(SUBSTITUTE('MSR RAW'!S675,",","")),0))</f>
        <v/>
      </c>
    </row>
    <row r="676" spans="1:9" ht="68.650000000000006" customHeight="1" x14ac:dyDescent="0.2">
      <c r="A676">
        <v>676</v>
      </c>
      <c r="B67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76" t="str">
        <f>IF(LEFT(TRIM('MSR RAW'!A676),11)="Department:",TRIM('MSR RAW'!A676),C675)</f>
        <v>Department: 36637 - SPECIALTY CONCESSIONS (VENDING)</v>
      </c>
      <c r="D676" t="str">
        <f>IF(LEFT(TRIM('MSR RAW'!B676),9)="Location:",TRIM(MID('MSR RAW'!B676,10,999)),D675)</f>
        <v>FB 155 - SUB ISLAND NOODLES</v>
      </c>
      <c r="E676" t="str">
        <f>IF(AND(ISNUMBER(SEARCH(" - ",TRIM('MSR RAW'!C676))),RIGHT(TRIM('MSR RAW'!C676),6)="Total:"),LEFT(TRIM('MSR RAW'!C676),SEARCH(" - ",TRIM('MSR RAW'!C676))-1),"")</f>
        <v/>
      </c>
      <c r="F676" t="str">
        <f>IF(E676="","",TRIM(MID(TRIM('MSR RAW'!C676),SEARCH(" - ",TRIM('MSR RAW'!C676))+3,LEN(TRIM('MSR RAW'!C676))-SEARCH(" - ",TRIM('MSR RAW'!C676))-9)))</f>
        <v/>
      </c>
      <c r="G676" t="str">
        <f>IF(E676="","",IFERROR(VLOOKUP(E676,'CATEGORY MAP'!$A$2:$B$20,2,FALSE()),"REVIEW"))</f>
        <v/>
      </c>
      <c r="H676" t="str">
        <f>IF(E676="","",IFERROR(VALUE(SUBSTITUTE('MSR RAW'!P676,",","")),0))</f>
        <v/>
      </c>
      <c r="I676" t="str">
        <f>IF(E676="","",IFERROR(VALUE(SUBSTITUTE('MSR RAW'!S676,",","")),0))</f>
        <v/>
      </c>
    </row>
    <row r="677" spans="1:9" ht="68.650000000000006" customHeight="1" x14ac:dyDescent="0.2">
      <c r="A677">
        <v>677</v>
      </c>
      <c r="B67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77" t="str">
        <f>IF(LEFT(TRIM('MSR RAW'!A677),11)="Department:",TRIM('MSR RAW'!A677),C676)</f>
        <v>Department: 36637 - SPECIALTY CONCESSIONS (VENDING)</v>
      </c>
      <c r="D677" t="str">
        <f>IF(LEFT(TRIM('MSR RAW'!B677),9)="Location:",TRIM(MID('MSR RAW'!B677,10,999)),D676)</f>
        <v>FB 155 - SUB ISLAND NOODLES</v>
      </c>
      <c r="E677" t="str">
        <f>IF(AND(ISNUMBER(SEARCH(" - ",TRIM('MSR RAW'!C677))),RIGHT(TRIM('MSR RAW'!C677),6)="Total:"),LEFT(TRIM('MSR RAW'!C677),SEARCH(" - ",TRIM('MSR RAW'!C677))-1),"")</f>
        <v/>
      </c>
      <c r="F677" t="str">
        <f>IF(E677="","",TRIM(MID(TRIM('MSR RAW'!C677),SEARCH(" - ",TRIM('MSR RAW'!C677))+3,LEN(TRIM('MSR RAW'!C677))-SEARCH(" - ",TRIM('MSR RAW'!C677))-9)))</f>
        <v/>
      </c>
      <c r="G677" t="str">
        <f>IF(E677="","",IFERROR(VLOOKUP(E677,'CATEGORY MAP'!$A$2:$B$20,2,FALSE()),"REVIEW"))</f>
        <v/>
      </c>
      <c r="H677" t="str">
        <f>IF(E677="","",IFERROR(VALUE(SUBSTITUTE('MSR RAW'!P677,",","")),0))</f>
        <v/>
      </c>
      <c r="I677" t="str">
        <f>IF(E677="","",IFERROR(VALUE(SUBSTITUTE('MSR RAW'!S677,",","")),0))</f>
        <v/>
      </c>
    </row>
    <row r="678" spans="1:9" ht="68.650000000000006" customHeight="1" x14ac:dyDescent="0.2">
      <c r="A678">
        <v>678</v>
      </c>
      <c r="B67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78" t="str">
        <f>IF(LEFT(TRIM('MSR RAW'!A678),11)="Department:",TRIM('MSR RAW'!A678),C677)</f>
        <v>Department: 36637 - SPECIALTY CONCESSIONS (VENDING)</v>
      </c>
      <c r="D678" t="str">
        <f>IF(LEFT(TRIM('MSR RAW'!B678),9)="Location:",TRIM(MID('MSR RAW'!B678,10,999)),D677)</f>
        <v>FB 155 - SUB ISLAND NOODLES</v>
      </c>
      <c r="E678" t="str">
        <f>IF(AND(ISNUMBER(SEARCH(" - ",TRIM('MSR RAW'!C678))),RIGHT(TRIM('MSR RAW'!C678),6)="Total:"),LEFT(TRIM('MSR RAW'!C678),SEARCH(" - ",TRIM('MSR RAW'!C678))-1),"")</f>
        <v/>
      </c>
      <c r="F678" t="str">
        <f>IF(E678="","",TRIM(MID(TRIM('MSR RAW'!C678),SEARCH(" - ",TRIM('MSR RAW'!C678))+3,LEN(TRIM('MSR RAW'!C678))-SEARCH(" - ",TRIM('MSR RAW'!C678))-9)))</f>
        <v/>
      </c>
      <c r="G678" t="str">
        <f>IF(E678="","",IFERROR(VLOOKUP(E678,'CATEGORY MAP'!$A$2:$B$20,2,FALSE()),"REVIEW"))</f>
        <v/>
      </c>
      <c r="H678" t="str">
        <f>IF(E678="","",IFERROR(VALUE(SUBSTITUTE('MSR RAW'!P678,",","")),0))</f>
        <v/>
      </c>
      <c r="I678" t="str">
        <f>IF(E678="","",IFERROR(VALUE(SUBSTITUTE('MSR RAW'!S678,",","")),0))</f>
        <v/>
      </c>
    </row>
    <row r="679" spans="1:9" ht="68.650000000000006" customHeight="1" x14ac:dyDescent="0.2">
      <c r="A679">
        <v>679</v>
      </c>
      <c r="B67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79" t="str">
        <f>IF(LEFT(TRIM('MSR RAW'!A679),11)="Department:",TRIM('MSR RAW'!A679),C678)</f>
        <v>Department: 36637 - SPECIALTY CONCESSIONS (VENDING)</v>
      </c>
      <c r="D679" t="str">
        <f>IF(LEFT(TRIM('MSR RAW'!B679),9)="Location:",TRIM(MID('MSR RAW'!B679,10,999)),D678)</f>
        <v>FB 155 - SUB ISLAND NOODLES</v>
      </c>
      <c r="E679" t="str">
        <f>IF(AND(ISNUMBER(SEARCH(" - ",TRIM('MSR RAW'!C679))),RIGHT(TRIM('MSR RAW'!C679),6)="Total:"),LEFT(TRIM('MSR RAW'!C679),SEARCH(" - ",TRIM('MSR RAW'!C679))-1),"")</f>
        <v/>
      </c>
      <c r="F679" t="str">
        <f>IF(E679="","",TRIM(MID(TRIM('MSR RAW'!C679),SEARCH(" - ",TRIM('MSR RAW'!C679))+3,LEN(TRIM('MSR RAW'!C679))-SEARCH(" - ",TRIM('MSR RAW'!C679))-9)))</f>
        <v/>
      </c>
      <c r="G679" t="str">
        <f>IF(E679="","",IFERROR(VLOOKUP(E679,'CATEGORY MAP'!$A$2:$B$20,2,FALSE()),"REVIEW"))</f>
        <v/>
      </c>
      <c r="H679" t="str">
        <f>IF(E679="","",IFERROR(VALUE(SUBSTITUTE('MSR RAW'!P679,",","")),0))</f>
        <v/>
      </c>
      <c r="I679" t="str">
        <f>IF(E679="","",IFERROR(VALUE(SUBSTITUTE('MSR RAW'!S679,",","")),0))</f>
        <v/>
      </c>
    </row>
    <row r="680" spans="1:9" ht="68.650000000000006" customHeight="1" x14ac:dyDescent="0.2">
      <c r="A680">
        <v>680</v>
      </c>
      <c r="B68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80" t="str">
        <f>IF(LEFT(TRIM('MSR RAW'!A680),11)="Department:",TRIM('MSR RAW'!A680),C679)</f>
        <v>Department: 36637 - SPECIALTY CONCESSIONS (VENDING)</v>
      </c>
      <c r="D680" t="str">
        <f>IF(LEFT(TRIM('MSR RAW'!B680),9)="Location:",TRIM(MID('MSR RAW'!B680,10,999)),D679)</f>
        <v>FB 155 - SUB ISLAND NOODLES</v>
      </c>
      <c r="E680" t="str">
        <f>IF(AND(ISNUMBER(SEARCH(" - ",TRIM('MSR RAW'!C680))),RIGHT(TRIM('MSR RAW'!C680),6)="Total:"),LEFT(TRIM('MSR RAW'!C680),SEARCH(" - ",TRIM('MSR RAW'!C680))-1),"")</f>
        <v/>
      </c>
      <c r="F680" t="str">
        <f>IF(E680="","",TRIM(MID(TRIM('MSR RAW'!C680),SEARCH(" - ",TRIM('MSR RAW'!C680))+3,LEN(TRIM('MSR RAW'!C680))-SEARCH(" - ",TRIM('MSR RAW'!C680))-9)))</f>
        <v/>
      </c>
      <c r="G680" t="str">
        <f>IF(E680="","",IFERROR(VLOOKUP(E680,'CATEGORY MAP'!$A$2:$B$20,2,FALSE()),"REVIEW"))</f>
        <v/>
      </c>
      <c r="H680" t="str">
        <f>IF(E680="","",IFERROR(VALUE(SUBSTITUTE('MSR RAW'!P680,",","")),0))</f>
        <v/>
      </c>
      <c r="I680" t="str">
        <f>IF(E680="","",IFERROR(VALUE(SUBSTITUTE('MSR RAW'!S680,",","")),0))</f>
        <v/>
      </c>
    </row>
    <row r="681" spans="1:9" ht="68.650000000000006" customHeight="1" x14ac:dyDescent="0.2">
      <c r="A681">
        <v>681</v>
      </c>
      <c r="B68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81" t="str">
        <f>IF(LEFT(TRIM('MSR RAW'!A681),11)="Department:",TRIM('MSR RAW'!A681),C680)</f>
        <v>Department: 36637 - SPECIALTY CONCESSIONS (VENDING)</v>
      </c>
      <c r="D681" t="str">
        <f>IF(LEFT(TRIM('MSR RAW'!B681),9)="Location:",TRIM(MID('MSR RAW'!B681,10,999)),D680)</f>
        <v>FB 155 - SUB ISLAND NOODLES</v>
      </c>
      <c r="E681" t="str">
        <f>IF(AND(ISNUMBER(SEARCH(" - ",TRIM('MSR RAW'!C681))),RIGHT(TRIM('MSR RAW'!C681),6)="Total:"),LEFT(TRIM('MSR RAW'!C681),SEARCH(" - ",TRIM('MSR RAW'!C681))-1),"")</f>
        <v/>
      </c>
      <c r="F681" t="str">
        <f>IF(E681="","",TRIM(MID(TRIM('MSR RAW'!C681),SEARCH(" - ",TRIM('MSR RAW'!C681))+3,LEN(TRIM('MSR RAW'!C681))-SEARCH(" - ",TRIM('MSR RAW'!C681))-9)))</f>
        <v/>
      </c>
      <c r="G681" t="str">
        <f>IF(E681="","",IFERROR(VLOOKUP(E681,'CATEGORY MAP'!$A$2:$B$20,2,FALSE()),"REVIEW"))</f>
        <v/>
      </c>
      <c r="H681" t="str">
        <f>IF(E681="","",IFERROR(VALUE(SUBSTITUTE('MSR RAW'!P681,",","")),0))</f>
        <v/>
      </c>
      <c r="I681" t="str">
        <f>IF(E681="","",IFERROR(VALUE(SUBSTITUTE('MSR RAW'!S681,",","")),0))</f>
        <v/>
      </c>
    </row>
    <row r="682" spans="1:9" ht="68.650000000000006" customHeight="1" x14ac:dyDescent="0.2">
      <c r="A682">
        <v>682</v>
      </c>
      <c r="B68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82" t="str">
        <f>IF(LEFT(TRIM('MSR RAW'!A682),11)="Department:",TRIM('MSR RAW'!A682),C681)</f>
        <v>Department: 36637 - SPECIALTY CONCESSIONS (VENDING)</v>
      </c>
      <c r="D682" t="str">
        <f>IF(LEFT(TRIM('MSR RAW'!B682),9)="Location:",TRIM(MID('MSR RAW'!B682,10,999)),D681)</f>
        <v>FB 155 - SUB ISLAND NOODLES</v>
      </c>
      <c r="E682" t="str">
        <f>IF(AND(ISNUMBER(SEARCH(" - ",TRIM('MSR RAW'!C682))),RIGHT(TRIM('MSR RAW'!C682),6)="Total:"),LEFT(TRIM('MSR RAW'!C682),SEARCH(" - ",TRIM('MSR RAW'!C682))-1),"")</f>
        <v/>
      </c>
      <c r="F682" t="str">
        <f>IF(E682="","",TRIM(MID(TRIM('MSR RAW'!C682),SEARCH(" - ",TRIM('MSR RAW'!C682))+3,LEN(TRIM('MSR RAW'!C682))-SEARCH(" - ",TRIM('MSR RAW'!C682))-9)))</f>
        <v/>
      </c>
      <c r="G682" t="str">
        <f>IF(E682="","",IFERROR(VLOOKUP(E682,'CATEGORY MAP'!$A$2:$B$20,2,FALSE()),"REVIEW"))</f>
        <v/>
      </c>
      <c r="H682" t="str">
        <f>IF(E682="","",IFERROR(VALUE(SUBSTITUTE('MSR RAW'!P682,",","")),0))</f>
        <v/>
      </c>
      <c r="I682" t="str">
        <f>IF(E682="","",IFERROR(VALUE(SUBSTITUTE('MSR RAW'!S682,",","")),0))</f>
        <v/>
      </c>
    </row>
    <row r="683" spans="1:9" ht="68.650000000000006" customHeight="1" x14ac:dyDescent="0.2">
      <c r="A683">
        <v>683</v>
      </c>
      <c r="B68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83" t="str">
        <f>IF(LEFT(TRIM('MSR RAW'!A683),11)="Department:",TRIM('MSR RAW'!A683),C682)</f>
        <v>Department: 36637 - SPECIALTY CONCESSIONS (VENDING)</v>
      </c>
      <c r="D683" t="str">
        <f>IF(LEFT(TRIM('MSR RAW'!B683),9)="Location:",TRIM(MID('MSR RAW'!B683,10,999)),D682)</f>
        <v>FB 155 - SUB ISLAND NOODLES</v>
      </c>
      <c r="E683" t="str">
        <f>IF(AND(ISNUMBER(SEARCH(" - ",TRIM('MSR RAW'!C683))),RIGHT(TRIM('MSR RAW'!C683),6)="Total:"),LEFT(TRIM('MSR RAW'!C683),SEARCH(" - ",TRIM('MSR RAW'!C683))-1),"")</f>
        <v/>
      </c>
      <c r="F683" t="str">
        <f>IF(E683="","",TRIM(MID(TRIM('MSR RAW'!C683),SEARCH(" - ",TRIM('MSR RAW'!C683))+3,LEN(TRIM('MSR RAW'!C683))-SEARCH(" - ",TRIM('MSR RAW'!C683))-9)))</f>
        <v/>
      </c>
      <c r="G683" t="str">
        <f>IF(E683="","",IFERROR(VLOOKUP(E683,'CATEGORY MAP'!$A$2:$B$20,2,FALSE()),"REVIEW"))</f>
        <v/>
      </c>
      <c r="H683" t="str">
        <f>IF(E683="","",IFERROR(VALUE(SUBSTITUTE('MSR RAW'!P683,",","")),0))</f>
        <v/>
      </c>
      <c r="I683" t="str">
        <f>IF(E683="","",IFERROR(VALUE(SUBSTITUTE('MSR RAW'!S683,",","")),0))</f>
        <v/>
      </c>
    </row>
    <row r="684" spans="1:9" ht="68.650000000000006" customHeight="1" x14ac:dyDescent="0.2">
      <c r="A684">
        <v>684</v>
      </c>
      <c r="B68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84" t="str">
        <f>IF(LEFT(TRIM('MSR RAW'!A684),11)="Department:",TRIM('MSR RAW'!A684),C683)</f>
        <v>Department: 36637 - SPECIALTY CONCESSIONS (VENDING)</v>
      </c>
      <c r="D684" t="str">
        <f>IF(LEFT(TRIM('MSR RAW'!B684),9)="Location:",TRIM(MID('MSR RAW'!B684,10,999)),D683)</f>
        <v>FB 155 - SUB ISLAND NOODLES</v>
      </c>
      <c r="E684" t="str">
        <f>IF(AND(ISNUMBER(SEARCH(" - ",TRIM('MSR RAW'!C684))),RIGHT(TRIM('MSR RAW'!C684),6)="Total:"),LEFT(TRIM('MSR RAW'!C684),SEARCH(" - ",TRIM('MSR RAW'!C684))-1),"")</f>
        <v/>
      </c>
      <c r="F684" t="str">
        <f>IF(E684="","",TRIM(MID(TRIM('MSR RAW'!C684),SEARCH(" - ",TRIM('MSR RAW'!C684))+3,LEN(TRIM('MSR RAW'!C684))-SEARCH(" - ",TRIM('MSR RAW'!C684))-9)))</f>
        <v/>
      </c>
      <c r="G684" t="str">
        <f>IF(E684="","",IFERROR(VLOOKUP(E684,'CATEGORY MAP'!$A$2:$B$20,2,FALSE()),"REVIEW"))</f>
        <v/>
      </c>
      <c r="H684" t="str">
        <f>IF(E684="","",IFERROR(VALUE(SUBSTITUTE('MSR RAW'!P684,",","")),0))</f>
        <v/>
      </c>
      <c r="I684" t="str">
        <f>IF(E684="","",IFERROR(VALUE(SUBSTITUTE('MSR RAW'!S684,",","")),0))</f>
        <v/>
      </c>
    </row>
    <row r="685" spans="1:9" ht="68.650000000000006" customHeight="1" x14ac:dyDescent="0.2">
      <c r="A685">
        <v>685</v>
      </c>
      <c r="B68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85" t="str">
        <f>IF(LEFT(TRIM('MSR RAW'!A685),11)="Department:",TRIM('MSR RAW'!A685),C684)</f>
        <v>Department: 36637 - SPECIALTY CONCESSIONS (VENDING)</v>
      </c>
      <c r="D685" t="str">
        <f>IF(LEFT(TRIM('MSR RAW'!B685),9)="Location:",TRIM(MID('MSR RAW'!B685,10,999)),D684)</f>
        <v>FB 155 - SUB ISLAND NOODLES</v>
      </c>
      <c r="E685" t="str">
        <f>IF(AND(ISNUMBER(SEARCH(" - ",TRIM('MSR RAW'!C685))),RIGHT(TRIM('MSR RAW'!C685),6)="Total:"),LEFT(TRIM('MSR RAW'!C685),SEARCH(" - ",TRIM('MSR RAW'!C685))-1),"")</f>
        <v/>
      </c>
      <c r="F685" t="str">
        <f>IF(E685="","",TRIM(MID(TRIM('MSR RAW'!C685),SEARCH(" - ",TRIM('MSR RAW'!C685))+3,LEN(TRIM('MSR RAW'!C685))-SEARCH(" - ",TRIM('MSR RAW'!C685))-9)))</f>
        <v/>
      </c>
      <c r="G685" t="str">
        <f>IF(E685="","",IFERROR(VLOOKUP(E685,'CATEGORY MAP'!$A$2:$B$20,2,FALSE()),"REVIEW"))</f>
        <v/>
      </c>
      <c r="H685" t="str">
        <f>IF(E685="","",IFERROR(VALUE(SUBSTITUTE('MSR RAW'!P685,",","")),0))</f>
        <v/>
      </c>
      <c r="I685" t="str">
        <f>IF(E685="","",IFERROR(VALUE(SUBSTITUTE('MSR RAW'!S685,",","")),0))</f>
        <v/>
      </c>
    </row>
    <row r="686" spans="1:9" ht="68.650000000000006" customHeight="1" x14ac:dyDescent="0.2">
      <c r="A686">
        <v>686</v>
      </c>
      <c r="B68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86" t="str">
        <f>IF(LEFT(TRIM('MSR RAW'!A686),11)="Department:",TRIM('MSR RAW'!A686),C685)</f>
        <v>Department: 36637 - SPECIALTY CONCESSIONS (VENDING)</v>
      </c>
      <c r="D686" t="str">
        <f>IF(LEFT(TRIM('MSR RAW'!B686),9)="Location:",TRIM(MID('MSR RAW'!B686,10,999)),D685)</f>
        <v>FB 155 - SUB ISLAND NOODLES</v>
      </c>
      <c r="E686" t="str">
        <f>IF(AND(ISNUMBER(SEARCH(" - ",TRIM('MSR RAW'!C686))),RIGHT(TRIM('MSR RAW'!C686),6)="Total:"),LEFT(TRIM('MSR RAW'!C686),SEARCH(" - ",TRIM('MSR RAW'!C686))-1),"")</f>
        <v/>
      </c>
      <c r="F686" t="str">
        <f>IF(E686="","",TRIM(MID(TRIM('MSR RAW'!C686),SEARCH(" - ",TRIM('MSR RAW'!C686))+3,LEN(TRIM('MSR RAW'!C686))-SEARCH(" - ",TRIM('MSR RAW'!C686))-9)))</f>
        <v/>
      </c>
      <c r="G686" t="str">
        <f>IF(E686="","",IFERROR(VLOOKUP(E686,'CATEGORY MAP'!$A$2:$B$20,2,FALSE()),"REVIEW"))</f>
        <v/>
      </c>
      <c r="H686" t="str">
        <f>IF(E686="","",IFERROR(VALUE(SUBSTITUTE('MSR RAW'!P686,",","")),0))</f>
        <v/>
      </c>
      <c r="I686" t="str">
        <f>IF(E686="","",IFERROR(VALUE(SUBSTITUTE('MSR RAW'!S686,",","")),0))</f>
        <v/>
      </c>
    </row>
    <row r="687" spans="1:9" ht="68.650000000000006" customHeight="1" x14ac:dyDescent="0.2">
      <c r="A687">
        <v>687</v>
      </c>
      <c r="B68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87" t="str">
        <f>IF(LEFT(TRIM('MSR RAW'!A687),11)="Department:",TRIM('MSR RAW'!A687),C686)</f>
        <v>Department: 36637 - SPECIALTY CONCESSIONS (VENDING)</v>
      </c>
      <c r="D687" t="str">
        <f>IF(LEFT(TRIM('MSR RAW'!B687),9)="Location:",TRIM(MID('MSR RAW'!B687,10,999)),D686)</f>
        <v>FB 155 - SUB ISLAND NOODLES</v>
      </c>
      <c r="E687" t="str">
        <f>IF(AND(ISNUMBER(SEARCH(" - ",TRIM('MSR RAW'!C687))),RIGHT(TRIM('MSR RAW'!C687),6)="Total:"),LEFT(TRIM('MSR RAW'!C687),SEARCH(" - ",TRIM('MSR RAW'!C687))-1),"")</f>
        <v/>
      </c>
      <c r="F687" t="str">
        <f>IF(E687="","",TRIM(MID(TRIM('MSR RAW'!C687),SEARCH(" - ",TRIM('MSR RAW'!C687))+3,LEN(TRIM('MSR RAW'!C687))-SEARCH(" - ",TRIM('MSR RAW'!C687))-9)))</f>
        <v/>
      </c>
      <c r="G687" t="str">
        <f>IF(E687="","",IFERROR(VLOOKUP(E687,'CATEGORY MAP'!$A$2:$B$20,2,FALSE()),"REVIEW"))</f>
        <v/>
      </c>
      <c r="H687" t="str">
        <f>IF(E687="","",IFERROR(VALUE(SUBSTITUTE('MSR RAW'!P687,",","")),0))</f>
        <v/>
      </c>
      <c r="I687" t="str">
        <f>IF(E687="","",IFERROR(VALUE(SUBSTITUTE('MSR RAW'!S687,",","")),0))</f>
        <v/>
      </c>
    </row>
    <row r="688" spans="1:9" ht="68.650000000000006" customHeight="1" x14ac:dyDescent="0.2">
      <c r="A688">
        <v>688</v>
      </c>
      <c r="B68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88" t="str">
        <f>IF(LEFT(TRIM('MSR RAW'!A688),11)="Department:",TRIM('MSR RAW'!A688),C687)</f>
        <v>Department: 36637 - SPECIALTY CONCESSIONS (VENDING)</v>
      </c>
      <c r="D688" t="str">
        <f>IF(LEFT(TRIM('MSR RAW'!B688),9)="Location:",TRIM(MID('MSR RAW'!B688,10,999)),D687)</f>
        <v>FB 155 - SUB ISLAND NOODLES</v>
      </c>
      <c r="E688" t="str">
        <f>IF(AND(ISNUMBER(SEARCH(" - ",TRIM('MSR RAW'!C688))),RIGHT(TRIM('MSR RAW'!C688),6)="Total:"),LEFT(TRIM('MSR RAW'!C688),SEARCH(" - ",TRIM('MSR RAW'!C688))-1),"")</f>
        <v/>
      </c>
      <c r="F688" t="str">
        <f>IF(E688="","",TRIM(MID(TRIM('MSR RAW'!C688),SEARCH(" - ",TRIM('MSR RAW'!C688))+3,LEN(TRIM('MSR RAW'!C688))-SEARCH(" - ",TRIM('MSR RAW'!C688))-9)))</f>
        <v/>
      </c>
      <c r="G688" t="str">
        <f>IF(E688="","",IFERROR(VLOOKUP(E688,'CATEGORY MAP'!$A$2:$B$20,2,FALSE()),"REVIEW"))</f>
        <v/>
      </c>
      <c r="H688" t="str">
        <f>IF(E688="","",IFERROR(VALUE(SUBSTITUTE('MSR RAW'!P688,",","")),0))</f>
        <v/>
      </c>
      <c r="I688" t="str">
        <f>IF(E688="","",IFERROR(VALUE(SUBSTITUTE('MSR RAW'!S688,",","")),0))</f>
        <v/>
      </c>
    </row>
    <row r="689" spans="1:9" ht="68.650000000000006" customHeight="1" x14ac:dyDescent="0.2">
      <c r="A689">
        <v>689</v>
      </c>
      <c r="B68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89" t="str">
        <f>IF(LEFT(TRIM('MSR RAW'!A689),11)="Department:",TRIM('MSR RAW'!A689),C688)</f>
        <v>Department: 36637 - SPECIALTY CONCESSIONS (VENDING)</v>
      </c>
      <c r="D689" t="str">
        <f>IF(LEFT(TRIM('MSR RAW'!B689),9)="Location:",TRIM(MID('MSR RAW'!B689,10,999)),D688)</f>
        <v>FB 155 - SUB ISLAND NOODLES</v>
      </c>
      <c r="E689" t="str">
        <f>IF(AND(ISNUMBER(SEARCH(" - ",TRIM('MSR RAW'!C689))),RIGHT(TRIM('MSR RAW'!C689),6)="Total:"),LEFT(TRIM('MSR RAW'!C689),SEARCH(" - ",TRIM('MSR RAW'!C689))-1),"")</f>
        <v/>
      </c>
      <c r="F689" t="str">
        <f>IF(E689="","",TRIM(MID(TRIM('MSR RAW'!C689),SEARCH(" - ",TRIM('MSR RAW'!C689))+3,LEN(TRIM('MSR RAW'!C689))-SEARCH(" - ",TRIM('MSR RAW'!C689))-9)))</f>
        <v/>
      </c>
      <c r="G689" t="str">
        <f>IF(E689="","",IFERROR(VLOOKUP(E689,'CATEGORY MAP'!$A$2:$B$20,2,FALSE()),"REVIEW"))</f>
        <v/>
      </c>
      <c r="H689" t="str">
        <f>IF(E689="","",IFERROR(VALUE(SUBSTITUTE('MSR RAW'!P689,",","")),0))</f>
        <v/>
      </c>
      <c r="I689" t="str">
        <f>IF(E689="","",IFERROR(VALUE(SUBSTITUTE('MSR RAW'!S689,",","")),0))</f>
        <v/>
      </c>
    </row>
    <row r="690" spans="1:9" ht="68.650000000000006" customHeight="1" x14ac:dyDescent="0.2">
      <c r="A690">
        <v>690</v>
      </c>
      <c r="B69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90" t="str">
        <f>IF(LEFT(TRIM('MSR RAW'!A690),11)="Department:",TRIM('MSR RAW'!A690),C689)</f>
        <v>Department: 36637 - SPECIALTY CONCESSIONS (VENDING)</v>
      </c>
      <c r="D690" t="str">
        <f>IF(LEFT(TRIM('MSR RAW'!B690),9)="Location:",TRIM(MID('MSR RAW'!B690,10,999)),D689)</f>
        <v>FB 155 - SUB ISLAND NOODLES</v>
      </c>
      <c r="E690" t="str">
        <f>IF(AND(ISNUMBER(SEARCH(" - ",TRIM('MSR RAW'!C690))),RIGHT(TRIM('MSR RAW'!C690),6)="Total:"),LEFT(TRIM('MSR RAW'!C690),SEARCH(" - ",TRIM('MSR RAW'!C690))-1),"")</f>
        <v/>
      </c>
      <c r="F690" t="str">
        <f>IF(E690="","",TRIM(MID(TRIM('MSR RAW'!C690),SEARCH(" - ",TRIM('MSR RAW'!C690))+3,LEN(TRIM('MSR RAW'!C690))-SEARCH(" - ",TRIM('MSR RAW'!C690))-9)))</f>
        <v/>
      </c>
      <c r="G690" t="str">
        <f>IF(E690="","",IFERROR(VLOOKUP(E690,'CATEGORY MAP'!$A$2:$B$20,2,FALSE()),"REVIEW"))</f>
        <v/>
      </c>
      <c r="H690" t="str">
        <f>IF(E690="","",IFERROR(VALUE(SUBSTITUTE('MSR RAW'!P690,",","")),0))</f>
        <v/>
      </c>
      <c r="I690" t="str">
        <f>IF(E690="","",IFERROR(VALUE(SUBSTITUTE('MSR RAW'!S690,",","")),0))</f>
        <v/>
      </c>
    </row>
    <row r="691" spans="1:9" ht="68.650000000000006" customHeight="1" x14ac:dyDescent="0.2">
      <c r="A691">
        <v>691</v>
      </c>
      <c r="B69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91" t="str">
        <f>IF(LEFT(TRIM('MSR RAW'!A691),11)="Department:",TRIM('MSR RAW'!A691),C690)</f>
        <v>Department: 36637 - SPECIALTY CONCESSIONS (VENDING)</v>
      </c>
      <c r="D691" t="str">
        <f>IF(LEFT(TRIM('MSR RAW'!B691),9)="Location:",TRIM(MID('MSR RAW'!B691,10,999)),D690)</f>
        <v>FB 155 - SUB ISLAND NOODLES</v>
      </c>
      <c r="E691" t="str">
        <f>IF(AND(ISNUMBER(SEARCH(" - ",TRIM('MSR RAW'!C691))),RIGHT(TRIM('MSR RAW'!C691),6)="Total:"),LEFT(TRIM('MSR RAW'!C691),SEARCH(" - ",TRIM('MSR RAW'!C691))-1),"")</f>
        <v/>
      </c>
      <c r="F691" t="str">
        <f>IF(E691="","",TRIM(MID(TRIM('MSR RAW'!C691),SEARCH(" - ",TRIM('MSR RAW'!C691))+3,LEN(TRIM('MSR RAW'!C691))-SEARCH(" - ",TRIM('MSR RAW'!C691))-9)))</f>
        <v/>
      </c>
      <c r="G691" t="str">
        <f>IF(E691="","",IFERROR(VLOOKUP(E691,'CATEGORY MAP'!$A$2:$B$20,2,FALSE()),"REVIEW"))</f>
        <v/>
      </c>
      <c r="H691" t="str">
        <f>IF(E691="","",IFERROR(VALUE(SUBSTITUTE('MSR RAW'!P691,",","")),0))</f>
        <v/>
      </c>
      <c r="I691" t="str">
        <f>IF(E691="","",IFERROR(VALUE(SUBSTITUTE('MSR RAW'!S691,",","")),0))</f>
        <v/>
      </c>
    </row>
    <row r="692" spans="1:9" ht="68.650000000000006" customHeight="1" x14ac:dyDescent="0.2">
      <c r="A692">
        <v>692</v>
      </c>
      <c r="B69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92" t="str">
        <f>IF(LEFT(TRIM('MSR RAW'!A692),11)="Department:",TRIM('MSR RAW'!A692),C691)</f>
        <v>Department: 36637 - SPECIALTY CONCESSIONS (VENDING)</v>
      </c>
      <c r="D692" t="str">
        <f>IF(LEFT(TRIM('MSR RAW'!B692),9)="Location:",TRIM(MID('MSR RAW'!B692,10,999)),D691)</f>
        <v>FB 155 - SUB ISLAND NOODLES</v>
      </c>
      <c r="E692" t="str">
        <f>IF(AND(ISNUMBER(SEARCH(" - ",TRIM('MSR RAW'!C692))),RIGHT(TRIM('MSR RAW'!C692),6)="Total:"),LEFT(TRIM('MSR RAW'!C692),SEARCH(" - ",TRIM('MSR RAW'!C692))-1),"")</f>
        <v/>
      </c>
      <c r="F692" t="str">
        <f>IF(E692="","",TRIM(MID(TRIM('MSR RAW'!C692),SEARCH(" - ",TRIM('MSR RAW'!C692))+3,LEN(TRIM('MSR RAW'!C692))-SEARCH(" - ",TRIM('MSR RAW'!C692))-9)))</f>
        <v/>
      </c>
      <c r="G692" t="str">
        <f>IF(E692="","",IFERROR(VLOOKUP(E692,'CATEGORY MAP'!$A$2:$B$20,2,FALSE()),"REVIEW"))</f>
        <v/>
      </c>
      <c r="H692" t="str">
        <f>IF(E692="","",IFERROR(VALUE(SUBSTITUTE('MSR RAW'!P692,",","")),0))</f>
        <v/>
      </c>
      <c r="I692" t="str">
        <f>IF(E692="","",IFERROR(VALUE(SUBSTITUTE('MSR RAW'!S692,",","")),0))</f>
        <v/>
      </c>
    </row>
    <row r="693" spans="1:9" ht="68.650000000000006" customHeight="1" x14ac:dyDescent="0.2">
      <c r="A693">
        <v>693</v>
      </c>
      <c r="B69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93" t="str">
        <f>IF(LEFT(TRIM('MSR RAW'!A693),11)="Department:",TRIM('MSR RAW'!A693),C692)</f>
        <v>Department: 36637 - SPECIALTY CONCESSIONS (VENDING)</v>
      </c>
      <c r="D693" t="str">
        <f>IF(LEFT(TRIM('MSR RAW'!B693),9)="Location:",TRIM(MID('MSR RAW'!B693,10,999)),D692)</f>
        <v>FB 155 - SUB ISLAND NOODLES</v>
      </c>
      <c r="E693" t="str">
        <f>IF(AND(ISNUMBER(SEARCH(" - ",TRIM('MSR RAW'!C693))),RIGHT(TRIM('MSR RAW'!C693),6)="Total:"),LEFT(TRIM('MSR RAW'!C693),SEARCH(" - ",TRIM('MSR RAW'!C693))-1),"")</f>
        <v/>
      </c>
      <c r="F693" t="str">
        <f>IF(E693="","",TRIM(MID(TRIM('MSR RAW'!C693),SEARCH(" - ",TRIM('MSR RAW'!C693))+3,LEN(TRIM('MSR RAW'!C693))-SEARCH(" - ",TRIM('MSR RAW'!C693))-9)))</f>
        <v/>
      </c>
      <c r="G693" t="str">
        <f>IF(E693="","",IFERROR(VLOOKUP(E693,'CATEGORY MAP'!$A$2:$B$20,2,FALSE()),"REVIEW"))</f>
        <v/>
      </c>
      <c r="H693" t="str">
        <f>IF(E693="","",IFERROR(VALUE(SUBSTITUTE('MSR RAW'!P693,",","")),0))</f>
        <v/>
      </c>
      <c r="I693" t="str">
        <f>IF(E693="","",IFERROR(VALUE(SUBSTITUTE('MSR RAW'!S693,",","")),0))</f>
        <v/>
      </c>
    </row>
    <row r="694" spans="1:9" ht="68.650000000000006" customHeight="1" x14ac:dyDescent="0.2">
      <c r="A694">
        <v>694</v>
      </c>
      <c r="B69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94" t="str">
        <f>IF(LEFT(TRIM('MSR RAW'!A694),11)="Department:",TRIM('MSR RAW'!A694),C693)</f>
        <v>Department: 36637 - SPECIALTY CONCESSIONS (VENDING)</v>
      </c>
      <c r="D694" t="str">
        <f>IF(LEFT(TRIM('MSR RAW'!B694),9)="Location:",TRIM(MID('MSR RAW'!B694,10,999)),D693)</f>
        <v>FB 155 - SUB ISLAND NOODLES</v>
      </c>
      <c r="E694" t="str">
        <f>IF(AND(ISNUMBER(SEARCH(" - ",TRIM('MSR RAW'!C694))),RIGHT(TRIM('MSR RAW'!C694),6)="Total:"),LEFT(TRIM('MSR RAW'!C694),SEARCH(" - ",TRIM('MSR RAW'!C694))-1),"")</f>
        <v/>
      </c>
      <c r="F694" t="str">
        <f>IF(E694="","",TRIM(MID(TRIM('MSR RAW'!C694),SEARCH(" - ",TRIM('MSR RAW'!C694))+3,LEN(TRIM('MSR RAW'!C694))-SEARCH(" - ",TRIM('MSR RAW'!C694))-9)))</f>
        <v/>
      </c>
      <c r="G694" t="str">
        <f>IF(E694="","",IFERROR(VLOOKUP(E694,'CATEGORY MAP'!$A$2:$B$20,2,FALSE()),"REVIEW"))</f>
        <v/>
      </c>
      <c r="H694" t="str">
        <f>IF(E694="","",IFERROR(VALUE(SUBSTITUTE('MSR RAW'!P694,",","")),0))</f>
        <v/>
      </c>
      <c r="I694" t="str">
        <f>IF(E694="","",IFERROR(VALUE(SUBSTITUTE('MSR RAW'!S694,",","")),0))</f>
        <v/>
      </c>
    </row>
    <row r="695" spans="1:9" ht="68.650000000000006" customHeight="1" x14ac:dyDescent="0.2">
      <c r="A695">
        <v>695</v>
      </c>
      <c r="B69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95" t="str">
        <f>IF(LEFT(TRIM('MSR RAW'!A695),11)="Department:",TRIM('MSR RAW'!A695),C694)</f>
        <v>Department: 36637 - SPECIALTY CONCESSIONS (VENDING)</v>
      </c>
      <c r="D695" t="str">
        <f>IF(LEFT(TRIM('MSR RAW'!B695),9)="Location:",TRIM(MID('MSR RAW'!B695,10,999)),D694)</f>
        <v>FB 155 - SUB ISLAND NOODLES</v>
      </c>
      <c r="E695" t="str">
        <f>IF(AND(ISNUMBER(SEARCH(" - ",TRIM('MSR RAW'!C695))),RIGHT(TRIM('MSR RAW'!C695),6)="Total:"),LEFT(TRIM('MSR RAW'!C695),SEARCH(" - ",TRIM('MSR RAW'!C695))-1),"")</f>
        <v/>
      </c>
      <c r="F695" t="str">
        <f>IF(E695="","",TRIM(MID(TRIM('MSR RAW'!C695),SEARCH(" - ",TRIM('MSR RAW'!C695))+3,LEN(TRIM('MSR RAW'!C695))-SEARCH(" - ",TRIM('MSR RAW'!C695))-9)))</f>
        <v/>
      </c>
      <c r="G695" t="str">
        <f>IF(E695="","",IFERROR(VLOOKUP(E695,'CATEGORY MAP'!$A$2:$B$20,2,FALSE()),"REVIEW"))</f>
        <v/>
      </c>
      <c r="H695" t="str">
        <f>IF(E695="","",IFERROR(VALUE(SUBSTITUTE('MSR RAW'!P695,",","")),0))</f>
        <v/>
      </c>
      <c r="I695" t="str">
        <f>IF(E695="","",IFERROR(VALUE(SUBSTITUTE('MSR RAW'!S695,",","")),0))</f>
        <v/>
      </c>
    </row>
    <row r="696" spans="1:9" ht="68.650000000000006" customHeight="1" x14ac:dyDescent="0.2">
      <c r="A696">
        <v>696</v>
      </c>
      <c r="B69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96" t="str">
        <f>IF(LEFT(TRIM('MSR RAW'!A696),11)="Department:",TRIM('MSR RAW'!A696),C695)</f>
        <v>Department: 36637 - SPECIALTY CONCESSIONS (VENDING)</v>
      </c>
      <c r="D696" t="str">
        <f>IF(LEFT(TRIM('MSR RAW'!B696),9)="Location:",TRIM(MID('MSR RAW'!B696,10,999)),D695)</f>
        <v>FB 155 - SUB ISLAND NOODLES</v>
      </c>
      <c r="E696" t="str">
        <f>IF(AND(ISNUMBER(SEARCH(" - ",TRIM('MSR RAW'!C696))),RIGHT(TRIM('MSR RAW'!C696),6)="Total:"),LEFT(TRIM('MSR RAW'!C696),SEARCH(" - ",TRIM('MSR RAW'!C696))-1),"")</f>
        <v/>
      </c>
      <c r="F696" t="str">
        <f>IF(E696="","",TRIM(MID(TRIM('MSR RAW'!C696),SEARCH(" - ",TRIM('MSR RAW'!C696))+3,LEN(TRIM('MSR RAW'!C696))-SEARCH(" - ",TRIM('MSR RAW'!C696))-9)))</f>
        <v/>
      </c>
      <c r="G696" t="str">
        <f>IF(E696="","",IFERROR(VLOOKUP(E696,'CATEGORY MAP'!$A$2:$B$20,2,FALSE()),"REVIEW"))</f>
        <v/>
      </c>
      <c r="H696" t="str">
        <f>IF(E696="","",IFERROR(VALUE(SUBSTITUTE('MSR RAW'!P696,",","")),0))</f>
        <v/>
      </c>
      <c r="I696" t="str">
        <f>IF(E696="","",IFERROR(VALUE(SUBSTITUTE('MSR RAW'!S696,",","")),0))</f>
        <v/>
      </c>
    </row>
    <row r="697" spans="1:9" ht="68.650000000000006" customHeight="1" x14ac:dyDescent="0.2">
      <c r="A697">
        <v>697</v>
      </c>
      <c r="B69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97" t="str">
        <f>IF(LEFT(TRIM('MSR RAW'!A697),11)="Department:",TRIM('MSR RAW'!A697),C696)</f>
        <v>Department: 36637 - SPECIALTY CONCESSIONS (VENDING)</v>
      </c>
      <c r="D697" t="str">
        <f>IF(LEFT(TRIM('MSR RAW'!B697),9)="Location:",TRIM(MID('MSR RAW'!B697,10,999)),D696)</f>
        <v>FB 155 - SUB ISLAND NOODLES</v>
      </c>
      <c r="E697" t="str">
        <f>IF(AND(ISNUMBER(SEARCH(" - ",TRIM('MSR RAW'!C697))),RIGHT(TRIM('MSR RAW'!C697),6)="Total:"),LEFT(TRIM('MSR RAW'!C697),SEARCH(" - ",TRIM('MSR RAW'!C697))-1),"")</f>
        <v/>
      </c>
      <c r="F697" t="str">
        <f>IF(E697="","",TRIM(MID(TRIM('MSR RAW'!C697),SEARCH(" - ",TRIM('MSR RAW'!C697))+3,LEN(TRIM('MSR RAW'!C697))-SEARCH(" - ",TRIM('MSR RAW'!C697))-9)))</f>
        <v/>
      </c>
      <c r="G697" t="str">
        <f>IF(E697="","",IFERROR(VLOOKUP(E697,'CATEGORY MAP'!$A$2:$B$20,2,FALSE()),"REVIEW"))</f>
        <v/>
      </c>
      <c r="H697" t="str">
        <f>IF(E697="","",IFERROR(VALUE(SUBSTITUTE('MSR RAW'!P697,",","")),0))</f>
        <v/>
      </c>
      <c r="I697" t="str">
        <f>IF(E697="","",IFERROR(VALUE(SUBSTITUTE('MSR RAW'!S697,",","")),0))</f>
        <v/>
      </c>
    </row>
    <row r="698" spans="1:9" ht="68.650000000000006" customHeight="1" x14ac:dyDescent="0.2">
      <c r="A698">
        <v>698</v>
      </c>
      <c r="B69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98" t="str">
        <f>IF(LEFT(TRIM('MSR RAW'!A698),11)="Department:",TRIM('MSR RAW'!A698),C697)</f>
        <v>Department: 36637 - SPECIALTY CONCESSIONS (VENDING)</v>
      </c>
      <c r="D698" t="str">
        <f>IF(LEFT(TRIM('MSR RAW'!B698),9)="Location:",TRIM(MID('MSR RAW'!B698,10,999)),D697)</f>
        <v>FB 155 - SUB ISLAND NOODLES</v>
      </c>
      <c r="E698" t="str">
        <f>IF(AND(ISNUMBER(SEARCH(" - ",TRIM('MSR RAW'!C698))),RIGHT(TRIM('MSR RAW'!C698),6)="Total:"),LEFT(TRIM('MSR RAW'!C698),SEARCH(" - ",TRIM('MSR RAW'!C698))-1),"")</f>
        <v/>
      </c>
      <c r="F698" t="str">
        <f>IF(E698="","",TRIM(MID(TRIM('MSR RAW'!C698),SEARCH(" - ",TRIM('MSR RAW'!C698))+3,LEN(TRIM('MSR RAW'!C698))-SEARCH(" - ",TRIM('MSR RAW'!C698))-9)))</f>
        <v/>
      </c>
      <c r="G698" t="str">
        <f>IF(E698="","",IFERROR(VLOOKUP(E698,'CATEGORY MAP'!$A$2:$B$20,2,FALSE()),"REVIEW"))</f>
        <v/>
      </c>
      <c r="H698" t="str">
        <f>IF(E698="","",IFERROR(VALUE(SUBSTITUTE('MSR RAW'!P698,",","")),0))</f>
        <v/>
      </c>
      <c r="I698" t="str">
        <f>IF(E698="","",IFERROR(VALUE(SUBSTITUTE('MSR RAW'!S698,",","")),0))</f>
        <v/>
      </c>
    </row>
    <row r="699" spans="1:9" ht="68.650000000000006" customHeight="1" x14ac:dyDescent="0.2">
      <c r="A699">
        <v>699</v>
      </c>
      <c r="B69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99" t="str">
        <f>IF(LEFT(TRIM('MSR RAW'!A699),11)="Department:",TRIM('MSR RAW'!A699),C698)</f>
        <v>Department: 36637 - SPECIALTY CONCESSIONS (VENDING)</v>
      </c>
      <c r="D699" t="str">
        <f>IF(LEFT(TRIM('MSR RAW'!B699),9)="Location:",TRIM(MID('MSR RAW'!B699,10,999)),D698)</f>
        <v>FB 155 - SUB ISLAND NOODLES</v>
      </c>
      <c r="E699" t="str">
        <f>IF(AND(ISNUMBER(SEARCH(" - ",TRIM('MSR RAW'!C699))),RIGHT(TRIM('MSR RAW'!C699),6)="Total:"),LEFT(TRIM('MSR RAW'!C699),SEARCH(" - ",TRIM('MSR RAW'!C699))-1),"")</f>
        <v/>
      </c>
      <c r="F699" t="str">
        <f>IF(E699="","",TRIM(MID(TRIM('MSR RAW'!C699),SEARCH(" - ",TRIM('MSR RAW'!C699))+3,LEN(TRIM('MSR RAW'!C699))-SEARCH(" - ",TRIM('MSR RAW'!C699))-9)))</f>
        <v/>
      </c>
      <c r="G699" t="str">
        <f>IF(E699="","",IFERROR(VLOOKUP(E699,'CATEGORY MAP'!$A$2:$B$20,2,FALSE()),"REVIEW"))</f>
        <v/>
      </c>
      <c r="H699" t="str">
        <f>IF(E699="","",IFERROR(VALUE(SUBSTITUTE('MSR RAW'!P699,",","")),0))</f>
        <v/>
      </c>
      <c r="I699" t="str">
        <f>IF(E699="","",IFERROR(VALUE(SUBSTITUTE('MSR RAW'!S699,",","")),0))</f>
        <v/>
      </c>
    </row>
    <row r="700" spans="1:9" ht="68.650000000000006" customHeight="1" x14ac:dyDescent="0.2">
      <c r="A700">
        <v>700</v>
      </c>
      <c r="B70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00" t="str">
        <f>IF(LEFT(TRIM('MSR RAW'!A700),11)="Department:",TRIM('MSR RAW'!A700),C699)</f>
        <v>Department: 36637 - SPECIALTY CONCESSIONS (VENDING)</v>
      </c>
      <c r="D700" t="str">
        <f>IF(LEFT(TRIM('MSR RAW'!B700),9)="Location:",TRIM(MID('MSR RAW'!B700,10,999)),D699)</f>
        <v>FB 155 - SUB ISLAND NOODLES</v>
      </c>
      <c r="E700" t="str">
        <f>IF(AND(ISNUMBER(SEARCH(" - ",TRIM('MSR RAW'!C700))),RIGHT(TRIM('MSR RAW'!C700),6)="Total:"),LEFT(TRIM('MSR RAW'!C700),SEARCH(" - ",TRIM('MSR RAW'!C700))-1),"")</f>
        <v/>
      </c>
      <c r="F700" t="str">
        <f>IF(E700="","",TRIM(MID(TRIM('MSR RAW'!C700),SEARCH(" - ",TRIM('MSR RAW'!C700))+3,LEN(TRIM('MSR RAW'!C700))-SEARCH(" - ",TRIM('MSR RAW'!C700))-9)))</f>
        <v/>
      </c>
      <c r="G700" t="str">
        <f>IF(E700="","",IFERROR(VLOOKUP(E700,'CATEGORY MAP'!$A$2:$B$20,2,FALSE()),"REVIEW"))</f>
        <v/>
      </c>
      <c r="H700" t="str">
        <f>IF(E700="","",IFERROR(VALUE(SUBSTITUTE('MSR RAW'!P700,",","")),0))</f>
        <v/>
      </c>
      <c r="I700" t="str">
        <f>IF(E700="","",IFERROR(VALUE(SUBSTITUTE('MSR RAW'!S700,",","")),0))</f>
        <v/>
      </c>
    </row>
    <row r="701" spans="1:9" ht="68.650000000000006" customHeight="1" x14ac:dyDescent="0.2">
      <c r="A701">
        <v>701</v>
      </c>
      <c r="B70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01" t="str">
        <f>IF(LEFT(TRIM('MSR RAW'!A701),11)="Department:",TRIM('MSR RAW'!A701),C700)</f>
        <v>Department: 36637 - SPECIALTY CONCESSIONS (VENDING)</v>
      </c>
      <c r="D701" t="str">
        <f>IF(LEFT(TRIM('MSR RAW'!B701),9)="Location:",TRIM(MID('MSR RAW'!B701,10,999)),D700)</f>
        <v>FB 155 - SUB ISLAND NOODLES</v>
      </c>
      <c r="E701" t="str">
        <f>IF(AND(ISNUMBER(SEARCH(" - ",TRIM('MSR RAW'!C701))),RIGHT(TRIM('MSR RAW'!C701),6)="Total:"),LEFT(TRIM('MSR RAW'!C701),SEARCH(" - ",TRIM('MSR RAW'!C701))-1),"")</f>
        <v/>
      </c>
      <c r="F701" t="str">
        <f>IF(E701="","",TRIM(MID(TRIM('MSR RAW'!C701),SEARCH(" - ",TRIM('MSR RAW'!C701))+3,LEN(TRIM('MSR RAW'!C701))-SEARCH(" - ",TRIM('MSR RAW'!C701))-9)))</f>
        <v/>
      </c>
      <c r="G701" t="str">
        <f>IF(E701="","",IFERROR(VLOOKUP(E701,'CATEGORY MAP'!$A$2:$B$20,2,FALSE()),"REVIEW"))</f>
        <v/>
      </c>
      <c r="H701" t="str">
        <f>IF(E701="","",IFERROR(VALUE(SUBSTITUTE('MSR RAW'!P701,",","")),0))</f>
        <v/>
      </c>
      <c r="I701" t="str">
        <f>IF(E701="","",IFERROR(VALUE(SUBSTITUTE('MSR RAW'!S701,",","")),0))</f>
        <v/>
      </c>
    </row>
    <row r="702" spans="1:9" ht="68.650000000000006" customHeight="1" x14ac:dyDescent="0.2">
      <c r="A702">
        <v>702</v>
      </c>
      <c r="B70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02" t="str">
        <f>IF(LEFT(TRIM('MSR RAW'!A702),11)="Department:",TRIM('MSR RAW'!A702),C701)</f>
        <v>Department: 36637 - SPECIALTY CONCESSIONS (VENDING)</v>
      </c>
      <c r="D702" t="str">
        <f>IF(LEFT(TRIM('MSR RAW'!B702),9)="Location:",TRIM(MID('MSR RAW'!B702,10,999)),D701)</f>
        <v>FB 155 - SUB ISLAND NOODLES</v>
      </c>
      <c r="E702" t="str">
        <f>IF(AND(ISNUMBER(SEARCH(" - ",TRIM('MSR RAW'!C702))),RIGHT(TRIM('MSR RAW'!C702),6)="Total:"),LEFT(TRIM('MSR RAW'!C702),SEARCH(" - ",TRIM('MSR RAW'!C702))-1),"")</f>
        <v/>
      </c>
      <c r="F702" t="str">
        <f>IF(E702="","",TRIM(MID(TRIM('MSR RAW'!C702),SEARCH(" - ",TRIM('MSR RAW'!C702))+3,LEN(TRIM('MSR RAW'!C702))-SEARCH(" - ",TRIM('MSR RAW'!C702))-9)))</f>
        <v/>
      </c>
      <c r="G702" t="str">
        <f>IF(E702="","",IFERROR(VLOOKUP(E702,'CATEGORY MAP'!$A$2:$B$20,2,FALSE()),"REVIEW"))</f>
        <v/>
      </c>
      <c r="H702" t="str">
        <f>IF(E702="","",IFERROR(VALUE(SUBSTITUTE('MSR RAW'!P702,",","")),0))</f>
        <v/>
      </c>
      <c r="I702" t="str">
        <f>IF(E702="","",IFERROR(VALUE(SUBSTITUTE('MSR RAW'!S702,",","")),0))</f>
        <v/>
      </c>
    </row>
    <row r="703" spans="1:9" ht="68.650000000000006" customHeight="1" x14ac:dyDescent="0.2">
      <c r="A703">
        <v>703</v>
      </c>
      <c r="B70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03" t="str">
        <f>IF(LEFT(TRIM('MSR RAW'!A703),11)="Department:",TRIM('MSR RAW'!A703),C702)</f>
        <v>Department: 36637 - SPECIALTY CONCESSIONS (VENDING)</v>
      </c>
      <c r="D703" t="str">
        <f>IF(LEFT(TRIM('MSR RAW'!B703),9)="Location:",TRIM(MID('MSR RAW'!B703,10,999)),D702)</f>
        <v>FB 155 - SUB ISLAND NOODLES</v>
      </c>
      <c r="E703" t="str">
        <f>IF(AND(ISNUMBER(SEARCH(" - ",TRIM('MSR RAW'!C703))),RIGHT(TRIM('MSR RAW'!C703),6)="Total:"),LEFT(TRIM('MSR RAW'!C703),SEARCH(" - ",TRIM('MSR RAW'!C703))-1),"")</f>
        <v/>
      </c>
      <c r="F703" t="str">
        <f>IF(E703="","",TRIM(MID(TRIM('MSR RAW'!C703),SEARCH(" - ",TRIM('MSR RAW'!C703))+3,LEN(TRIM('MSR RAW'!C703))-SEARCH(" - ",TRIM('MSR RAW'!C703))-9)))</f>
        <v/>
      </c>
      <c r="G703" t="str">
        <f>IF(E703="","",IFERROR(VLOOKUP(E703,'CATEGORY MAP'!$A$2:$B$20,2,FALSE()),"REVIEW"))</f>
        <v/>
      </c>
      <c r="H703" t="str">
        <f>IF(E703="","",IFERROR(VALUE(SUBSTITUTE('MSR RAW'!P703,",","")),0))</f>
        <v/>
      </c>
      <c r="I703" t="str">
        <f>IF(E703="","",IFERROR(VALUE(SUBSTITUTE('MSR RAW'!S703,",","")),0))</f>
        <v/>
      </c>
    </row>
    <row r="704" spans="1:9" ht="68.650000000000006" customHeight="1" x14ac:dyDescent="0.2">
      <c r="A704">
        <v>704</v>
      </c>
      <c r="B70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04" t="str">
        <f>IF(LEFT(TRIM('MSR RAW'!A704),11)="Department:",TRIM('MSR RAW'!A704),C703)</f>
        <v>Department: 36637 - SPECIALTY CONCESSIONS (VENDING)</v>
      </c>
      <c r="D704" t="str">
        <f>IF(LEFT(TRIM('MSR RAW'!B704),9)="Location:",TRIM(MID('MSR RAW'!B704,10,999)),D703)</f>
        <v>FB 155 - SUB ISLAND NOODLES</v>
      </c>
      <c r="E704" t="str">
        <f>IF(AND(ISNUMBER(SEARCH(" - ",TRIM('MSR RAW'!C704))),RIGHT(TRIM('MSR RAW'!C704),6)="Total:"),LEFT(TRIM('MSR RAW'!C704),SEARCH(" - ",TRIM('MSR RAW'!C704))-1),"")</f>
        <v/>
      </c>
      <c r="F704" t="str">
        <f>IF(E704="","",TRIM(MID(TRIM('MSR RAW'!C704),SEARCH(" - ",TRIM('MSR RAW'!C704))+3,LEN(TRIM('MSR RAW'!C704))-SEARCH(" - ",TRIM('MSR RAW'!C704))-9)))</f>
        <v/>
      </c>
      <c r="G704" t="str">
        <f>IF(E704="","",IFERROR(VLOOKUP(E704,'CATEGORY MAP'!$A$2:$B$20,2,FALSE()),"REVIEW"))</f>
        <v/>
      </c>
      <c r="H704" t="str">
        <f>IF(E704="","",IFERROR(VALUE(SUBSTITUTE('MSR RAW'!P704,",","")),0))</f>
        <v/>
      </c>
      <c r="I704" t="str">
        <f>IF(E704="","",IFERROR(VALUE(SUBSTITUTE('MSR RAW'!S704,",","")),0))</f>
        <v/>
      </c>
    </row>
    <row r="705" spans="1:9" ht="68.650000000000006" customHeight="1" x14ac:dyDescent="0.2">
      <c r="A705">
        <v>705</v>
      </c>
      <c r="B70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05" t="str">
        <f>IF(LEFT(TRIM('MSR RAW'!A705),11)="Department:",TRIM('MSR RAW'!A705),C704)</f>
        <v>Department: 36637 - SPECIALTY CONCESSIONS (VENDING)</v>
      </c>
      <c r="D705" t="str">
        <f>IF(LEFT(TRIM('MSR RAW'!B705),9)="Location:",TRIM(MID('MSR RAW'!B705,10,999)),D704)</f>
        <v>FB 155 - SUB ISLAND NOODLES</v>
      </c>
      <c r="E705" t="str">
        <f>IF(AND(ISNUMBER(SEARCH(" - ",TRIM('MSR RAW'!C705))),RIGHT(TRIM('MSR RAW'!C705),6)="Total:"),LEFT(TRIM('MSR RAW'!C705),SEARCH(" - ",TRIM('MSR RAW'!C705))-1),"")</f>
        <v/>
      </c>
      <c r="F705" t="str">
        <f>IF(E705="","",TRIM(MID(TRIM('MSR RAW'!C705),SEARCH(" - ",TRIM('MSR RAW'!C705))+3,LEN(TRIM('MSR RAW'!C705))-SEARCH(" - ",TRIM('MSR RAW'!C705))-9)))</f>
        <v/>
      </c>
      <c r="G705" t="str">
        <f>IF(E705="","",IFERROR(VLOOKUP(E705,'CATEGORY MAP'!$A$2:$B$20,2,FALSE()),"REVIEW"))</f>
        <v/>
      </c>
      <c r="H705" t="str">
        <f>IF(E705="","",IFERROR(VALUE(SUBSTITUTE('MSR RAW'!P705,",","")),0))</f>
        <v/>
      </c>
      <c r="I705" t="str">
        <f>IF(E705="","",IFERROR(VALUE(SUBSTITUTE('MSR RAW'!S705,",","")),0))</f>
        <v/>
      </c>
    </row>
    <row r="706" spans="1:9" ht="68.650000000000006" customHeight="1" x14ac:dyDescent="0.2">
      <c r="A706">
        <v>706</v>
      </c>
      <c r="B70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06" t="str">
        <f>IF(LEFT(TRIM('MSR RAW'!A706),11)="Department:",TRIM('MSR RAW'!A706),C705)</f>
        <v>Department: 36637 - SPECIALTY CONCESSIONS (VENDING)</v>
      </c>
      <c r="D706" t="str">
        <f>IF(LEFT(TRIM('MSR RAW'!B706),9)="Location:",TRIM(MID('MSR RAW'!B706,10,999)),D705)</f>
        <v>FB 155 - SUB ISLAND NOODLES</v>
      </c>
      <c r="E706" t="str">
        <f>IF(AND(ISNUMBER(SEARCH(" - ",TRIM('MSR RAW'!C706))),RIGHT(TRIM('MSR RAW'!C706),6)="Total:"),LEFT(TRIM('MSR RAW'!C706),SEARCH(" - ",TRIM('MSR RAW'!C706))-1),"")</f>
        <v/>
      </c>
      <c r="F706" t="str">
        <f>IF(E706="","",TRIM(MID(TRIM('MSR RAW'!C706),SEARCH(" - ",TRIM('MSR RAW'!C706))+3,LEN(TRIM('MSR RAW'!C706))-SEARCH(" - ",TRIM('MSR RAW'!C706))-9)))</f>
        <v/>
      </c>
      <c r="G706" t="str">
        <f>IF(E706="","",IFERROR(VLOOKUP(E706,'CATEGORY MAP'!$A$2:$B$20,2,FALSE()),"REVIEW"))</f>
        <v/>
      </c>
      <c r="H706" t="str">
        <f>IF(E706="","",IFERROR(VALUE(SUBSTITUTE('MSR RAW'!P706,",","")),0))</f>
        <v/>
      </c>
      <c r="I706" t="str">
        <f>IF(E706="","",IFERROR(VALUE(SUBSTITUTE('MSR RAW'!S706,",","")),0))</f>
        <v/>
      </c>
    </row>
    <row r="707" spans="1:9" ht="68.650000000000006" customHeight="1" x14ac:dyDescent="0.2">
      <c r="A707">
        <v>707</v>
      </c>
      <c r="B70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07" t="str">
        <f>IF(LEFT(TRIM('MSR RAW'!A707),11)="Department:",TRIM('MSR RAW'!A707),C706)</f>
        <v>Department: 36637 - SPECIALTY CONCESSIONS (VENDING)</v>
      </c>
      <c r="D707" t="str">
        <f>IF(LEFT(TRIM('MSR RAW'!B707),9)="Location:",TRIM(MID('MSR RAW'!B707,10,999)),D706)</f>
        <v>FB 155 - SUB ISLAND NOODLES</v>
      </c>
      <c r="E707" t="str">
        <f>IF(AND(ISNUMBER(SEARCH(" - ",TRIM('MSR RAW'!C707))),RIGHT(TRIM('MSR RAW'!C707),6)="Total:"),LEFT(TRIM('MSR RAW'!C707),SEARCH(" - ",TRIM('MSR RAW'!C707))-1),"")</f>
        <v/>
      </c>
      <c r="F707" t="str">
        <f>IF(E707="","",TRIM(MID(TRIM('MSR RAW'!C707),SEARCH(" - ",TRIM('MSR RAW'!C707))+3,LEN(TRIM('MSR RAW'!C707))-SEARCH(" - ",TRIM('MSR RAW'!C707))-9)))</f>
        <v/>
      </c>
      <c r="G707" t="str">
        <f>IF(E707="","",IFERROR(VLOOKUP(E707,'CATEGORY MAP'!$A$2:$B$20,2,FALSE()),"REVIEW"))</f>
        <v/>
      </c>
      <c r="H707" t="str">
        <f>IF(E707="","",IFERROR(VALUE(SUBSTITUTE('MSR RAW'!P707,",","")),0))</f>
        <v/>
      </c>
      <c r="I707" t="str">
        <f>IF(E707="","",IFERROR(VALUE(SUBSTITUTE('MSR RAW'!S707,",","")),0))</f>
        <v/>
      </c>
    </row>
    <row r="708" spans="1:9" ht="68.650000000000006" customHeight="1" x14ac:dyDescent="0.2">
      <c r="A708">
        <v>708</v>
      </c>
      <c r="B70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08" t="str">
        <f>IF(LEFT(TRIM('MSR RAW'!A708),11)="Department:",TRIM('MSR RAW'!A708),C707)</f>
        <v>Department: 36637 - SPECIALTY CONCESSIONS (VENDING)</v>
      </c>
      <c r="D708" t="str">
        <f>IF(LEFT(TRIM('MSR RAW'!B708),9)="Location:",TRIM(MID('MSR RAW'!B708,10,999)),D707)</f>
        <v>FB 155 - SUB ISLAND NOODLES</v>
      </c>
      <c r="E708" t="str">
        <f>IF(AND(ISNUMBER(SEARCH(" - ",TRIM('MSR RAW'!C708))),RIGHT(TRIM('MSR RAW'!C708),6)="Total:"),LEFT(TRIM('MSR RAW'!C708),SEARCH(" - ",TRIM('MSR RAW'!C708))-1),"")</f>
        <v/>
      </c>
      <c r="F708" t="str">
        <f>IF(E708="","",TRIM(MID(TRIM('MSR RAW'!C708),SEARCH(" - ",TRIM('MSR RAW'!C708))+3,LEN(TRIM('MSR RAW'!C708))-SEARCH(" - ",TRIM('MSR RAW'!C708))-9)))</f>
        <v/>
      </c>
      <c r="G708" t="str">
        <f>IF(E708="","",IFERROR(VLOOKUP(E708,'CATEGORY MAP'!$A$2:$B$20,2,FALSE()),"REVIEW"))</f>
        <v/>
      </c>
      <c r="H708" t="str">
        <f>IF(E708="","",IFERROR(VALUE(SUBSTITUTE('MSR RAW'!P708,",","")),0))</f>
        <v/>
      </c>
      <c r="I708" t="str">
        <f>IF(E708="","",IFERROR(VALUE(SUBSTITUTE('MSR RAW'!S708,",","")),0))</f>
        <v/>
      </c>
    </row>
    <row r="709" spans="1:9" ht="68.650000000000006" customHeight="1" x14ac:dyDescent="0.2">
      <c r="A709">
        <v>709</v>
      </c>
      <c r="B70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09" t="str">
        <f>IF(LEFT(TRIM('MSR RAW'!A709),11)="Department:",TRIM('MSR RAW'!A709),C708)</f>
        <v>Department: 36637 - SPECIALTY CONCESSIONS (VENDING)</v>
      </c>
      <c r="D709" t="str">
        <f>IF(LEFT(TRIM('MSR RAW'!B709),9)="Location:",TRIM(MID('MSR RAW'!B709,10,999)),D708)</f>
        <v>FB 155 - SUB ISLAND NOODLES</v>
      </c>
      <c r="E709" t="str">
        <f>IF(AND(ISNUMBER(SEARCH(" - ",TRIM('MSR RAW'!C709))),RIGHT(TRIM('MSR RAW'!C709),6)="Total:"),LEFT(TRIM('MSR RAW'!C709),SEARCH(" - ",TRIM('MSR RAW'!C709))-1),"")</f>
        <v/>
      </c>
      <c r="F709" t="str">
        <f>IF(E709="","",TRIM(MID(TRIM('MSR RAW'!C709),SEARCH(" - ",TRIM('MSR RAW'!C709))+3,LEN(TRIM('MSR RAW'!C709))-SEARCH(" - ",TRIM('MSR RAW'!C709))-9)))</f>
        <v/>
      </c>
      <c r="G709" t="str">
        <f>IF(E709="","",IFERROR(VLOOKUP(E709,'CATEGORY MAP'!$A$2:$B$20,2,FALSE()),"REVIEW"))</f>
        <v/>
      </c>
      <c r="H709" t="str">
        <f>IF(E709="","",IFERROR(VALUE(SUBSTITUTE('MSR RAW'!P709,",","")),0))</f>
        <v/>
      </c>
      <c r="I709" t="str">
        <f>IF(E709="","",IFERROR(VALUE(SUBSTITUTE('MSR RAW'!S709,",","")),0))</f>
        <v/>
      </c>
    </row>
    <row r="710" spans="1:9" ht="68.650000000000006" customHeight="1" x14ac:dyDescent="0.2">
      <c r="A710">
        <v>710</v>
      </c>
      <c r="B71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10" t="str">
        <f>IF(LEFT(TRIM('MSR RAW'!A710),11)="Department:",TRIM('MSR RAW'!A710),C709)</f>
        <v>Department: 36637 - SPECIALTY CONCESSIONS (VENDING)</v>
      </c>
      <c r="D710" t="str">
        <f>IF(LEFT(TRIM('MSR RAW'!B710),9)="Location:",TRIM(MID('MSR RAW'!B710,10,999)),D709)</f>
        <v>FB 155 - SUB ISLAND NOODLES</v>
      </c>
      <c r="E710" t="str">
        <f>IF(AND(ISNUMBER(SEARCH(" - ",TRIM('MSR RAW'!C710))),RIGHT(TRIM('MSR RAW'!C710),6)="Total:"),LEFT(TRIM('MSR RAW'!C710),SEARCH(" - ",TRIM('MSR RAW'!C710))-1),"")</f>
        <v/>
      </c>
      <c r="F710" t="str">
        <f>IF(E710="","",TRIM(MID(TRIM('MSR RAW'!C710),SEARCH(" - ",TRIM('MSR RAW'!C710))+3,LEN(TRIM('MSR RAW'!C710))-SEARCH(" - ",TRIM('MSR RAW'!C710))-9)))</f>
        <v/>
      </c>
      <c r="G710" t="str">
        <f>IF(E710="","",IFERROR(VLOOKUP(E710,'CATEGORY MAP'!$A$2:$B$20,2,FALSE()),"REVIEW"))</f>
        <v/>
      </c>
      <c r="H710" t="str">
        <f>IF(E710="","",IFERROR(VALUE(SUBSTITUTE('MSR RAW'!P710,",","")),0))</f>
        <v/>
      </c>
      <c r="I710" t="str">
        <f>IF(E710="","",IFERROR(VALUE(SUBSTITUTE('MSR RAW'!S710,",","")),0))</f>
        <v/>
      </c>
    </row>
    <row r="711" spans="1:9" ht="68.650000000000006" customHeight="1" x14ac:dyDescent="0.2">
      <c r="A711">
        <v>711</v>
      </c>
      <c r="B71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11" t="str">
        <f>IF(LEFT(TRIM('MSR RAW'!A711),11)="Department:",TRIM('MSR RAW'!A711),C710)</f>
        <v>Department: 36637 - SPECIALTY CONCESSIONS (VENDING)</v>
      </c>
      <c r="D711" t="str">
        <f>IF(LEFT(TRIM('MSR RAW'!B711),9)="Location:",TRIM(MID('MSR RAW'!B711,10,999)),D710)</f>
        <v>FB 155 - SUB ISLAND NOODLES</v>
      </c>
      <c r="E711" t="str">
        <f>IF(AND(ISNUMBER(SEARCH(" - ",TRIM('MSR RAW'!C711))),RIGHT(TRIM('MSR RAW'!C711),6)="Total:"),LEFT(TRIM('MSR RAW'!C711),SEARCH(" - ",TRIM('MSR RAW'!C711))-1),"")</f>
        <v/>
      </c>
      <c r="F711" t="str">
        <f>IF(E711="","",TRIM(MID(TRIM('MSR RAW'!C711),SEARCH(" - ",TRIM('MSR RAW'!C711))+3,LEN(TRIM('MSR RAW'!C711))-SEARCH(" - ",TRIM('MSR RAW'!C711))-9)))</f>
        <v/>
      </c>
      <c r="G711" t="str">
        <f>IF(E711="","",IFERROR(VLOOKUP(E711,'CATEGORY MAP'!$A$2:$B$20,2,FALSE()),"REVIEW"))</f>
        <v/>
      </c>
      <c r="H711" t="str">
        <f>IF(E711="","",IFERROR(VALUE(SUBSTITUTE('MSR RAW'!P711,",","")),0))</f>
        <v/>
      </c>
      <c r="I711" t="str">
        <f>IF(E711="","",IFERROR(VALUE(SUBSTITUTE('MSR RAW'!S711,",","")),0))</f>
        <v/>
      </c>
    </row>
    <row r="712" spans="1:9" ht="68.650000000000006" customHeight="1" x14ac:dyDescent="0.2">
      <c r="A712">
        <v>712</v>
      </c>
      <c r="B71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12" t="str">
        <f>IF(LEFT(TRIM('MSR RAW'!A712),11)="Department:",TRIM('MSR RAW'!A712),C711)</f>
        <v>Department: 36637 - SPECIALTY CONCESSIONS (VENDING)</v>
      </c>
      <c r="D712" t="str">
        <f>IF(LEFT(TRIM('MSR RAW'!B712),9)="Location:",TRIM(MID('MSR RAW'!B712,10,999)),D711)</f>
        <v>FB 155 - SUB ISLAND NOODLES</v>
      </c>
      <c r="E712" t="str">
        <f>IF(AND(ISNUMBER(SEARCH(" - ",TRIM('MSR RAW'!C712))),RIGHT(TRIM('MSR RAW'!C712),6)="Total:"),LEFT(TRIM('MSR RAW'!C712),SEARCH(" - ",TRIM('MSR RAW'!C712))-1),"")</f>
        <v/>
      </c>
      <c r="F712" t="str">
        <f>IF(E712="","",TRIM(MID(TRIM('MSR RAW'!C712),SEARCH(" - ",TRIM('MSR RAW'!C712))+3,LEN(TRIM('MSR RAW'!C712))-SEARCH(" - ",TRIM('MSR RAW'!C712))-9)))</f>
        <v/>
      </c>
      <c r="G712" t="str">
        <f>IF(E712="","",IFERROR(VLOOKUP(E712,'CATEGORY MAP'!$A$2:$B$20,2,FALSE()),"REVIEW"))</f>
        <v/>
      </c>
      <c r="H712" t="str">
        <f>IF(E712="","",IFERROR(VALUE(SUBSTITUTE('MSR RAW'!P712,",","")),0))</f>
        <v/>
      </c>
      <c r="I712" t="str">
        <f>IF(E712="","",IFERROR(VALUE(SUBSTITUTE('MSR RAW'!S712,",","")),0))</f>
        <v/>
      </c>
    </row>
    <row r="713" spans="1:9" ht="68.650000000000006" customHeight="1" x14ac:dyDescent="0.2">
      <c r="A713">
        <v>713</v>
      </c>
      <c r="B71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13" t="str">
        <f>IF(LEFT(TRIM('MSR RAW'!A713),11)="Department:",TRIM('MSR RAW'!A713),C712)</f>
        <v>Department: 36637 - SPECIALTY CONCESSIONS (VENDING)</v>
      </c>
      <c r="D713" t="str">
        <f>IF(LEFT(TRIM('MSR RAW'!B713),9)="Location:",TRIM(MID('MSR RAW'!B713,10,999)),D712)</f>
        <v>FB 155 - SUB ISLAND NOODLES</v>
      </c>
      <c r="E713" t="str">
        <f>IF(AND(ISNUMBER(SEARCH(" - ",TRIM('MSR RAW'!C713))),RIGHT(TRIM('MSR RAW'!C713),6)="Total:"),LEFT(TRIM('MSR RAW'!C713),SEARCH(" - ",TRIM('MSR RAW'!C713))-1),"")</f>
        <v/>
      </c>
      <c r="F713" t="str">
        <f>IF(E713="","",TRIM(MID(TRIM('MSR RAW'!C713),SEARCH(" - ",TRIM('MSR RAW'!C713))+3,LEN(TRIM('MSR RAW'!C713))-SEARCH(" - ",TRIM('MSR RAW'!C713))-9)))</f>
        <v/>
      </c>
      <c r="G713" t="str">
        <f>IF(E713="","",IFERROR(VLOOKUP(E713,'CATEGORY MAP'!$A$2:$B$20,2,FALSE()),"REVIEW"))</f>
        <v/>
      </c>
      <c r="H713" t="str">
        <f>IF(E713="","",IFERROR(VALUE(SUBSTITUTE('MSR RAW'!P713,",","")),0))</f>
        <v/>
      </c>
      <c r="I713" t="str">
        <f>IF(E713="","",IFERROR(VALUE(SUBSTITUTE('MSR RAW'!S713,",","")),0))</f>
        <v/>
      </c>
    </row>
    <row r="714" spans="1:9" ht="68.650000000000006" customHeight="1" x14ac:dyDescent="0.2">
      <c r="A714">
        <v>714</v>
      </c>
      <c r="B71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14" t="str">
        <f>IF(LEFT(TRIM('MSR RAW'!A714),11)="Department:",TRIM('MSR RAW'!A714),C713)</f>
        <v>Department: 36637 - SPECIALTY CONCESSIONS (VENDING)</v>
      </c>
      <c r="D714" t="str">
        <f>IF(LEFT(TRIM('MSR RAW'!B714),9)="Location:",TRIM(MID('MSR RAW'!B714,10,999)),D713)</f>
        <v>FB 155 - SUB ISLAND NOODLES</v>
      </c>
      <c r="E714" t="str">
        <f>IF(AND(ISNUMBER(SEARCH(" - ",TRIM('MSR RAW'!C714))),RIGHT(TRIM('MSR RAW'!C714),6)="Total:"),LEFT(TRIM('MSR RAW'!C714),SEARCH(" - ",TRIM('MSR RAW'!C714))-1),"")</f>
        <v/>
      </c>
      <c r="F714" t="str">
        <f>IF(E714="","",TRIM(MID(TRIM('MSR RAW'!C714),SEARCH(" - ",TRIM('MSR RAW'!C714))+3,LEN(TRIM('MSR RAW'!C714))-SEARCH(" - ",TRIM('MSR RAW'!C714))-9)))</f>
        <v/>
      </c>
      <c r="G714" t="str">
        <f>IF(E714="","",IFERROR(VLOOKUP(E714,'CATEGORY MAP'!$A$2:$B$20,2,FALSE()),"REVIEW"))</f>
        <v/>
      </c>
      <c r="H714" t="str">
        <f>IF(E714="","",IFERROR(VALUE(SUBSTITUTE('MSR RAW'!P714,",","")),0))</f>
        <v/>
      </c>
      <c r="I714" t="str">
        <f>IF(E714="","",IFERROR(VALUE(SUBSTITUTE('MSR RAW'!S714,",","")),0))</f>
        <v/>
      </c>
    </row>
    <row r="715" spans="1:9" ht="68.650000000000006" customHeight="1" x14ac:dyDescent="0.2">
      <c r="A715">
        <v>715</v>
      </c>
      <c r="B71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15" t="str">
        <f>IF(LEFT(TRIM('MSR RAW'!A715),11)="Department:",TRIM('MSR RAW'!A715),C714)</f>
        <v>Department: 36637 - SPECIALTY CONCESSIONS (VENDING)</v>
      </c>
      <c r="D715" t="str">
        <f>IF(LEFT(TRIM('MSR RAW'!B715),9)="Location:",TRIM(MID('MSR RAW'!B715,10,999)),D714)</f>
        <v>FB 155 - SUB ISLAND NOODLES</v>
      </c>
      <c r="E715" t="str">
        <f>IF(AND(ISNUMBER(SEARCH(" - ",TRIM('MSR RAW'!C715))),RIGHT(TRIM('MSR RAW'!C715),6)="Total:"),LEFT(TRIM('MSR RAW'!C715),SEARCH(" - ",TRIM('MSR RAW'!C715))-1),"")</f>
        <v/>
      </c>
      <c r="F715" t="str">
        <f>IF(E715="","",TRIM(MID(TRIM('MSR RAW'!C715),SEARCH(" - ",TRIM('MSR RAW'!C715))+3,LEN(TRIM('MSR RAW'!C715))-SEARCH(" - ",TRIM('MSR RAW'!C715))-9)))</f>
        <v/>
      </c>
      <c r="G715" t="str">
        <f>IF(E715="","",IFERROR(VLOOKUP(E715,'CATEGORY MAP'!$A$2:$B$20,2,FALSE()),"REVIEW"))</f>
        <v/>
      </c>
      <c r="H715" t="str">
        <f>IF(E715="","",IFERROR(VALUE(SUBSTITUTE('MSR RAW'!P715,",","")),0))</f>
        <v/>
      </c>
      <c r="I715" t="str">
        <f>IF(E715="","",IFERROR(VALUE(SUBSTITUTE('MSR RAW'!S715,",","")),0))</f>
        <v/>
      </c>
    </row>
    <row r="716" spans="1:9" ht="68.650000000000006" customHeight="1" x14ac:dyDescent="0.2">
      <c r="A716">
        <v>716</v>
      </c>
      <c r="B71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16" t="str">
        <f>IF(LEFT(TRIM('MSR RAW'!A716),11)="Department:",TRIM('MSR RAW'!A716),C715)</f>
        <v>Department: 36637 - SPECIALTY CONCESSIONS (VENDING)</v>
      </c>
      <c r="D716" t="str">
        <f>IF(LEFT(TRIM('MSR RAW'!B716),9)="Location:",TRIM(MID('MSR RAW'!B716,10,999)),D715)</f>
        <v>FB 155 - SUB ISLAND NOODLES</v>
      </c>
      <c r="E716" t="str">
        <f>IF(AND(ISNUMBER(SEARCH(" - ",TRIM('MSR RAW'!C716))),RIGHT(TRIM('MSR RAW'!C716),6)="Total:"),LEFT(TRIM('MSR RAW'!C716),SEARCH(" - ",TRIM('MSR RAW'!C716))-1),"")</f>
        <v/>
      </c>
      <c r="F716" t="str">
        <f>IF(E716="","",TRIM(MID(TRIM('MSR RAW'!C716),SEARCH(" - ",TRIM('MSR RAW'!C716))+3,LEN(TRIM('MSR RAW'!C716))-SEARCH(" - ",TRIM('MSR RAW'!C716))-9)))</f>
        <v/>
      </c>
      <c r="G716" t="str">
        <f>IF(E716="","",IFERROR(VLOOKUP(E716,'CATEGORY MAP'!$A$2:$B$20,2,FALSE()),"REVIEW"))</f>
        <v/>
      </c>
      <c r="H716" t="str">
        <f>IF(E716="","",IFERROR(VALUE(SUBSTITUTE('MSR RAW'!P716,",","")),0))</f>
        <v/>
      </c>
      <c r="I716" t="str">
        <f>IF(E716="","",IFERROR(VALUE(SUBSTITUTE('MSR RAW'!S716,",","")),0))</f>
        <v/>
      </c>
    </row>
    <row r="717" spans="1:9" ht="68.650000000000006" customHeight="1" x14ac:dyDescent="0.2">
      <c r="A717">
        <v>717</v>
      </c>
      <c r="B71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17" t="str">
        <f>IF(LEFT(TRIM('MSR RAW'!A717),11)="Department:",TRIM('MSR RAW'!A717),C716)</f>
        <v>Department: 36637 - SPECIALTY CONCESSIONS (VENDING)</v>
      </c>
      <c r="D717" t="str">
        <f>IF(LEFT(TRIM('MSR RAW'!B717),9)="Location:",TRIM(MID('MSR RAW'!B717,10,999)),D716)</f>
        <v>FB 155 - SUB ISLAND NOODLES</v>
      </c>
      <c r="E717" t="str">
        <f>IF(AND(ISNUMBER(SEARCH(" - ",TRIM('MSR RAW'!C717))),RIGHT(TRIM('MSR RAW'!C717),6)="Total:"),LEFT(TRIM('MSR RAW'!C717),SEARCH(" - ",TRIM('MSR RAW'!C717))-1),"")</f>
        <v/>
      </c>
      <c r="F717" t="str">
        <f>IF(E717="","",TRIM(MID(TRIM('MSR RAW'!C717),SEARCH(" - ",TRIM('MSR RAW'!C717))+3,LEN(TRIM('MSR RAW'!C717))-SEARCH(" - ",TRIM('MSR RAW'!C717))-9)))</f>
        <v/>
      </c>
      <c r="G717" t="str">
        <f>IF(E717="","",IFERROR(VLOOKUP(E717,'CATEGORY MAP'!$A$2:$B$20,2,FALSE()),"REVIEW"))</f>
        <v/>
      </c>
      <c r="H717" t="str">
        <f>IF(E717="","",IFERROR(VALUE(SUBSTITUTE('MSR RAW'!P717,",","")),0))</f>
        <v/>
      </c>
      <c r="I717" t="str">
        <f>IF(E717="","",IFERROR(VALUE(SUBSTITUTE('MSR RAW'!S717,",","")),0))</f>
        <v/>
      </c>
    </row>
    <row r="718" spans="1:9" ht="68.650000000000006" customHeight="1" x14ac:dyDescent="0.2">
      <c r="A718">
        <v>718</v>
      </c>
      <c r="B71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18" t="str">
        <f>IF(LEFT(TRIM('MSR RAW'!A718),11)="Department:",TRIM('MSR RAW'!A718),C717)</f>
        <v>Department: 36637 - SPECIALTY CONCESSIONS (VENDING)</v>
      </c>
      <c r="D718" t="str">
        <f>IF(LEFT(TRIM('MSR RAW'!B718),9)="Location:",TRIM(MID('MSR RAW'!B718,10,999)),D717)</f>
        <v>FB 155 - SUB ISLAND NOODLES</v>
      </c>
      <c r="E718" t="str">
        <f>IF(AND(ISNUMBER(SEARCH(" - ",TRIM('MSR RAW'!C718))),RIGHT(TRIM('MSR RAW'!C718),6)="Total:"),LEFT(TRIM('MSR RAW'!C718),SEARCH(" - ",TRIM('MSR RAW'!C718))-1),"")</f>
        <v/>
      </c>
      <c r="F718" t="str">
        <f>IF(E718="","",TRIM(MID(TRIM('MSR RAW'!C718),SEARCH(" - ",TRIM('MSR RAW'!C718))+3,LEN(TRIM('MSR RAW'!C718))-SEARCH(" - ",TRIM('MSR RAW'!C718))-9)))</f>
        <v/>
      </c>
      <c r="G718" t="str">
        <f>IF(E718="","",IFERROR(VLOOKUP(E718,'CATEGORY MAP'!$A$2:$B$20,2,FALSE()),"REVIEW"))</f>
        <v/>
      </c>
      <c r="H718" t="str">
        <f>IF(E718="","",IFERROR(VALUE(SUBSTITUTE('MSR RAW'!P718,",","")),0))</f>
        <v/>
      </c>
      <c r="I718" t="str">
        <f>IF(E718="","",IFERROR(VALUE(SUBSTITUTE('MSR RAW'!S718,",","")),0))</f>
        <v/>
      </c>
    </row>
    <row r="719" spans="1:9" ht="68.650000000000006" customHeight="1" x14ac:dyDescent="0.2">
      <c r="A719">
        <v>719</v>
      </c>
      <c r="B71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19" t="str">
        <f>IF(LEFT(TRIM('MSR RAW'!A719),11)="Department:",TRIM('MSR RAW'!A719),C718)</f>
        <v>Department: 36637 - SPECIALTY CONCESSIONS (VENDING)</v>
      </c>
      <c r="D719" t="str">
        <f>IF(LEFT(TRIM('MSR RAW'!B719),9)="Location:",TRIM(MID('MSR RAW'!B719,10,999)),D718)</f>
        <v>FB 155 - SUB ISLAND NOODLES</v>
      </c>
      <c r="E719" t="str">
        <f>IF(AND(ISNUMBER(SEARCH(" - ",TRIM('MSR RAW'!C719))),RIGHT(TRIM('MSR RAW'!C719),6)="Total:"),LEFT(TRIM('MSR RAW'!C719),SEARCH(" - ",TRIM('MSR RAW'!C719))-1),"")</f>
        <v/>
      </c>
      <c r="F719" t="str">
        <f>IF(E719="","",TRIM(MID(TRIM('MSR RAW'!C719),SEARCH(" - ",TRIM('MSR RAW'!C719))+3,LEN(TRIM('MSR RAW'!C719))-SEARCH(" - ",TRIM('MSR RAW'!C719))-9)))</f>
        <v/>
      </c>
      <c r="G719" t="str">
        <f>IF(E719="","",IFERROR(VLOOKUP(E719,'CATEGORY MAP'!$A$2:$B$20,2,FALSE()),"REVIEW"))</f>
        <v/>
      </c>
      <c r="H719" t="str">
        <f>IF(E719="","",IFERROR(VALUE(SUBSTITUTE('MSR RAW'!P719,",","")),0))</f>
        <v/>
      </c>
      <c r="I719" t="str">
        <f>IF(E719="","",IFERROR(VALUE(SUBSTITUTE('MSR RAW'!S719,",","")),0))</f>
        <v/>
      </c>
    </row>
    <row r="720" spans="1:9" ht="68.650000000000006" customHeight="1" x14ac:dyDescent="0.2">
      <c r="A720">
        <v>720</v>
      </c>
      <c r="B72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20" t="str">
        <f>IF(LEFT(TRIM('MSR RAW'!A720),11)="Department:",TRIM('MSR RAW'!A720),C719)</f>
        <v>Department: 36637 - SPECIALTY CONCESSIONS (VENDING)</v>
      </c>
      <c r="D720" t="str">
        <f>IF(LEFT(TRIM('MSR RAW'!B720),9)="Location:",TRIM(MID('MSR RAW'!B720,10,999)),D719)</f>
        <v>FB 155 - SUB ISLAND NOODLES</v>
      </c>
      <c r="E720" t="str">
        <f>IF(AND(ISNUMBER(SEARCH(" - ",TRIM('MSR RAW'!C720))),RIGHT(TRIM('MSR RAW'!C720),6)="Total:"),LEFT(TRIM('MSR RAW'!C720),SEARCH(" - ",TRIM('MSR RAW'!C720))-1),"")</f>
        <v/>
      </c>
      <c r="F720" t="str">
        <f>IF(E720="","",TRIM(MID(TRIM('MSR RAW'!C720),SEARCH(" - ",TRIM('MSR RAW'!C720))+3,LEN(TRIM('MSR RAW'!C720))-SEARCH(" - ",TRIM('MSR RAW'!C720))-9)))</f>
        <v/>
      </c>
      <c r="G720" t="str">
        <f>IF(E720="","",IFERROR(VLOOKUP(E720,'CATEGORY MAP'!$A$2:$B$20,2,FALSE()),"REVIEW"))</f>
        <v/>
      </c>
      <c r="H720" t="str">
        <f>IF(E720="","",IFERROR(VALUE(SUBSTITUTE('MSR RAW'!P720,",","")),0))</f>
        <v/>
      </c>
      <c r="I720" t="str">
        <f>IF(E720="","",IFERROR(VALUE(SUBSTITUTE('MSR RAW'!S720,",","")),0))</f>
        <v/>
      </c>
    </row>
    <row r="721" spans="1:9" ht="68.650000000000006" customHeight="1" x14ac:dyDescent="0.2">
      <c r="A721">
        <v>721</v>
      </c>
      <c r="B72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21" t="str">
        <f>IF(LEFT(TRIM('MSR RAW'!A721),11)="Department:",TRIM('MSR RAW'!A721),C720)</f>
        <v>Department: 36637 - SPECIALTY CONCESSIONS (VENDING)</v>
      </c>
      <c r="D721" t="str">
        <f>IF(LEFT(TRIM('MSR RAW'!B721),9)="Location:",TRIM(MID('MSR RAW'!B721,10,999)),D720)</f>
        <v>FB 155 - SUB ISLAND NOODLES</v>
      </c>
      <c r="E721" t="str">
        <f>IF(AND(ISNUMBER(SEARCH(" - ",TRIM('MSR RAW'!C721))),RIGHT(TRIM('MSR RAW'!C721),6)="Total:"),LEFT(TRIM('MSR RAW'!C721),SEARCH(" - ",TRIM('MSR RAW'!C721))-1),"")</f>
        <v/>
      </c>
      <c r="F721" t="str">
        <f>IF(E721="","",TRIM(MID(TRIM('MSR RAW'!C721),SEARCH(" - ",TRIM('MSR RAW'!C721))+3,LEN(TRIM('MSR RAW'!C721))-SEARCH(" - ",TRIM('MSR RAW'!C721))-9)))</f>
        <v/>
      </c>
      <c r="G721" t="str">
        <f>IF(E721="","",IFERROR(VLOOKUP(E721,'CATEGORY MAP'!$A$2:$B$20,2,FALSE()),"REVIEW"))</f>
        <v/>
      </c>
      <c r="H721" t="str">
        <f>IF(E721="","",IFERROR(VALUE(SUBSTITUTE('MSR RAW'!P721,",","")),0))</f>
        <v/>
      </c>
      <c r="I721" t="str">
        <f>IF(E721="","",IFERROR(VALUE(SUBSTITUTE('MSR RAW'!S721,",","")),0))</f>
        <v/>
      </c>
    </row>
    <row r="722" spans="1:9" ht="68.650000000000006" customHeight="1" x14ac:dyDescent="0.2">
      <c r="A722">
        <v>722</v>
      </c>
      <c r="B72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22" t="str">
        <f>IF(LEFT(TRIM('MSR RAW'!A722),11)="Department:",TRIM('MSR RAW'!A722),C721)</f>
        <v>Department: 36637 - SPECIALTY CONCESSIONS (VENDING)</v>
      </c>
      <c r="D722" t="str">
        <f>IF(LEFT(TRIM('MSR RAW'!B722),9)="Location:",TRIM(MID('MSR RAW'!B722,10,999)),D721)</f>
        <v>FB 155 - SUB ISLAND NOODLES</v>
      </c>
      <c r="E722" t="str">
        <f>IF(AND(ISNUMBER(SEARCH(" - ",TRIM('MSR RAW'!C722))),RIGHT(TRIM('MSR RAW'!C722),6)="Total:"),LEFT(TRIM('MSR RAW'!C722),SEARCH(" - ",TRIM('MSR RAW'!C722))-1),"")</f>
        <v/>
      </c>
      <c r="F722" t="str">
        <f>IF(E722="","",TRIM(MID(TRIM('MSR RAW'!C722),SEARCH(" - ",TRIM('MSR RAW'!C722))+3,LEN(TRIM('MSR RAW'!C722))-SEARCH(" - ",TRIM('MSR RAW'!C722))-9)))</f>
        <v/>
      </c>
      <c r="G722" t="str">
        <f>IF(E722="","",IFERROR(VLOOKUP(E722,'CATEGORY MAP'!$A$2:$B$20,2,FALSE()),"REVIEW"))</f>
        <v/>
      </c>
      <c r="H722" t="str">
        <f>IF(E722="","",IFERROR(VALUE(SUBSTITUTE('MSR RAW'!P722,",","")),0))</f>
        <v/>
      </c>
      <c r="I722" t="str">
        <f>IF(E722="","",IFERROR(VALUE(SUBSTITUTE('MSR RAW'!S722,",","")),0))</f>
        <v/>
      </c>
    </row>
    <row r="723" spans="1:9" ht="68.650000000000006" customHeight="1" x14ac:dyDescent="0.2">
      <c r="A723">
        <v>723</v>
      </c>
      <c r="B72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23" t="str">
        <f>IF(LEFT(TRIM('MSR RAW'!A723),11)="Department:",TRIM('MSR RAW'!A723),C722)</f>
        <v>Department: 36637 - SPECIALTY CONCESSIONS (VENDING)</v>
      </c>
      <c r="D723" t="str">
        <f>IF(LEFT(TRIM('MSR RAW'!B723),9)="Location:",TRIM(MID('MSR RAW'!B723,10,999)),D722)</f>
        <v>FB 155 - SUB ISLAND NOODLES</v>
      </c>
      <c r="E723" t="str">
        <f>IF(AND(ISNUMBER(SEARCH(" - ",TRIM('MSR RAW'!C723))),RIGHT(TRIM('MSR RAW'!C723),6)="Total:"),LEFT(TRIM('MSR RAW'!C723),SEARCH(" - ",TRIM('MSR RAW'!C723))-1),"")</f>
        <v/>
      </c>
      <c r="F723" t="str">
        <f>IF(E723="","",TRIM(MID(TRIM('MSR RAW'!C723),SEARCH(" - ",TRIM('MSR RAW'!C723))+3,LEN(TRIM('MSR RAW'!C723))-SEARCH(" - ",TRIM('MSR RAW'!C723))-9)))</f>
        <v/>
      </c>
      <c r="G723" t="str">
        <f>IF(E723="","",IFERROR(VLOOKUP(E723,'CATEGORY MAP'!$A$2:$B$20,2,FALSE()),"REVIEW"))</f>
        <v/>
      </c>
      <c r="H723" t="str">
        <f>IF(E723="","",IFERROR(VALUE(SUBSTITUTE('MSR RAW'!P723,",","")),0))</f>
        <v/>
      </c>
      <c r="I723" t="str">
        <f>IF(E723="","",IFERROR(VALUE(SUBSTITUTE('MSR RAW'!S723,",","")),0))</f>
        <v/>
      </c>
    </row>
    <row r="724" spans="1:9" ht="68.650000000000006" customHeight="1" x14ac:dyDescent="0.2">
      <c r="A724">
        <v>724</v>
      </c>
      <c r="B72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24" t="str">
        <f>IF(LEFT(TRIM('MSR RAW'!A724),11)="Department:",TRIM('MSR RAW'!A724),C723)</f>
        <v>Department: 36637 - SPECIALTY CONCESSIONS (VENDING)</v>
      </c>
      <c r="D724" t="str">
        <f>IF(LEFT(TRIM('MSR RAW'!B724),9)="Location:",TRIM(MID('MSR RAW'!B724,10,999)),D723)</f>
        <v>FB 155 - SUB ISLAND NOODLES</v>
      </c>
      <c r="E724" t="str">
        <f>IF(AND(ISNUMBER(SEARCH(" - ",TRIM('MSR RAW'!C724))),RIGHT(TRIM('MSR RAW'!C724),6)="Total:"),LEFT(TRIM('MSR RAW'!C724),SEARCH(" - ",TRIM('MSR RAW'!C724))-1),"")</f>
        <v/>
      </c>
      <c r="F724" t="str">
        <f>IF(E724="","",TRIM(MID(TRIM('MSR RAW'!C724),SEARCH(" - ",TRIM('MSR RAW'!C724))+3,LEN(TRIM('MSR RAW'!C724))-SEARCH(" - ",TRIM('MSR RAW'!C724))-9)))</f>
        <v/>
      </c>
      <c r="G724" t="str">
        <f>IF(E724="","",IFERROR(VLOOKUP(E724,'CATEGORY MAP'!$A$2:$B$20,2,FALSE()),"REVIEW"))</f>
        <v/>
      </c>
      <c r="H724" t="str">
        <f>IF(E724="","",IFERROR(VALUE(SUBSTITUTE('MSR RAW'!P724,",","")),0))</f>
        <v/>
      </c>
      <c r="I724" t="str">
        <f>IF(E724="","",IFERROR(VALUE(SUBSTITUTE('MSR RAW'!S724,",","")),0))</f>
        <v/>
      </c>
    </row>
    <row r="725" spans="1:9" ht="68.650000000000006" customHeight="1" x14ac:dyDescent="0.2">
      <c r="A725">
        <v>725</v>
      </c>
      <c r="B72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25" t="str">
        <f>IF(LEFT(TRIM('MSR RAW'!A725),11)="Department:",TRIM('MSR RAW'!A725),C724)</f>
        <v>Department: 36637 - SPECIALTY CONCESSIONS (VENDING)</v>
      </c>
      <c r="D725" t="str">
        <f>IF(LEFT(TRIM('MSR RAW'!B725),9)="Location:",TRIM(MID('MSR RAW'!B725,10,999)),D724)</f>
        <v>FB 155 - SUB ISLAND NOODLES</v>
      </c>
      <c r="E725" t="str">
        <f>IF(AND(ISNUMBER(SEARCH(" - ",TRIM('MSR RAW'!C725))),RIGHT(TRIM('MSR RAW'!C725),6)="Total:"),LEFT(TRIM('MSR RAW'!C725),SEARCH(" - ",TRIM('MSR RAW'!C725))-1),"")</f>
        <v/>
      </c>
      <c r="F725" t="str">
        <f>IF(E725="","",TRIM(MID(TRIM('MSR RAW'!C725),SEARCH(" - ",TRIM('MSR RAW'!C725))+3,LEN(TRIM('MSR RAW'!C725))-SEARCH(" - ",TRIM('MSR RAW'!C725))-9)))</f>
        <v/>
      </c>
      <c r="G725" t="str">
        <f>IF(E725="","",IFERROR(VLOOKUP(E725,'CATEGORY MAP'!$A$2:$B$20,2,FALSE()),"REVIEW"))</f>
        <v/>
      </c>
      <c r="H725" t="str">
        <f>IF(E725="","",IFERROR(VALUE(SUBSTITUTE('MSR RAW'!P725,",","")),0))</f>
        <v/>
      </c>
      <c r="I725" t="str">
        <f>IF(E725="","",IFERROR(VALUE(SUBSTITUTE('MSR RAW'!S725,",","")),0))</f>
        <v/>
      </c>
    </row>
    <row r="726" spans="1:9" ht="68.650000000000006" customHeight="1" x14ac:dyDescent="0.2">
      <c r="A726">
        <v>726</v>
      </c>
      <c r="B72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26" t="str">
        <f>IF(LEFT(TRIM('MSR RAW'!A726),11)="Department:",TRIM('MSR RAW'!A726),C725)</f>
        <v>Department: 36637 - SPECIALTY CONCESSIONS (VENDING)</v>
      </c>
      <c r="D726" t="str">
        <f>IF(LEFT(TRIM('MSR RAW'!B726),9)="Location:",TRIM(MID('MSR RAW'!B726,10,999)),D725)</f>
        <v>FB 155 - SUB ISLAND NOODLES</v>
      </c>
      <c r="E726" t="str">
        <f>IF(AND(ISNUMBER(SEARCH(" - ",TRIM('MSR RAW'!C726))),RIGHT(TRIM('MSR RAW'!C726),6)="Total:"),LEFT(TRIM('MSR RAW'!C726),SEARCH(" - ",TRIM('MSR RAW'!C726))-1),"")</f>
        <v/>
      </c>
      <c r="F726" t="str">
        <f>IF(E726="","",TRIM(MID(TRIM('MSR RAW'!C726),SEARCH(" - ",TRIM('MSR RAW'!C726))+3,LEN(TRIM('MSR RAW'!C726))-SEARCH(" - ",TRIM('MSR RAW'!C726))-9)))</f>
        <v/>
      </c>
      <c r="G726" t="str">
        <f>IF(E726="","",IFERROR(VLOOKUP(E726,'CATEGORY MAP'!$A$2:$B$20,2,FALSE()),"REVIEW"))</f>
        <v/>
      </c>
      <c r="H726" t="str">
        <f>IF(E726="","",IFERROR(VALUE(SUBSTITUTE('MSR RAW'!P726,",","")),0))</f>
        <v/>
      </c>
      <c r="I726" t="str">
        <f>IF(E726="","",IFERROR(VALUE(SUBSTITUTE('MSR RAW'!S726,",","")),0))</f>
        <v/>
      </c>
    </row>
    <row r="727" spans="1:9" ht="68.650000000000006" customHeight="1" x14ac:dyDescent="0.2">
      <c r="A727">
        <v>727</v>
      </c>
      <c r="B72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27" t="str">
        <f>IF(LEFT(TRIM('MSR RAW'!A727),11)="Department:",TRIM('MSR RAW'!A727),C726)</f>
        <v>Department: 36637 - SPECIALTY CONCESSIONS (VENDING)</v>
      </c>
      <c r="D727" t="str">
        <f>IF(LEFT(TRIM('MSR RAW'!B727),9)="Location:",TRIM(MID('MSR RAW'!B727,10,999)),D726)</f>
        <v>FB 155 - SUB ISLAND NOODLES</v>
      </c>
      <c r="E727" t="str">
        <f>IF(AND(ISNUMBER(SEARCH(" - ",TRIM('MSR RAW'!C727))),RIGHT(TRIM('MSR RAW'!C727),6)="Total:"),LEFT(TRIM('MSR RAW'!C727),SEARCH(" - ",TRIM('MSR RAW'!C727))-1),"")</f>
        <v/>
      </c>
      <c r="F727" t="str">
        <f>IF(E727="","",TRIM(MID(TRIM('MSR RAW'!C727),SEARCH(" - ",TRIM('MSR RAW'!C727))+3,LEN(TRIM('MSR RAW'!C727))-SEARCH(" - ",TRIM('MSR RAW'!C727))-9)))</f>
        <v/>
      </c>
      <c r="G727" t="str">
        <f>IF(E727="","",IFERROR(VLOOKUP(E727,'CATEGORY MAP'!$A$2:$B$20,2,FALSE()),"REVIEW"))</f>
        <v/>
      </c>
      <c r="H727" t="str">
        <f>IF(E727="","",IFERROR(VALUE(SUBSTITUTE('MSR RAW'!P727,",","")),0))</f>
        <v/>
      </c>
      <c r="I727" t="str">
        <f>IF(E727="","",IFERROR(VALUE(SUBSTITUTE('MSR RAW'!S727,",","")),0))</f>
        <v/>
      </c>
    </row>
    <row r="728" spans="1:9" ht="68.650000000000006" customHeight="1" x14ac:dyDescent="0.2">
      <c r="A728">
        <v>728</v>
      </c>
      <c r="B72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28" t="str">
        <f>IF(LEFT(TRIM('MSR RAW'!A728),11)="Department:",TRIM('MSR RAW'!A728),C727)</f>
        <v>Department: 36637 - SPECIALTY CONCESSIONS (VENDING)</v>
      </c>
      <c r="D728" t="str">
        <f>IF(LEFT(TRIM('MSR RAW'!B728),9)="Location:",TRIM(MID('MSR RAW'!B728,10,999)),D727)</f>
        <v>FB 155 - SUB ISLAND NOODLES</v>
      </c>
      <c r="E728" t="str">
        <f>IF(AND(ISNUMBER(SEARCH(" - ",TRIM('MSR RAW'!C728))),RIGHT(TRIM('MSR RAW'!C728),6)="Total:"),LEFT(TRIM('MSR RAW'!C728),SEARCH(" - ",TRIM('MSR RAW'!C728))-1),"")</f>
        <v/>
      </c>
      <c r="F728" t="str">
        <f>IF(E728="","",TRIM(MID(TRIM('MSR RAW'!C728),SEARCH(" - ",TRIM('MSR RAW'!C728))+3,LEN(TRIM('MSR RAW'!C728))-SEARCH(" - ",TRIM('MSR RAW'!C728))-9)))</f>
        <v/>
      </c>
      <c r="G728" t="str">
        <f>IF(E728="","",IFERROR(VLOOKUP(E728,'CATEGORY MAP'!$A$2:$B$20,2,FALSE()),"REVIEW"))</f>
        <v/>
      </c>
      <c r="H728" t="str">
        <f>IF(E728="","",IFERROR(VALUE(SUBSTITUTE('MSR RAW'!P728,",","")),0))</f>
        <v/>
      </c>
      <c r="I728" t="str">
        <f>IF(E728="","",IFERROR(VALUE(SUBSTITUTE('MSR RAW'!S728,",","")),0))</f>
        <v/>
      </c>
    </row>
    <row r="729" spans="1:9" ht="68.650000000000006" customHeight="1" x14ac:dyDescent="0.2">
      <c r="A729">
        <v>729</v>
      </c>
      <c r="B72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29" t="str">
        <f>IF(LEFT(TRIM('MSR RAW'!A729),11)="Department:",TRIM('MSR RAW'!A729),C728)</f>
        <v>Department: 36637 - SPECIALTY CONCESSIONS (VENDING)</v>
      </c>
      <c r="D729" t="str">
        <f>IF(LEFT(TRIM('MSR RAW'!B729),9)="Location:",TRIM(MID('MSR RAW'!B729,10,999)),D728)</f>
        <v>FB 155 - SUB ISLAND NOODLES</v>
      </c>
      <c r="E729" t="str">
        <f>IF(AND(ISNUMBER(SEARCH(" - ",TRIM('MSR RAW'!C729))),RIGHT(TRIM('MSR RAW'!C729),6)="Total:"),LEFT(TRIM('MSR RAW'!C729),SEARCH(" - ",TRIM('MSR RAW'!C729))-1),"")</f>
        <v/>
      </c>
      <c r="F729" t="str">
        <f>IF(E729="","",TRIM(MID(TRIM('MSR RAW'!C729),SEARCH(" - ",TRIM('MSR RAW'!C729))+3,LEN(TRIM('MSR RAW'!C729))-SEARCH(" - ",TRIM('MSR RAW'!C729))-9)))</f>
        <v/>
      </c>
      <c r="G729" t="str">
        <f>IF(E729="","",IFERROR(VLOOKUP(E729,'CATEGORY MAP'!$A$2:$B$20,2,FALSE()),"REVIEW"))</f>
        <v/>
      </c>
      <c r="H729" t="str">
        <f>IF(E729="","",IFERROR(VALUE(SUBSTITUTE('MSR RAW'!P729,",","")),0))</f>
        <v/>
      </c>
      <c r="I729" t="str">
        <f>IF(E729="","",IFERROR(VALUE(SUBSTITUTE('MSR RAW'!S729,",","")),0))</f>
        <v/>
      </c>
    </row>
    <row r="730" spans="1:9" ht="68.650000000000006" customHeight="1" x14ac:dyDescent="0.2">
      <c r="A730">
        <v>730</v>
      </c>
      <c r="B73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30" t="str">
        <f>IF(LEFT(TRIM('MSR RAW'!A730),11)="Department:",TRIM('MSR RAW'!A730),C729)</f>
        <v>Department: 36637 - SPECIALTY CONCESSIONS (VENDING)</v>
      </c>
      <c r="D730" t="str">
        <f>IF(LEFT(TRIM('MSR RAW'!B730),9)="Location:",TRIM(MID('MSR RAW'!B730,10,999)),D729)</f>
        <v>FB 155 - SUB ISLAND NOODLES</v>
      </c>
      <c r="E730" t="str">
        <f>IF(AND(ISNUMBER(SEARCH(" - ",TRIM('MSR RAW'!C730))),RIGHT(TRIM('MSR RAW'!C730),6)="Total:"),LEFT(TRIM('MSR RAW'!C730),SEARCH(" - ",TRIM('MSR RAW'!C730))-1),"")</f>
        <v/>
      </c>
      <c r="F730" t="str">
        <f>IF(E730="","",TRIM(MID(TRIM('MSR RAW'!C730),SEARCH(" - ",TRIM('MSR RAW'!C730))+3,LEN(TRIM('MSR RAW'!C730))-SEARCH(" - ",TRIM('MSR RAW'!C730))-9)))</f>
        <v/>
      </c>
      <c r="G730" t="str">
        <f>IF(E730="","",IFERROR(VLOOKUP(E730,'CATEGORY MAP'!$A$2:$B$20,2,FALSE()),"REVIEW"))</f>
        <v/>
      </c>
      <c r="H730" t="str">
        <f>IF(E730="","",IFERROR(VALUE(SUBSTITUTE('MSR RAW'!P730,",","")),0))</f>
        <v/>
      </c>
      <c r="I730" t="str">
        <f>IF(E730="","",IFERROR(VALUE(SUBSTITUTE('MSR RAW'!S730,",","")),0))</f>
        <v/>
      </c>
    </row>
    <row r="731" spans="1:9" ht="68.650000000000006" customHeight="1" x14ac:dyDescent="0.2">
      <c r="A731">
        <v>731</v>
      </c>
      <c r="B73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31" t="str">
        <f>IF(LEFT(TRIM('MSR RAW'!A731),11)="Department:",TRIM('MSR RAW'!A731),C730)</f>
        <v>Department: 36637 - SPECIALTY CONCESSIONS (VENDING)</v>
      </c>
      <c r="D731" t="str">
        <f>IF(LEFT(TRIM('MSR RAW'!B731),9)="Location:",TRIM(MID('MSR RAW'!B731,10,999)),D730)</f>
        <v>FB 155 - SUB ISLAND NOODLES</v>
      </c>
      <c r="E731" t="str">
        <f>IF(AND(ISNUMBER(SEARCH(" - ",TRIM('MSR RAW'!C731))),RIGHT(TRIM('MSR RAW'!C731),6)="Total:"),LEFT(TRIM('MSR RAW'!C731),SEARCH(" - ",TRIM('MSR RAW'!C731))-1),"")</f>
        <v/>
      </c>
      <c r="F731" t="str">
        <f>IF(E731="","",TRIM(MID(TRIM('MSR RAW'!C731),SEARCH(" - ",TRIM('MSR RAW'!C731))+3,LEN(TRIM('MSR RAW'!C731))-SEARCH(" - ",TRIM('MSR RAW'!C731))-9)))</f>
        <v/>
      </c>
      <c r="G731" t="str">
        <f>IF(E731="","",IFERROR(VLOOKUP(E731,'CATEGORY MAP'!$A$2:$B$20,2,FALSE()),"REVIEW"))</f>
        <v/>
      </c>
      <c r="H731" t="str">
        <f>IF(E731="","",IFERROR(VALUE(SUBSTITUTE('MSR RAW'!P731,",","")),0))</f>
        <v/>
      </c>
      <c r="I731" t="str">
        <f>IF(E731="","",IFERROR(VALUE(SUBSTITUTE('MSR RAW'!S731,",","")),0))</f>
        <v/>
      </c>
    </row>
    <row r="732" spans="1:9" ht="68.650000000000006" customHeight="1" x14ac:dyDescent="0.2">
      <c r="A732">
        <v>732</v>
      </c>
      <c r="B73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32" t="str">
        <f>IF(LEFT(TRIM('MSR RAW'!A732),11)="Department:",TRIM('MSR RAW'!A732),C731)</f>
        <v>Department: 36637 - SPECIALTY CONCESSIONS (VENDING)</v>
      </c>
      <c r="D732" t="str">
        <f>IF(LEFT(TRIM('MSR RAW'!B732),9)="Location:",TRIM(MID('MSR RAW'!B732,10,999)),D731)</f>
        <v>FB 155 - SUB ISLAND NOODLES</v>
      </c>
      <c r="E732" t="str">
        <f>IF(AND(ISNUMBER(SEARCH(" - ",TRIM('MSR RAW'!C732))),RIGHT(TRIM('MSR RAW'!C732),6)="Total:"),LEFT(TRIM('MSR RAW'!C732),SEARCH(" - ",TRIM('MSR RAW'!C732))-1),"")</f>
        <v/>
      </c>
      <c r="F732" t="str">
        <f>IF(E732="","",TRIM(MID(TRIM('MSR RAW'!C732),SEARCH(" - ",TRIM('MSR RAW'!C732))+3,LEN(TRIM('MSR RAW'!C732))-SEARCH(" - ",TRIM('MSR RAW'!C732))-9)))</f>
        <v/>
      </c>
      <c r="G732" t="str">
        <f>IF(E732="","",IFERROR(VLOOKUP(E732,'CATEGORY MAP'!$A$2:$B$20,2,FALSE()),"REVIEW"))</f>
        <v/>
      </c>
      <c r="H732" t="str">
        <f>IF(E732="","",IFERROR(VALUE(SUBSTITUTE('MSR RAW'!P732,",","")),0))</f>
        <v/>
      </c>
      <c r="I732" t="str">
        <f>IF(E732="","",IFERROR(VALUE(SUBSTITUTE('MSR RAW'!S732,",","")),0))</f>
        <v/>
      </c>
    </row>
    <row r="733" spans="1:9" ht="68.650000000000006" customHeight="1" x14ac:dyDescent="0.2">
      <c r="A733">
        <v>733</v>
      </c>
      <c r="B73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33" t="str">
        <f>IF(LEFT(TRIM('MSR RAW'!A733),11)="Department:",TRIM('MSR RAW'!A733),C732)</f>
        <v>Department: 36637 - SPECIALTY CONCESSIONS (VENDING)</v>
      </c>
      <c r="D733" t="str">
        <f>IF(LEFT(TRIM('MSR RAW'!B733),9)="Location:",TRIM(MID('MSR RAW'!B733,10,999)),D732)</f>
        <v>FB 155 - SUB ISLAND NOODLES</v>
      </c>
      <c r="E733" t="str">
        <f>IF(AND(ISNUMBER(SEARCH(" - ",TRIM('MSR RAW'!C733))),RIGHT(TRIM('MSR RAW'!C733),6)="Total:"),LEFT(TRIM('MSR RAW'!C733),SEARCH(" - ",TRIM('MSR RAW'!C733))-1),"")</f>
        <v/>
      </c>
      <c r="F733" t="str">
        <f>IF(E733="","",TRIM(MID(TRIM('MSR RAW'!C733),SEARCH(" - ",TRIM('MSR RAW'!C733))+3,LEN(TRIM('MSR RAW'!C733))-SEARCH(" - ",TRIM('MSR RAW'!C733))-9)))</f>
        <v/>
      </c>
      <c r="G733" t="str">
        <f>IF(E733="","",IFERROR(VLOOKUP(E733,'CATEGORY MAP'!$A$2:$B$20,2,FALSE()),"REVIEW"))</f>
        <v/>
      </c>
      <c r="H733" t="str">
        <f>IF(E733="","",IFERROR(VALUE(SUBSTITUTE('MSR RAW'!P733,",","")),0))</f>
        <v/>
      </c>
      <c r="I733" t="str">
        <f>IF(E733="","",IFERROR(VALUE(SUBSTITUTE('MSR RAW'!S733,",","")),0))</f>
        <v/>
      </c>
    </row>
    <row r="734" spans="1:9" ht="68.650000000000006" customHeight="1" x14ac:dyDescent="0.2">
      <c r="A734">
        <v>734</v>
      </c>
      <c r="B73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34" t="str">
        <f>IF(LEFT(TRIM('MSR RAW'!A734),11)="Department:",TRIM('MSR RAW'!A734),C733)</f>
        <v>Department: 36637 - SPECIALTY CONCESSIONS (VENDING)</v>
      </c>
      <c r="D734" t="str">
        <f>IF(LEFT(TRIM('MSR RAW'!B734),9)="Location:",TRIM(MID('MSR RAW'!B734,10,999)),D733)</f>
        <v>FB 155 - SUB ISLAND NOODLES</v>
      </c>
      <c r="E734" t="str">
        <f>IF(AND(ISNUMBER(SEARCH(" - ",TRIM('MSR RAW'!C734))),RIGHT(TRIM('MSR RAW'!C734),6)="Total:"),LEFT(TRIM('MSR RAW'!C734),SEARCH(" - ",TRIM('MSR RAW'!C734))-1),"")</f>
        <v/>
      </c>
      <c r="F734" t="str">
        <f>IF(E734="","",TRIM(MID(TRIM('MSR RAW'!C734),SEARCH(" - ",TRIM('MSR RAW'!C734))+3,LEN(TRIM('MSR RAW'!C734))-SEARCH(" - ",TRIM('MSR RAW'!C734))-9)))</f>
        <v/>
      </c>
      <c r="G734" t="str">
        <f>IF(E734="","",IFERROR(VLOOKUP(E734,'CATEGORY MAP'!$A$2:$B$20,2,FALSE()),"REVIEW"))</f>
        <v/>
      </c>
      <c r="H734" t="str">
        <f>IF(E734="","",IFERROR(VALUE(SUBSTITUTE('MSR RAW'!P734,",","")),0))</f>
        <v/>
      </c>
      <c r="I734" t="str">
        <f>IF(E734="","",IFERROR(VALUE(SUBSTITUTE('MSR RAW'!S734,",","")),0))</f>
        <v/>
      </c>
    </row>
    <row r="735" spans="1:9" ht="68.650000000000006" customHeight="1" x14ac:dyDescent="0.2">
      <c r="A735">
        <v>735</v>
      </c>
      <c r="B73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35" t="str">
        <f>IF(LEFT(TRIM('MSR RAW'!A735),11)="Department:",TRIM('MSR RAW'!A735),C734)</f>
        <v>Department: 36637 - SPECIALTY CONCESSIONS (VENDING)</v>
      </c>
      <c r="D735" t="str">
        <f>IF(LEFT(TRIM('MSR RAW'!B735),9)="Location:",TRIM(MID('MSR RAW'!B735,10,999)),D734)</f>
        <v>FB 155 - SUB ISLAND NOODLES</v>
      </c>
      <c r="E735" t="str">
        <f>IF(AND(ISNUMBER(SEARCH(" - ",TRIM('MSR RAW'!C735))),RIGHT(TRIM('MSR RAW'!C735),6)="Total:"),LEFT(TRIM('MSR RAW'!C735),SEARCH(" - ",TRIM('MSR RAW'!C735))-1),"")</f>
        <v/>
      </c>
      <c r="F735" t="str">
        <f>IF(E735="","",TRIM(MID(TRIM('MSR RAW'!C735),SEARCH(" - ",TRIM('MSR RAW'!C735))+3,LEN(TRIM('MSR RAW'!C735))-SEARCH(" - ",TRIM('MSR RAW'!C735))-9)))</f>
        <v/>
      </c>
      <c r="G735" t="str">
        <f>IF(E735="","",IFERROR(VLOOKUP(E735,'CATEGORY MAP'!$A$2:$B$20,2,FALSE()),"REVIEW"))</f>
        <v/>
      </c>
      <c r="H735" t="str">
        <f>IF(E735="","",IFERROR(VALUE(SUBSTITUTE('MSR RAW'!P735,",","")),0))</f>
        <v/>
      </c>
      <c r="I735" t="str">
        <f>IF(E735="","",IFERROR(VALUE(SUBSTITUTE('MSR RAW'!S735,",","")),0))</f>
        <v/>
      </c>
    </row>
    <row r="736" spans="1:9" ht="68.650000000000006" customHeight="1" x14ac:dyDescent="0.2">
      <c r="A736">
        <v>736</v>
      </c>
      <c r="B73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36" t="str">
        <f>IF(LEFT(TRIM('MSR RAW'!A736),11)="Department:",TRIM('MSR RAW'!A736),C735)</f>
        <v>Department: 36637 - SPECIALTY CONCESSIONS (VENDING)</v>
      </c>
      <c r="D736" t="str">
        <f>IF(LEFT(TRIM('MSR RAW'!B736),9)="Location:",TRIM(MID('MSR RAW'!B736,10,999)),D735)</f>
        <v>FB 155 - SUB ISLAND NOODLES</v>
      </c>
      <c r="E736" t="str">
        <f>IF(AND(ISNUMBER(SEARCH(" - ",TRIM('MSR RAW'!C736))),RIGHT(TRIM('MSR RAW'!C736),6)="Total:"),LEFT(TRIM('MSR RAW'!C736),SEARCH(" - ",TRIM('MSR RAW'!C736))-1),"")</f>
        <v/>
      </c>
      <c r="F736" t="str">
        <f>IF(E736="","",TRIM(MID(TRIM('MSR RAW'!C736),SEARCH(" - ",TRIM('MSR RAW'!C736))+3,LEN(TRIM('MSR RAW'!C736))-SEARCH(" - ",TRIM('MSR RAW'!C736))-9)))</f>
        <v/>
      </c>
      <c r="G736" t="str">
        <f>IF(E736="","",IFERROR(VLOOKUP(E736,'CATEGORY MAP'!$A$2:$B$20,2,FALSE()),"REVIEW"))</f>
        <v/>
      </c>
      <c r="H736" t="str">
        <f>IF(E736="","",IFERROR(VALUE(SUBSTITUTE('MSR RAW'!P736,",","")),0))</f>
        <v/>
      </c>
      <c r="I736" t="str">
        <f>IF(E736="","",IFERROR(VALUE(SUBSTITUTE('MSR RAW'!S736,",","")),0))</f>
        <v/>
      </c>
    </row>
    <row r="737" spans="1:9" ht="68.650000000000006" customHeight="1" x14ac:dyDescent="0.2">
      <c r="A737">
        <v>737</v>
      </c>
      <c r="B73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37" t="str">
        <f>IF(LEFT(TRIM('MSR RAW'!A737),11)="Department:",TRIM('MSR RAW'!A737),C736)</f>
        <v>Department: 36637 - SPECIALTY CONCESSIONS (VENDING)</v>
      </c>
      <c r="D737" t="str">
        <f>IF(LEFT(TRIM('MSR RAW'!B737),9)="Location:",TRIM(MID('MSR RAW'!B737,10,999)),D736)</f>
        <v>FB 155 - SUB ISLAND NOODLES</v>
      </c>
      <c r="E737" t="str">
        <f>IF(AND(ISNUMBER(SEARCH(" - ",TRIM('MSR RAW'!C737))),RIGHT(TRIM('MSR RAW'!C737),6)="Total:"),LEFT(TRIM('MSR RAW'!C737),SEARCH(" - ",TRIM('MSR RAW'!C737))-1),"")</f>
        <v/>
      </c>
      <c r="F737" t="str">
        <f>IF(E737="","",TRIM(MID(TRIM('MSR RAW'!C737),SEARCH(" - ",TRIM('MSR RAW'!C737))+3,LEN(TRIM('MSR RAW'!C737))-SEARCH(" - ",TRIM('MSR RAW'!C737))-9)))</f>
        <v/>
      </c>
      <c r="G737" t="str">
        <f>IF(E737="","",IFERROR(VLOOKUP(E737,'CATEGORY MAP'!$A$2:$B$20,2,FALSE()),"REVIEW"))</f>
        <v/>
      </c>
      <c r="H737" t="str">
        <f>IF(E737="","",IFERROR(VALUE(SUBSTITUTE('MSR RAW'!P737,",","")),0))</f>
        <v/>
      </c>
      <c r="I737" t="str">
        <f>IF(E737="","",IFERROR(VALUE(SUBSTITUTE('MSR RAW'!S737,",","")),0))</f>
        <v/>
      </c>
    </row>
    <row r="738" spans="1:9" ht="68.650000000000006" customHeight="1" x14ac:dyDescent="0.2">
      <c r="A738">
        <v>738</v>
      </c>
      <c r="B73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38" t="str">
        <f>IF(LEFT(TRIM('MSR RAW'!A738),11)="Department:",TRIM('MSR RAW'!A738),C737)</f>
        <v>Department: 36637 - SPECIALTY CONCESSIONS (VENDING)</v>
      </c>
      <c r="D738" t="str">
        <f>IF(LEFT(TRIM('MSR RAW'!B738),9)="Location:",TRIM(MID('MSR RAW'!B738,10,999)),D737)</f>
        <v>FB 155 - SUB ISLAND NOODLES</v>
      </c>
      <c r="E738" t="str">
        <f>IF(AND(ISNUMBER(SEARCH(" - ",TRIM('MSR RAW'!C738))),RIGHT(TRIM('MSR RAW'!C738),6)="Total:"),LEFT(TRIM('MSR RAW'!C738),SEARCH(" - ",TRIM('MSR RAW'!C738))-1),"")</f>
        <v/>
      </c>
      <c r="F738" t="str">
        <f>IF(E738="","",TRIM(MID(TRIM('MSR RAW'!C738),SEARCH(" - ",TRIM('MSR RAW'!C738))+3,LEN(TRIM('MSR RAW'!C738))-SEARCH(" - ",TRIM('MSR RAW'!C738))-9)))</f>
        <v/>
      </c>
      <c r="G738" t="str">
        <f>IF(E738="","",IFERROR(VLOOKUP(E738,'CATEGORY MAP'!$A$2:$B$20,2,FALSE()),"REVIEW"))</f>
        <v/>
      </c>
      <c r="H738" t="str">
        <f>IF(E738="","",IFERROR(VALUE(SUBSTITUTE('MSR RAW'!P738,",","")),0))</f>
        <v/>
      </c>
      <c r="I738" t="str">
        <f>IF(E738="","",IFERROR(VALUE(SUBSTITUTE('MSR RAW'!S738,",","")),0))</f>
        <v/>
      </c>
    </row>
    <row r="739" spans="1:9" ht="68.650000000000006" customHeight="1" x14ac:dyDescent="0.2">
      <c r="A739">
        <v>739</v>
      </c>
      <c r="B73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39" t="str">
        <f>IF(LEFT(TRIM('MSR RAW'!A739),11)="Department:",TRIM('MSR RAW'!A739),C738)</f>
        <v>Department: 36637 - SPECIALTY CONCESSIONS (VENDING)</v>
      </c>
      <c r="D739" t="str">
        <f>IF(LEFT(TRIM('MSR RAW'!B739),9)="Location:",TRIM(MID('MSR RAW'!B739,10,999)),D738)</f>
        <v>FB 155 - SUB ISLAND NOODLES</v>
      </c>
      <c r="E739" t="str">
        <f>IF(AND(ISNUMBER(SEARCH(" - ",TRIM('MSR RAW'!C739))),RIGHT(TRIM('MSR RAW'!C739),6)="Total:"),LEFT(TRIM('MSR RAW'!C739),SEARCH(" - ",TRIM('MSR RAW'!C739))-1),"")</f>
        <v/>
      </c>
      <c r="F739" t="str">
        <f>IF(E739="","",TRIM(MID(TRIM('MSR RAW'!C739),SEARCH(" - ",TRIM('MSR RAW'!C739))+3,LEN(TRIM('MSR RAW'!C739))-SEARCH(" - ",TRIM('MSR RAW'!C739))-9)))</f>
        <v/>
      </c>
      <c r="G739" t="str">
        <f>IF(E739="","",IFERROR(VLOOKUP(E739,'CATEGORY MAP'!$A$2:$B$20,2,FALSE()),"REVIEW"))</f>
        <v/>
      </c>
      <c r="H739" t="str">
        <f>IF(E739="","",IFERROR(VALUE(SUBSTITUTE('MSR RAW'!P739,",","")),0))</f>
        <v/>
      </c>
      <c r="I739" t="str">
        <f>IF(E739="","",IFERROR(VALUE(SUBSTITUTE('MSR RAW'!S739,",","")),0))</f>
        <v/>
      </c>
    </row>
    <row r="740" spans="1:9" ht="68.650000000000006" customHeight="1" x14ac:dyDescent="0.2">
      <c r="A740">
        <v>740</v>
      </c>
      <c r="B74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40" t="str">
        <f>IF(LEFT(TRIM('MSR RAW'!A740),11)="Department:",TRIM('MSR RAW'!A740),C739)</f>
        <v>Department: 36637 - SPECIALTY CONCESSIONS (VENDING)</v>
      </c>
      <c r="D740" t="str">
        <f>IF(LEFT(TRIM('MSR RAW'!B740),9)="Location:",TRIM(MID('MSR RAW'!B740,10,999)),D739)</f>
        <v>FB 155 - SUB ISLAND NOODLES</v>
      </c>
      <c r="E740" t="str">
        <f>IF(AND(ISNUMBER(SEARCH(" - ",TRIM('MSR RAW'!C740))),RIGHT(TRIM('MSR RAW'!C740),6)="Total:"),LEFT(TRIM('MSR RAW'!C740),SEARCH(" - ",TRIM('MSR RAW'!C740))-1),"")</f>
        <v/>
      </c>
      <c r="F740" t="str">
        <f>IF(E740="","",TRIM(MID(TRIM('MSR RAW'!C740),SEARCH(" - ",TRIM('MSR RAW'!C740))+3,LEN(TRIM('MSR RAW'!C740))-SEARCH(" - ",TRIM('MSR RAW'!C740))-9)))</f>
        <v/>
      </c>
      <c r="G740" t="str">
        <f>IF(E740="","",IFERROR(VLOOKUP(E740,'CATEGORY MAP'!$A$2:$B$20,2,FALSE()),"REVIEW"))</f>
        <v/>
      </c>
      <c r="H740" t="str">
        <f>IF(E740="","",IFERROR(VALUE(SUBSTITUTE('MSR RAW'!P740,",","")),0))</f>
        <v/>
      </c>
      <c r="I740" t="str">
        <f>IF(E740="","",IFERROR(VALUE(SUBSTITUTE('MSR RAW'!S740,",","")),0))</f>
        <v/>
      </c>
    </row>
    <row r="741" spans="1:9" ht="68.650000000000006" customHeight="1" x14ac:dyDescent="0.2">
      <c r="A741">
        <v>741</v>
      </c>
      <c r="B74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41" t="str">
        <f>IF(LEFT(TRIM('MSR RAW'!A741),11)="Department:",TRIM('MSR RAW'!A741),C740)</f>
        <v>Department: 36637 - SPECIALTY CONCESSIONS (VENDING)</v>
      </c>
      <c r="D741" t="str">
        <f>IF(LEFT(TRIM('MSR RAW'!B741),9)="Location:",TRIM(MID('MSR RAW'!B741,10,999)),D740)</f>
        <v>FB 155 - SUB ISLAND NOODLES</v>
      </c>
      <c r="E741" t="str">
        <f>IF(AND(ISNUMBER(SEARCH(" - ",TRIM('MSR RAW'!C741))),RIGHT(TRIM('MSR RAW'!C741),6)="Total:"),LEFT(TRIM('MSR RAW'!C741),SEARCH(" - ",TRIM('MSR RAW'!C741))-1),"")</f>
        <v/>
      </c>
      <c r="F741" t="str">
        <f>IF(E741="","",TRIM(MID(TRIM('MSR RAW'!C741),SEARCH(" - ",TRIM('MSR RAW'!C741))+3,LEN(TRIM('MSR RAW'!C741))-SEARCH(" - ",TRIM('MSR RAW'!C741))-9)))</f>
        <v/>
      </c>
      <c r="G741" t="str">
        <f>IF(E741="","",IFERROR(VLOOKUP(E741,'CATEGORY MAP'!$A$2:$B$20,2,FALSE()),"REVIEW"))</f>
        <v/>
      </c>
      <c r="H741" t="str">
        <f>IF(E741="","",IFERROR(VALUE(SUBSTITUTE('MSR RAW'!P741,",","")),0))</f>
        <v/>
      </c>
      <c r="I741" t="str">
        <f>IF(E741="","",IFERROR(VALUE(SUBSTITUTE('MSR RAW'!S741,",","")),0))</f>
        <v/>
      </c>
    </row>
    <row r="742" spans="1:9" ht="68.650000000000006" customHeight="1" x14ac:dyDescent="0.2">
      <c r="A742">
        <v>742</v>
      </c>
      <c r="B74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42" t="str">
        <f>IF(LEFT(TRIM('MSR RAW'!A742),11)="Department:",TRIM('MSR RAW'!A742),C741)</f>
        <v>Department: 36637 - SPECIALTY CONCESSIONS (VENDING)</v>
      </c>
      <c r="D742" t="str">
        <f>IF(LEFT(TRIM('MSR RAW'!B742),9)="Location:",TRIM(MID('MSR RAW'!B742,10,999)),D741)</f>
        <v>FB 155 - SUB ISLAND NOODLES</v>
      </c>
      <c r="E742" t="str">
        <f>IF(AND(ISNUMBER(SEARCH(" - ",TRIM('MSR RAW'!C742))),RIGHT(TRIM('MSR RAW'!C742),6)="Total:"),LEFT(TRIM('MSR RAW'!C742),SEARCH(" - ",TRIM('MSR RAW'!C742))-1),"")</f>
        <v/>
      </c>
      <c r="F742" t="str">
        <f>IF(E742="","",TRIM(MID(TRIM('MSR RAW'!C742),SEARCH(" - ",TRIM('MSR RAW'!C742))+3,LEN(TRIM('MSR RAW'!C742))-SEARCH(" - ",TRIM('MSR RAW'!C742))-9)))</f>
        <v/>
      </c>
      <c r="G742" t="str">
        <f>IF(E742="","",IFERROR(VLOOKUP(E742,'CATEGORY MAP'!$A$2:$B$20,2,FALSE()),"REVIEW"))</f>
        <v/>
      </c>
      <c r="H742" t="str">
        <f>IF(E742="","",IFERROR(VALUE(SUBSTITUTE('MSR RAW'!P742,",","")),0))</f>
        <v/>
      </c>
      <c r="I742" t="str">
        <f>IF(E742="","",IFERROR(VALUE(SUBSTITUTE('MSR RAW'!S742,",","")),0))</f>
        <v/>
      </c>
    </row>
    <row r="743" spans="1:9" ht="68.650000000000006" customHeight="1" x14ac:dyDescent="0.2">
      <c r="A743">
        <v>743</v>
      </c>
      <c r="B74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43" t="str">
        <f>IF(LEFT(TRIM('MSR RAW'!A743),11)="Department:",TRIM('MSR RAW'!A743),C742)</f>
        <v>Department: 36637 - SPECIALTY CONCESSIONS (VENDING)</v>
      </c>
      <c r="D743" t="str">
        <f>IF(LEFT(TRIM('MSR RAW'!B743),9)="Location:",TRIM(MID('MSR RAW'!B743,10,999)),D742)</f>
        <v>FB 155 - SUB ISLAND NOODLES</v>
      </c>
      <c r="E743" t="str">
        <f>IF(AND(ISNUMBER(SEARCH(" - ",TRIM('MSR RAW'!C743))),RIGHT(TRIM('MSR RAW'!C743),6)="Total:"),LEFT(TRIM('MSR RAW'!C743),SEARCH(" - ",TRIM('MSR RAW'!C743))-1),"")</f>
        <v/>
      </c>
      <c r="F743" t="str">
        <f>IF(E743="","",TRIM(MID(TRIM('MSR RAW'!C743),SEARCH(" - ",TRIM('MSR RAW'!C743))+3,LEN(TRIM('MSR RAW'!C743))-SEARCH(" - ",TRIM('MSR RAW'!C743))-9)))</f>
        <v/>
      </c>
      <c r="G743" t="str">
        <f>IF(E743="","",IFERROR(VLOOKUP(E743,'CATEGORY MAP'!$A$2:$B$20,2,FALSE()),"REVIEW"))</f>
        <v/>
      </c>
      <c r="H743" t="str">
        <f>IF(E743="","",IFERROR(VALUE(SUBSTITUTE('MSR RAW'!P743,",","")),0))</f>
        <v/>
      </c>
      <c r="I743" t="str">
        <f>IF(E743="","",IFERROR(VALUE(SUBSTITUTE('MSR RAW'!S743,",","")),0))</f>
        <v/>
      </c>
    </row>
    <row r="744" spans="1:9" ht="68.650000000000006" customHeight="1" x14ac:dyDescent="0.2">
      <c r="A744">
        <v>744</v>
      </c>
      <c r="B74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44" t="str">
        <f>IF(LEFT(TRIM('MSR RAW'!A744),11)="Department:",TRIM('MSR RAW'!A744),C743)</f>
        <v>Department: 36637 - SPECIALTY CONCESSIONS (VENDING)</v>
      </c>
      <c r="D744" t="str">
        <f>IF(LEFT(TRIM('MSR RAW'!B744),9)="Location:",TRIM(MID('MSR RAW'!B744,10,999)),D743)</f>
        <v>FB 155 - SUB ISLAND NOODLES</v>
      </c>
      <c r="E744" t="str">
        <f>IF(AND(ISNUMBER(SEARCH(" - ",TRIM('MSR RAW'!C744))),RIGHT(TRIM('MSR RAW'!C744),6)="Total:"),LEFT(TRIM('MSR RAW'!C744),SEARCH(" - ",TRIM('MSR RAW'!C744))-1),"")</f>
        <v/>
      </c>
      <c r="F744" t="str">
        <f>IF(E744="","",TRIM(MID(TRIM('MSR RAW'!C744),SEARCH(" - ",TRIM('MSR RAW'!C744))+3,LEN(TRIM('MSR RAW'!C744))-SEARCH(" - ",TRIM('MSR RAW'!C744))-9)))</f>
        <v/>
      </c>
      <c r="G744" t="str">
        <f>IF(E744="","",IFERROR(VLOOKUP(E744,'CATEGORY MAP'!$A$2:$B$20,2,FALSE()),"REVIEW"))</f>
        <v/>
      </c>
      <c r="H744" t="str">
        <f>IF(E744="","",IFERROR(VALUE(SUBSTITUTE('MSR RAW'!P744,",","")),0))</f>
        <v/>
      </c>
      <c r="I744" t="str">
        <f>IF(E744="","",IFERROR(VALUE(SUBSTITUTE('MSR RAW'!S744,",","")),0))</f>
        <v/>
      </c>
    </row>
    <row r="745" spans="1:9" ht="68.650000000000006" customHeight="1" x14ac:dyDescent="0.2">
      <c r="A745">
        <v>745</v>
      </c>
      <c r="B74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45" t="str">
        <f>IF(LEFT(TRIM('MSR RAW'!A745),11)="Department:",TRIM('MSR RAW'!A745),C744)</f>
        <v>Department: 36637 - SPECIALTY CONCESSIONS (VENDING)</v>
      </c>
      <c r="D745" t="str">
        <f>IF(LEFT(TRIM('MSR RAW'!B745),9)="Location:",TRIM(MID('MSR RAW'!B745,10,999)),D744)</f>
        <v>FB 155 - SUB ISLAND NOODLES</v>
      </c>
      <c r="E745" t="str">
        <f>IF(AND(ISNUMBER(SEARCH(" - ",TRIM('MSR RAW'!C745))),RIGHT(TRIM('MSR RAW'!C745),6)="Total:"),LEFT(TRIM('MSR RAW'!C745),SEARCH(" - ",TRIM('MSR RAW'!C745))-1),"")</f>
        <v/>
      </c>
      <c r="F745" t="str">
        <f>IF(E745="","",TRIM(MID(TRIM('MSR RAW'!C745),SEARCH(" - ",TRIM('MSR RAW'!C745))+3,LEN(TRIM('MSR RAW'!C745))-SEARCH(" - ",TRIM('MSR RAW'!C745))-9)))</f>
        <v/>
      </c>
      <c r="G745" t="str">
        <f>IF(E745="","",IFERROR(VLOOKUP(E745,'CATEGORY MAP'!$A$2:$B$20,2,FALSE()),"REVIEW"))</f>
        <v/>
      </c>
      <c r="H745" t="str">
        <f>IF(E745="","",IFERROR(VALUE(SUBSTITUTE('MSR RAW'!P745,",","")),0))</f>
        <v/>
      </c>
      <c r="I745" t="str">
        <f>IF(E745="","",IFERROR(VALUE(SUBSTITUTE('MSR RAW'!S745,",","")),0))</f>
        <v/>
      </c>
    </row>
    <row r="746" spans="1:9" ht="68.650000000000006" customHeight="1" x14ac:dyDescent="0.2">
      <c r="A746">
        <v>746</v>
      </c>
      <c r="B74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46" t="str">
        <f>IF(LEFT(TRIM('MSR RAW'!A746),11)="Department:",TRIM('MSR RAW'!A746),C745)</f>
        <v>Department: 36637 - SPECIALTY CONCESSIONS (VENDING)</v>
      </c>
      <c r="D746" t="str">
        <f>IF(LEFT(TRIM('MSR RAW'!B746),9)="Location:",TRIM(MID('MSR RAW'!B746,10,999)),D745)</f>
        <v>FB 155 - SUB ISLAND NOODLES</v>
      </c>
      <c r="E746" t="str">
        <f>IF(AND(ISNUMBER(SEARCH(" - ",TRIM('MSR RAW'!C746))),RIGHT(TRIM('MSR RAW'!C746),6)="Total:"),LEFT(TRIM('MSR RAW'!C746),SEARCH(" - ",TRIM('MSR RAW'!C746))-1),"")</f>
        <v/>
      </c>
      <c r="F746" t="str">
        <f>IF(E746="","",TRIM(MID(TRIM('MSR RAW'!C746),SEARCH(" - ",TRIM('MSR RAW'!C746))+3,LEN(TRIM('MSR RAW'!C746))-SEARCH(" - ",TRIM('MSR RAW'!C746))-9)))</f>
        <v/>
      </c>
      <c r="G746" t="str">
        <f>IF(E746="","",IFERROR(VLOOKUP(E746,'CATEGORY MAP'!$A$2:$B$20,2,FALSE()),"REVIEW"))</f>
        <v/>
      </c>
      <c r="H746" t="str">
        <f>IF(E746="","",IFERROR(VALUE(SUBSTITUTE('MSR RAW'!P746,",","")),0))</f>
        <v/>
      </c>
      <c r="I746" t="str">
        <f>IF(E746="","",IFERROR(VALUE(SUBSTITUTE('MSR RAW'!S746,",","")),0))</f>
        <v/>
      </c>
    </row>
    <row r="747" spans="1:9" ht="68.650000000000006" customHeight="1" x14ac:dyDescent="0.2">
      <c r="A747">
        <v>747</v>
      </c>
      <c r="B74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47" t="str">
        <f>IF(LEFT(TRIM('MSR RAW'!A747),11)="Department:",TRIM('MSR RAW'!A747),C746)</f>
        <v>Department: 36637 - SPECIALTY CONCESSIONS (VENDING)</v>
      </c>
      <c r="D747" t="str">
        <f>IF(LEFT(TRIM('MSR RAW'!B747),9)="Location:",TRIM(MID('MSR RAW'!B747,10,999)),D746)</f>
        <v>FB 155 - SUB ISLAND NOODLES</v>
      </c>
      <c r="E747" t="str">
        <f>IF(AND(ISNUMBER(SEARCH(" - ",TRIM('MSR RAW'!C747))),RIGHT(TRIM('MSR RAW'!C747),6)="Total:"),LEFT(TRIM('MSR RAW'!C747),SEARCH(" - ",TRIM('MSR RAW'!C747))-1),"")</f>
        <v/>
      </c>
      <c r="F747" t="str">
        <f>IF(E747="","",TRIM(MID(TRIM('MSR RAW'!C747),SEARCH(" - ",TRIM('MSR RAW'!C747))+3,LEN(TRIM('MSR RAW'!C747))-SEARCH(" - ",TRIM('MSR RAW'!C747))-9)))</f>
        <v/>
      </c>
      <c r="G747" t="str">
        <f>IF(E747="","",IFERROR(VLOOKUP(E747,'CATEGORY MAP'!$A$2:$B$20,2,FALSE()),"REVIEW"))</f>
        <v/>
      </c>
      <c r="H747" t="str">
        <f>IF(E747="","",IFERROR(VALUE(SUBSTITUTE('MSR RAW'!P747,",","")),0))</f>
        <v/>
      </c>
      <c r="I747" t="str">
        <f>IF(E747="","",IFERROR(VALUE(SUBSTITUTE('MSR RAW'!S747,",","")),0))</f>
        <v/>
      </c>
    </row>
    <row r="748" spans="1:9" ht="68.650000000000006" customHeight="1" x14ac:dyDescent="0.2">
      <c r="A748">
        <v>748</v>
      </c>
      <c r="B74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48" t="str">
        <f>IF(LEFT(TRIM('MSR RAW'!A748),11)="Department:",TRIM('MSR RAW'!A748),C747)</f>
        <v>Department: 36637 - SPECIALTY CONCESSIONS (VENDING)</v>
      </c>
      <c r="D748" t="str">
        <f>IF(LEFT(TRIM('MSR RAW'!B748),9)="Location:",TRIM(MID('MSR RAW'!B748,10,999)),D747)</f>
        <v>FB 155 - SUB ISLAND NOODLES</v>
      </c>
      <c r="E748" t="str">
        <f>IF(AND(ISNUMBER(SEARCH(" - ",TRIM('MSR RAW'!C748))),RIGHT(TRIM('MSR RAW'!C748),6)="Total:"),LEFT(TRIM('MSR RAW'!C748),SEARCH(" - ",TRIM('MSR RAW'!C748))-1),"")</f>
        <v/>
      </c>
      <c r="F748" t="str">
        <f>IF(E748="","",TRIM(MID(TRIM('MSR RAW'!C748),SEARCH(" - ",TRIM('MSR RAW'!C748))+3,LEN(TRIM('MSR RAW'!C748))-SEARCH(" - ",TRIM('MSR RAW'!C748))-9)))</f>
        <v/>
      </c>
      <c r="G748" t="str">
        <f>IF(E748="","",IFERROR(VLOOKUP(E748,'CATEGORY MAP'!$A$2:$B$20,2,FALSE()),"REVIEW"))</f>
        <v/>
      </c>
      <c r="H748" t="str">
        <f>IF(E748="","",IFERROR(VALUE(SUBSTITUTE('MSR RAW'!P748,",","")),0))</f>
        <v/>
      </c>
      <c r="I748" t="str">
        <f>IF(E748="","",IFERROR(VALUE(SUBSTITUTE('MSR RAW'!S748,",","")),0))</f>
        <v/>
      </c>
    </row>
    <row r="749" spans="1:9" ht="68.650000000000006" customHeight="1" x14ac:dyDescent="0.2">
      <c r="A749">
        <v>749</v>
      </c>
      <c r="B74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49" t="str">
        <f>IF(LEFT(TRIM('MSR RAW'!A749),11)="Department:",TRIM('MSR RAW'!A749),C748)</f>
        <v>Department: 36637 - SPECIALTY CONCESSIONS (VENDING)</v>
      </c>
      <c r="D749" t="str">
        <f>IF(LEFT(TRIM('MSR RAW'!B749),9)="Location:",TRIM(MID('MSR RAW'!B749,10,999)),D748)</f>
        <v>FB 155 - SUB ISLAND NOODLES</v>
      </c>
      <c r="E749" t="str">
        <f>IF(AND(ISNUMBER(SEARCH(" - ",TRIM('MSR RAW'!C749))),RIGHT(TRIM('MSR RAW'!C749),6)="Total:"),LEFT(TRIM('MSR RAW'!C749),SEARCH(" - ",TRIM('MSR RAW'!C749))-1),"")</f>
        <v/>
      </c>
      <c r="F749" t="str">
        <f>IF(E749="","",TRIM(MID(TRIM('MSR RAW'!C749),SEARCH(" - ",TRIM('MSR RAW'!C749))+3,LEN(TRIM('MSR RAW'!C749))-SEARCH(" - ",TRIM('MSR RAW'!C749))-9)))</f>
        <v/>
      </c>
      <c r="G749" t="str">
        <f>IF(E749="","",IFERROR(VLOOKUP(E749,'CATEGORY MAP'!$A$2:$B$20,2,FALSE()),"REVIEW"))</f>
        <v/>
      </c>
      <c r="H749" t="str">
        <f>IF(E749="","",IFERROR(VALUE(SUBSTITUTE('MSR RAW'!P749,",","")),0))</f>
        <v/>
      </c>
      <c r="I749" t="str">
        <f>IF(E749="","",IFERROR(VALUE(SUBSTITUTE('MSR RAW'!S749,",","")),0))</f>
        <v/>
      </c>
    </row>
    <row r="750" spans="1:9" ht="68.650000000000006" customHeight="1" x14ac:dyDescent="0.2">
      <c r="A750">
        <v>750</v>
      </c>
      <c r="B75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50" t="str">
        <f>IF(LEFT(TRIM('MSR RAW'!A750),11)="Department:",TRIM('MSR RAW'!A750),C749)</f>
        <v>Department: 36637 - SPECIALTY CONCESSIONS (VENDING)</v>
      </c>
      <c r="D750" t="str">
        <f>IF(LEFT(TRIM('MSR RAW'!B750),9)="Location:",TRIM(MID('MSR RAW'!B750,10,999)),D749)</f>
        <v>FB 155 - SUB ISLAND NOODLES</v>
      </c>
      <c r="E750" t="str">
        <f>IF(AND(ISNUMBER(SEARCH(" - ",TRIM('MSR RAW'!C750))),RIGHT(TRIM('MSR RAW'!C750),6)="Total:"),LEFT(TRIM('MSR RAW'!C750),SEARCH(" - ",TRIM('MSR RAW'!C750))-1),"")</f>
        <v/>
      </c>
      <c r="F750" t="str">
        <f>IF(E750="","",TRIM(MID(TRIM('MSR RAW'!C750),SEARCH(" - ",TRIM('MSR RAW'!C750))+3,LEN(TRIM('MSR RAW'!C750))-SEARCH(" - ",TRIM('MSR RAW'!C750))-9)))</f>
        <v/>
      </c>
      <c r="G750" t="str">
        <f>IF(E750="","",IFERROR(VLOOKUP(E750,'CATEGORY MAP'!$A$2:$B$20,2,FALSE()),"REVIEW"))</f>
        <v/>
      </c>
      <c r="H750" t="str">
        <f>IF(E750="","",IFERROR(VALUE(SUBSTITUTE('MSR RAW'!P750,",","")),0))</f>
        <v/>
      </c>
      <c r="I750" t="str">
        <f>IF(E750="","",IFERROR(VALUE(SUBSTITUTE('MSR RAW'!S750,",","")),0))</f>
        <v/>
      </c>
    </row>
    <row r="751" spans="1:9" ht="68.650000000000006" customHeight="1" x14ac:dyDescent="0.2">
      <c r="A751">
        <v>751</v>
      </c>
      <c r="B75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51" t="str">
        <f>IF(LEFT(TRIM('MSR RAW'!A751),11)="Department:",TRIM('MSR RAW'!A751),C750)</f>
        <v>Department: 36637 - SPECIALTY CONCESSIONS (VENDING)</v>
      </c>
      <c r="D751" t="str">
        <f>IF(LEFT(TRIM('MSR RAW'!B751),9)="Location:",TRIM(MID('MSR RAW'!B751,10,999)),D750)</f>
        <v>FB 155 - SUB ISLAND NOODLES</v>
      </c>
      <c r="E751" t="str">
        <f>IF(AND(ISNUMBER(SEARCH(" - ",TRIM('MSR RAW'!C751))),RIGHT(TRIM('MSR RAW'!C751),6)="Total:"),LEFT(TRIM('MSR RAW'!C751),SEARCH(" - ",TRIM('MSR RAW'!C751))-1),"")</f>
        <v/>
      </c>
      <c r="F751" t="str">
        <f>IF(E751="","",TRIM(MID(TRIM('MSR RAW'!C751),SEARCH(" - ",TRIM('MSR RAW'!C751))+3,LEN(TRIM('MSR RAW'!C751))-SEARCH(" - ",TRIM('MSR RAW'!C751))-9)))</f>
        <v/>
      </c>
      <c r="G751" t="str">
        <f>IF(E751="","",IFERROR(VLOOKUP(E751,'CATEGORY MAP'!$A$2:$B$20,2,FALSE()),"REVIEW"))</f>
        <v/>
      </c>
      <c r="H751" t="str">
        <f>IF(E751="","",IFERROR(VALUE(SUBSTITUTE('MSR RAW'!P751,",","")),0))</f>
        <v/>
      </c>
      <c r="I751" t="str">
        <f>IF(E751="","",IFERROR(VALUE(SUBSTITUTE('MSR RAW'!S751,",","")),0))</f>
        <v/>
      </c>
    </row>
    <row r="752" spans="1:9" ht="68.650000000000006" customHeight="1" x14ac:dyDescent="0.2">
      <c r="A752">
        <v>752</v>
      </c>
      <c r="B75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52" t="str">
        <f>IF(LEFT(TRIM('MSR RAW'!A752),11)="Department:",TRIM('MSR RAW'!A752),C751)</f>
        <v>Department: 36637 - SPECIALTY CONCESSIONS (VENDING)</v>
      </c>
      <c r="D752" t="str">
        <f>IF(LEFT(TRIM('MSR RAW'!B752),9)="Location:",TRIM(MID('MSR RAW'!B752,10,999)),D751)</f>
        <v>FB 155 - SUB ISLAND NOODLES</v>
      </c>
      <c r="E752" t="str">
        <f>IF(AND(ISNUMBER(SEARCH(" - ",TRIM('MSR RAW'!C752))),RIGHT(TRIM('MSR RAW'!C752),6)="Total:"),LEFT(TRIM('MSR RAW'!C752),SEARCH(" - ",TRIM('MSR RAW'!C752))-1),"")</f>
        <v/>
      </c>
      <c r="F752" t="str">
        <f>IF(E752="","",TRIM(MID(TRIM('MSR RAW'!C752),SEARCH(" - ",TRIM('MSR RAW'!C752))+3,LEN(TRIM('MSR RAW'!C752))-SEARCH(" - ",TRIM('MSR RAW'!C752))-9)))</f>
        <v/>
      </c>
      <c r="G752" t="str">
        <f>IF(E752="","",IFERROR(VLOOKUP(E752,'CATEGORY MAP'!$A$2:$B$20,2,FALSE()),"REVIEW"))</f>
        <v/>
      </c>
      <c r="H752" t="str">
        <f>IF(E752="","",IFERROR(VALUE(SUBSTITUTE('MSR RAW'!P752,",","")),0))</f>
        <v/>
      </c>
      <c r="I752" t="str">
        <f>IF(E752="","",IFERROR(VALUE(SUBSTITUTE('MSR RAW'!S752,",","")),0))</f>
        <v/>
      </c>
    </row>
    <row r="753" spans="1:9" ht="68.650000000000006" customHeight="1" x14ac:dyDescent="0.2">
      <c r="A753">
        <v>753</v>
      </c>
      <c r="B75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53" t="str">
        <f>IF(LEFT(TRIM('MSR RAW'!A753),11)="Department:",TRIM('MSR RAW'!A753),C752)</f>
        <v>Department: 36637 - SPECIALTY CONCESSIONS (VENDING)</v>
      </c>
      <c r="D753" t="str">
        <f>IF(LEFT(TRIM('MSR RAW'!B753),9)="Location:",TRIM(MID('MSR RAW'!B753,10,999)),D752)</f>
        <v>FB 155 - SUB ISLAND NOODLES</v>
      </c>
      <c r="E753" t="str">
        <f>IF(AND(ISNUMBER(SEARCH(" - ",TRIM('MSR RAW'!C753))),RIGHT(TRIM('MSR RAW'!C753),6)="Total:"),LEFT(TRIM('MSR RAW'!C753),SEARCH(" - ",TRIM('MSR RAW'!C753))-1),"")</f>
        <v/>
      </c>
      <c r="F753" t="str">
        <f>IF(E753="","",TRIM(MID(TRIM('MSR RAW'!C753),SEARCH(" - ",TRIM('MSR RAW'!C753))+3,LEN(TRIM('MSR RAW'!C753))-SEARCH(" - ",TRIM('MSR RAW'!C753))-9)))</f>
        <v/>
      </c>
      <c r="G753" t="str">
        <f>IF(E753="","",IFERROR(VLOOKUP(E753,'CATEGORY MAP'!$A$2:$B$20,2,FALSE()),"REVIEW"))</f>
        <v/>
      </c>
      <c r="H753" t="str">
        <f>IF(E753="","",IFERROR(VALUE(SUBSTITUTE('MSR RAW'!P753,",","")),0))</f>
        <v/>
      </c>
      <c r="I753" t="str">
        <f>IF(E753="","",IFERROR(VALUE(SUBSTITUTE('MSR RAW'!S753,",","")),0))</f>
        <v/>
      </c>
    </row>
    <row r="754" spans="1:9" ht="68.650000000000006" customHeight="1" x14ac:dyDescent="0.2">
      <c r="A754">
        <v>754</v>
      </c>
      <c r="B75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54" t="str">
        <f>IF(LEFT(TRIM('MSR RAW'!A754),11)="Department:",TRIM('MSR RAW'!A754),C753)</f>
        <v>Department: 36637 - SPECIALTY CONCESSIONS (VENDING)</v>
      </c>
      <c r="D754" t="str">
        <f>IF(LEFT(TRIM('MSR RAW'!B754),9)="Location:",TRIM(MID('MSR RAW'!B754,10,999)),D753)</f>
        <v>FB 155 - SUB ISLAND NOODLES</v>
      </c>
      <c r="E754" t="str">
        <f>IF(AND(ISNUMBER(SEARCH(" - ",TRIM('MSR RAW'!C754))),RIGHT(TRIM('MSR RAW'!C754),6)="Total:"),LEFT(TRIM('MSR RAW'!C754),SEARCH(" - ",TRIM('MSR RAW'!C754))-1),"")</f>
        <v/>
      </c>
      <c r="F754" t="str">
        <f>IF(E754="","",TRIM(MID(TRIM('MSR RAW'!C754),SEARCH(" - ",TRIM('MSR RAW'!C754))+3,LEN(TRIM('MSR RAW'!C754))-SEARCH(" - ",TRIM('MSR RAW'!C754))-9)))</f>
        <v/>
      </c>
      <c r="G754" t="str">
        <f>IF(E754="","",IFERROR(VLOOKUP(E754,'CATEGORY MAP'!$A$2:$B$20,2,FALSE()),"REVIEW"))</f>
        <v/>
      </c>
      <c r="H754" t="str">
        <f>IF(E754="","",IFERROR(VALUE(SUBSTITUTE('MSR RAW'!P754,",","")),0))</f>
        <v/>
      </c>
      <c r="I754" t="str">
        <f>IF(E754="","",IFERROR(VALUE(SUBSTITUTE('MSR RAW'!S754,",","")),0))</f>
        <v/>
      </c>
    </row>
    <row r="755" spans="1:9" ht="68.650000000000006" customHeight="1" x14ac:dyDescent="0.2">
      <c r="A755">
        <v>755</v>
      </c>
      <c r="B75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55" t="str">
        <f>IF(LEFT(TRIM('MSR RAW'!A755),11)="Department:",TRIM('MSR RAW'!A755),C754)</f>
        <v>Department: 36637 - SPECIALTY CONCESSIONS (VENDING)</v>
      </c>
      <c r="D755" t="str">
        <f>IF(LEFT(TRIM('MSR RAW'!B755),9)="Location:",TRIM(MID('MSR RAW'!B755,10,999)),D754)</f>
        <v>FB 155 - SUB ISLAND NOODLES</v>
      </c>
      <c r="E755" t="str">
        <f>IF(AND(ISNUMBER(SEARCH(" - ",TRIM('MSR RAW'!C755))),RIGHT(TRIM('MSR RAW'!C755),6)="Total:"),LEFT(TRIM('MSR RAW'!C755),SEARCH(" - ",TRIM('MSR RAW'!C755))-1),"")</f>
        <v/>
      </c>
      <c r="F755" t="str">
        <f>IF(E755="","",TRIM(MID(TRIM('MSR RAW'!C755),SEARCH(" - ",TRIM('MSR RAW'!C755))+3,LEN(TRIM('MSR RAW'!C755))-SEARCH(" - ",TRIM('MSR RAW'!C755))-9)))</f>
        <v/>
      </c>
      <c r="G755" t="str">
        <f>IF(E755="","",IFERROR(VLOOKUP(E755,'CATEGORY MAP'!$A$2:$B$20,2,FALSE()),"REVIEW"))</f>
        <v/>
      </c>
      <c r="H755" t="str">
        <f>IF(E755="","",IFERROR(VALUE(SUBSTITUTE('MSR RAW'!P755,",","")),0))</f>
        <v/>
      </c>
      <c r="I755" t="str">
        <f>IF(E755="","",IFERROR(VALUE(SUBSTITUTE('MSR RAW'!S755,",","")),0))</f>
        <v/>
      </c>
    </row>
    <row r="756" spans="1:9" ht="68.650000000000006" customHeight="1" x14ac:dyDescent="0.2">
      <c r="A756">
        <v>756</v>
      </c>
      <c r="B75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56" t="str">
        <f>IF(LEFT(TRIM('MSR RAW'!A756),11)="Department:",TRIM('MSR RAW'!A756),C755)</f>
        <v>Department: 36637 - SPECIALTY CONCESSIONS (VENDING)</v>
      </c>
      <c r="D756" t="str">
        <f>IF(LEFT(TRIM('MSR RAW'!B756),9)="Location:",TRIM(MID('MSR RAW'!B756,10,999)),D755)</f>
        <v>FB 155 - SUB ISLAND NOODLES</v>
      </c>
      <c r="E756" t="str">
        <f>IF(AND(ISNUMBER(SEARCH(" - ",TRIM('MSR RAW'!C756))),RIGHT(TRIM('MSR RAW'!C756),6)="Total:"),LEFT(TRIM('MSR RAW'!C756),SEARCH(" - ",TRIM('MSR RAW'!C756))-1),"")</f>
        <v/>
      </c>
      <c r="F756" t="str">
        <f>IF(E756="","",TRIM(MID(TRIM('MSR RAW'!C756),SEARCH(" - ",TRIM('MSR RAW'!C756))+3,LEN(TRIM('MSR RAW'!C756))-SEARCH(" - ",TRIM('MSR RAW'!C756))-9)))</f>
        <v/>
      </c>
      <c r="G756" t="str">
        <f>IF(E756="","",IFERROR(VLOOKUP(E756,'CATEGORY MAP'!$A$2:$B$20,2,FALSE()),"REVIEW"))</f>
        <v/>
      </c>
      <c r="H756" t="str">
        <f>IF(E756="","",IFERROR(VALUE(SUBSTITUTE('MSR RAW'!P756,",","")),0))</f>
        <v/>
      </c>
      <c r="I756" t="str">
        <f>IF(E756="","",IFERROR(VALUE(SUBSTITUTE('MSR RAW'!S756,",","")),0))</f>
        <v/>
      </c>
    </row>
    <row r="757" spans="1:9" ht="68.650000000000006" customHeight="1" x14ac:dyDescent="0.2">
      <c r="A757">
        <v>757</v>
      </c>
      <c r="B75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57" t="str">
        <f>IF(LEFT(TRIM('MSR RAW'!A757),11)="Department:",TRIM('MSR RAW'!A757),C756)</f>
        <v>Department: 36637 - SPECIALTY CONCESSIONS (VENDING)</v>
      </c>
      <c r="D757" t="str">
        <f>IF(LEFT(TRIM('MSR RAW'!B757),9)="Location:",TRIM(MID('MSR RAW'!B757,10,999)),D756)</f>
        <v>FB 155 - SUB ISLAND NOODLES</v>
      </c>
      <c r="E757" t="str">
        <f>IF(AND(ISNUMBER(SEARCH(" - ",TRIM('MSR RAW'!C757))),RIGHT(TRIM('MSR RAW'!C757),6)="Total:"),LEFT(TRIM('MSR RAW'!C757),SEARCH(" - ",TRIM('MSR RAW'!C757))-1),"")</f>
        <v/>
      </c>
      <c r="F757" t="str">
        <f>IF(E757="","",TRIM(MID(TRIM('MSR RAW'!C757),SEARCH(" - ",TRIM('MSR RAW'!C757))+3,LEN(TRIM('MSR RAW'!C757))-SEARCH(" - ",TRIM('MSR RAW'!C757))-9)))</f>
        <v/>
      </c>
      <c r="G757" t="str">
        <f>IF(E757="","",IFERROR(VLOOKUP(E757,'CATEGORY MAP'!$A$2:$B$20,2,FALSE()),"REVIEW"))</f>
        <v/>
      </c>
      <c r="H757" t="str">
        <f>IF(E757="","",IFERROR(VALUE(SUBSTITUTE('MSR RAW'!P757,",","")),0))</f>
        <v/>
      </c>
      <c r="I757" t="str">
        <f>IF(E757="","",IFERROR(VALUE(SUBSTITUTE('MSR RAW'!S757,",","")),0))</f>
        <v/>
      </c>
    </row>
    <row r="758" spans="1:9" ht="68.650000000000006" customHeight="1" x14ac:dyDescent="0.2">
      <c r="A758">
        <v>758</v>
      </c>
      <c r="B75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58" t="str">
        <f>IF(LEFT(TRIM('MSR RAW'!A758),11)="Department:",TRIM('MSR RAW'!A758),C757)</f>
        <v>Department: 36637 - SPECIALTY CONCESSIONS (VENDING)</v>
      </c>
      <c r="D758" t="str">
        <f>IF(LEFT(TRIM('MSR RAW'!B758),9)="Location:",TRIM(MID('MSR RAW'!B758,10,999)),D757)</f>
        <v>FB 155 - SUB ISLAND NOODLES</v>
      </c>
      <c r="E758" t="str">
        <f>IF(AND(ISNUMBER(SEARCH(" - ",TRIM('MSR RAW'!C758))),RIGHT(TRIM('MSR RAW'!C758),6)="Total:"),LEFT(TRIM('MSR RAW'!C758),SEARCH(" - ",TRIM('MSR RAW'!C758))-1),"")</f>
        <v/>
      </c>
      <c r="F758" t="str">
        <f>IF(E758="","",TRIM(MID(TRIM('MSR RAW'!C758),SEARCH(" - ",TRIM('MSR RAW'!C758))+3,LEN(TRIM('MSR RAW'!C758))-SEARCH(" - ",TRIM('MSR RAW'!C758))-9)))</f>
        <v/>
      </c>
      <c r="G758" t="str">
        <f>IF(E758="","",IFERROR(VLOOKUP(E758,'CATEGORY MAP'!$A$2:$B$20,2,FALSE()),"REVIEW"))</f>
        <v/>
      </c>
      <c r="H758" t="str">
        <f>IF(E758="","",IFERROR(VALUE(SUBSTITUTE('MSR RAW'!P758,",","")),0))</f>
        <v/>
      </c>
      <c r="I758" t="str">
        <f>IF(E758="","",IFERROR(VALUE(SUBSTITUTE('MSR RAW'!S758,",","")),0))</f>
        <v/>
      </c>
    </row>
    <row r="759" spans="1:9" ht="68.650000000000006" customHeight="1" x14ac:dyDescent="0.2">
      <c r="A759">
        <v>759</v>
      </c>
      <c r="B75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59" t="str">
        <f>IF(LEFT(TRIM('MSR RAW'!A759),11)="Department:",TRIM('MSR RAW'!A759),C758)</f>
        <v>Department: 36637 - SPECIALTY CONCESSIONS (VENDING)</v>
      </c>
      <c r="D759" t="str">
        <f>IF(LEFT(TRIM('MSR RAW'!B759),9)="Location:",TRIM(MID('MSR RAW'!B759,10,999)),D758)</f>
        <v>FB 155 - SUB ISLAND NOODLES</v>
      </c>
      <c r="E759" t="str">
        <f>IF(AND(ISNUMBER(SEARCH(" - ",TRIM('MSR RAW'!C759))),RIGHT(TRIM('MSR RAW'!C759),6)="Total:"),LEFT(TRIM('MSR RAW'!C759),SEARCH(" - ",TRIM('MSR RAW'!C759))-1),"")</f>
        <v/>
      </c>
      <c r="F759" t="str">
        <f>IF(E759="","",TRIM(MID(TRIM('MSR RAW'!C759),SEARCH(" - ",TRIM('MSR RAW'!C759))+3,LEN(TRIM('MSR RAW'!C759))-SEARCH(" - ",TRIM('MSR RAW'!C759))-9)))</f>
        <v/>
      </c>
      <c r="G759" t="str">
        <f>IF(E759="","",IFERROR(VLOOKUP(E759,'CATEGORY MAP'!$A$2:$B$20,2,FALSE()),"REVIEW"))</f>
        <v/>
      </c>
      <c r="H759" t="str">
        <f>IF(E759="","",IFERROR(VALUE(SUBSTITUTE('MSR RAW'!P759,",","")),0))</f>
        <v/>
      </c>
      <c r="I759" t="str">
        <f>IF(E759="","",IFERROR(VALUE(SUBSTITUTE('MSR RAW'!S759,",","")),0))</f>
        <v/>
      </c>
    </row>
    <row r="760" spans="1:9" ht="68.650000000000006" customHeight="1" x14ac:dyDescent="0.2">
      <c r="A760">
        <v>760</v>
      </c>
      <c r="B76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60" t="str">
        <f>IF(LEFT(TRIM('MSR RAW'!A760),11)="Department:",TRIM('MSR RAW'!A760),C759)</f>
        <v>Department: 36637 - SPECIALTY CONCESSIONS (VENDING)</v>
      </c>
      <c r="D760" t="str">
        <f>IF(LEFT(TRIM('MSR RAW'!B760),9)="Location:",TRIM(MID('MSR RAW'!B760,10,999)),D759)</f>
        <v>FB 155 - SUB ISLAND NOODLES</v>
      </c>
      <c r="E760" t="str">
        <f>IF(AND(ISNUMBER(SEARCH(" - ",TRIM('MSR RAW'!C760))),RIGHT(TRIM('MSR RAW'!C760),6)="Total:"),LEFT(TRIM('MSR RAW'!C760),SEARCH(" - ",TRIM('MSR RAW'!C760))-1),"")</f>
        <v/>
      </c>
      <c r="F760" t="str">
        <f>IF(E760="","",TRIM(MID(TRIM('MSR RAW'!C760),SEARCH(" - ",TRIM('MSR RAW'!C760))+3,LEN(TRIM('MSR RAW'!C760))-SEARCH(" - ",TRIM('MSR RAW'!C760))-9)))</f>
        <v/>
      </c>
      <c r="G760" t="str">
        <f>IF(E760="","",IFERROR(VLOOKUP(E760,'CATEGORY MAP'!$A$2:$B$20,2,FALSE()),"REVIEW"))</f>
        <v/>
      </c>
      <c r="H760" t="str">
        <f>IF(E760="","",IFERROR(VALUE(SUBSTITUTE('MSR RAW'!P760,",","")),0))</f>
        <v/>
      </c>
      <c r="I760" t="str">
        <f>IF(E760="","",IFERROR(VALUE(SUBSTITUTE('MSR RAW'!S760,",","")),0))</f>
        <v/>
      </c>
    </row>
    <row r="761" spans="1:9" ht="68.650000000000006" customHeight="1" x14ac:dyDescent="0.2">
      <c r="A761">
        <v>761</v>
      </c>
      <c r="B76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61" t="str">
        <f>IF(LEFT(TRIM('MSR RAW'!A761),11)="Department:",TRIM('MSR RAW'!A761),C760)</f>
        <v>Department: 36637 - SPECIALTY CONCESSIONS (VENDING)</v>
      </c>
      <c r="D761" t="str">
        <f>IF(LEFT(TRIM('MSR RAW'!B761),9)="Location:",TRIM(MID('MSR RAW'!B761,10,999)),D760)</f>
        <v>FB 155 - SUB ISLAND NOODLES</v>
      </c>
      <c r="E761" t="str">
        <f>IF(AND(ISNUMBER(SEARCH(" - ",TRIM('MSR RAW'!C761))),RIGHT(TRIM('MSR RAW'!C761),6)="Total:"),LEFT(TRIM('MSR RAW'!C761),SEARCH(" - ",TRIM('MSR RAW'!C761))-1),"")</f>
        <v/>
      </c>
      <c r="F761" t="str">
        <f>IF(E761="","",TRIM(MID(TRIM('MSR RAW'!C761),SEARCH(" - ",TRIM('MSR RAW'!C761))+3,LEN(TRIM('MSR RAW'!C761))-SEARCH(" - ",TRIM('MSR RAW'!C761))-9)))</f>
        <v/>
      </c>
      <c r="G761" t="str">
        <f>IF(E761="","",IFERROR(VLOOKUP(E761,'CATEGORY MAP'!$A$2:$B$20,2,FALSE()),"REVIEW"))</f>
        <v/>
      </c>
      <c r="H761" t="str">
        <f>IF(E761="","",IFERROR(VALUE(SUBSTITUTE('MSR RAW'!P761,",","")),0))</f>
        <v/>
      </c>
      <c r="I761" t="str">
        <f>IF(E761="","",IFERROR(VALUE(SUBSTITUTE('MSR RAW'!S761,",","")),0))</f>
        <v/>
      </c>
    </row>
    <row r="762" spans="1:9" ht="68.650000000000006" customHeight="1" x14ac:dyDescent="0.2">
      <c r="A762">
        <v>762</v>
      </c>
      <c r="B76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62" t="str">
        <f>IF(LEFT(TRIM('MSR RAW'!A762),11)="Department:",TRIM('MSR RAW'!A762),C761)</f>
        <v>Department: 36637 - SPECIALTY CONCESSIONS (VENDING)</v>
      </c>
      <c r="D762" t="str">
        <f>IF(LEFT(TRIM('MSR RAW'!B762),9)="Location:",TRIM(MID('MSR RAW'!B762,10,999)),D761)</f>
        <v>FB 155 - SUB ISLAND NOODLES</v>
      </c>
      <c r="E762" t="str">
        <f>IF(AND(ISNUMBER(SEARCH(" - ",TRIM('MSR RAW'!C762))),RIGHT(TRIM('MSR RAW'!C762),6)="Total:"),LEFT(TRIM('MSR RAW'!C762),SEARCH(" - ",TRIM('MSR RAW'!C762))-1),"")</f>
        <v/>
      </c>
      <c r="F762" t="str">
        <f>IF(E762="","",TRIM(MID(TRIM('MSR RAW'!C762),SEARCH(" - ",TRIM('MSR RAW'!C762))+3,LEN(TRIM('MSR RAW'!C762))-SEARCH(" - ",TRIM('MSR RAW'!C762))-9)))</f>
        <v/>
      </c>
      <c r="G762" t="str">
        <f>IF(E762="","",IFERROR(VLOOKUP(E762,'CATEGORY MAP'!$A$2:$B$20,2,FALSE()),"REVIEW"))</f>
        <v/>
      </c>
      <c r="H762" t="str">
        <f>IF(E762="","",IFERROR(VALUE(SUBSTITUTE('MSR RAW'!P762,",","")),0))</f>
        <v/>
      </c>
      <c r="I762" t="str">
        <f>IF(E762="","",IFERROR(VALUE(SUBSTITUTE('MSR RAW'!S762,",","")),0))</f>
        <v/>
      </c>
    </row>
    <row r="763" spans="1:9" ht="68.650000000000006" customHeight="1" x14ac:dyDescent="0.2">
      <c r="A763">
        <v>763</v>
      </c>
      <c r="B76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63" t="str">
        <f>IF(LEFT(TRIM('MSR RAW'!A763),11)="Department:",TRIM('MSR RAW'!A763),C762)</f>
        <v>Department: 36637 - SPECIALTY CONCESSIONS (VENDING)</v>
      </c>
      <c r="D763" t="str">
        <f>IF(LEFT(TRIM('MSR RAW'!B763),9)="Location:",TRIM(MID('MSR RAW'!B763,10,999)),D762)</f>
        <v>FB 155 - SUB ISLAND NOODLES</v>
      </c>
      <c r="E763" t="str">
        <f>IF(AND(ISNUMBER(SEARCH(" - ",TRIM('MSR RAW'!C763))),RIGHT(TRIM('MSR RAW'!C763),6)="Total:"),LEFT(TRIM('MSR RAW'!C763),SEARCH(" - ",TRIM('MSR RAW'!C763))-1),"")</f>
        <v/>
      </c>
      <c r="F763" t="str">
        <f>IF(E763="","",TRIM(MID(TRIM('MSR RAW'!C763),SEARCH(" - ",TRIM('MSR RAW'!C763))+3,LEN(TRIM('MSR RAW'!C763))-SEARCH(" - ",TRIM('MSR RAW'!C763))-9)))</f>
        <v/>
      </c>
      <c r="G763" t="str">
        <f>IF(E763="","",IFERROR(VLOOKUP(E763,'CATEGORY MAP'!$A$2:$B$20,2,FALSE()),"REVIEW"))</f>
        <v/>
      </c>
      <c r="H763" t="str">
        <f>IF(E763="","",IFERROR(VALUE(SUBSTITUTE('MSR RAW'!P763,",","")),0))</f>
        <v/>
      </c>
      <c r="I763" t="str">
        <f>IF(E763="","",IFERROR(VALUE(SUBSTITUTE('MSR RAW'!S763,",","")),0))</f>
        <v/>
      </c>
    </row>
    <row r="764" spans="1:9" ht="68.650000000000006" customHeight="1" x14ac:dyDescent="0.2">
      <c r="A764">
        <v>764</v>
      </c>
      <c r="B76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64" t="str">
        <f>IF(LEFT(TRIM('MSR RAW'!A764),11)="Department:",TRIM('MSR RAW'!A764),C763)</f>
        <v>Department: 36637 - SPECIALTY CONCESSIONS (VENDING)</v>
      </c>
      <c r="D764" t="str">
        <f>IF(LEFT(TRIM('MSR RAW'!B764),9)="Location:",TRIM(MID('MSR RAW'!B764,10,999)),D763)</f>
        <v>FB 155 - SUB ISLAND NOODLES</v>
      </c>
      <c r="E764" t="str">
        <f>IF(AND(ISNUMBER(SEARCH(" - ",TRIM('MSR RAW'!C764))),RIGHT(TRIM('MSR RAW'!C764),6)="Total:"),LEFT(TRIM('MSR RAW'!C764),SEARCH(" - ",TRIM('MSR RAW'!C764))-1),"")</f>
        <v/>
      </c>
      <c r="F764" t="str">
        <f>IF(E764="","",TRIM(MID(TRIM('MSR RAW'!C764),SEARCH(" - ",TRIM('MSR RAW'!C764))+3,LEN(TRIM('MSR RAW'!C764))-SEARCH(" - ",TRIM('MSR RAW'!C764))-9)))</f>
        <v/>
      </c>
      <c r="G764" t="str">
        <f>IF(E764="","",IFERROR(VLOOKUP(E764,'CATEGORY MAP'!$A$2:$B$20,2,FALSE()),"REVIEW"))</f>
        <v/>
      </c>
      <c r="H764" t="str">
        <f>IF(E764="","",IFERROR(VALUE(SUBSTITUTE('MSR RAW'!P764,",","")),0))</f>
        <v/>
      </c>
      <c r="I764" t="str">
        <f>IF(E764="","",IFERROR(VALUE(SUBSTITUTE('MSR RAW'!S764,",","")),0))</f>
        <v/>
      </c>
    </row>
    <row r="765" spans="1:9" ht="68.650000000000006" customHeight="1" x14ac:dyDescent="0.2">
      <c r="A765">
        <v>765</v>
      </c>
      <c r="B76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65" t="str">
        <f>IF(LEFT(TRIM('MSR RAW'!A765),11)="Department:",TRIM('MSR RAW'!A765),C764)</f>
        <v>Department: 36637 - SPECIALTY CONCESSIONS (VENDING)</v>
      </c>
      <c r="D765" t="str">
        <f>IF(LEFT(TRIM('MSR RAW'!B765),9)="Location:",TRIM(MID('MSR RAW'!B765,10,999)),D764)</f>
        <v>FB 155 - SUB ISLAND NOODLES</v>
      </c>
      <c r="E765" t="str">
        <f>IF(AND(ISNUMBER(SEARCH(" - ",TRIM('MSR RAW'!C765))),RIGHT(TRIM('MSR RAW'!C765),6)="Total:"),LEFT(TRIM('MSR RAW'!C765),SEARCH(" - ",TRIM('MSR RAW'!C765))-1),"")</f>
        <v/>
      </c>
      <c r="F765" t="str">
        <f>IF(E765="","",TRIM(MID(TRIM('MSR RAW'!C765),SEARCH(" - ",TRIM('MSR RAW'!C765))+3,LEN(TRIM('MSR RAW'!C765))-SEARCH(" - ",TRIM('MSR RAW'!C765))-9)))</f>
        <v/>
      </c>
      <c r="G765" t="str">
        <f>IF(E765="","",IFERROR(VLOOKUP(E765,'CATEGORY MAP'!$A$2:$B$20,2,FALSE()),"REVIEW"))</f>
        <v/>
      </c>
      <c r="H765" t="str">
        <f>IF(E765="","",IFERROR(VALUE(SUBSTITUTE('MSR RAW'!P765,",","")),0))</f>
        <v/>
      </c>
      <c r="I765" t="str">
        <f>IF(E765="","",IFERROR(VALUE(SUBSTITUTE('MSR RAW'!S765,",","")),0))</f>
        <v/>
      </c>
    </row>
    <row r="766" spans="1:9" ht="68.650000000000006" customHeight="1" x14ac:dyDescent="0.2">
      <c r="A766">
        <v>766</v>
      </c>
      <c r="B76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66" t="str">
        <f>IF(LEFT(TRIM('MSR RAW'!A766),11)="Department:",TRIM('MSR RAW'!A766),C765)</f>
        <v>Department: 36637 - SPECIALTY CONCESSIONS (VENDING)</v>
      </c>
      <c r="D766" t="str">
        <f>IF(LEFT(TRIM('MSR RAW'!B766),9)="Location:",TRIM(MID('MSR RAW'!B766,10,999)),D765)</f>
        <v>FB 155 - SUB ISLAND NOODLES</v>
      </c>
      <c r="E766" t="str">
        <f>IF(AND(ISNUMBER(SEARCH(" - ",TRIM('MSR RAW'!C766))),RIGHT(TRIM('MSR RAW'!C766),6)="Total:"),LEFT(TRIM('MSR RAW'!C766),SEARCH(" - ",TRIM('MSR RAW'!C766))-1),"")</f>
        <v/>
      </c>
      <c r="F766" t="str">
        <f>IF(E766="","",TRIM(MID(TRIM('MSR RAW'!C766),SEARCH(" - ",TRIM('MSR RAW'!C766))+3,LEN(TRIM('MSR RAW'!C766))-SEARCH(" - ",TRIM('MSR RAW'!C766))-9)))</f>
        <v/>
      </c>
      <c r="G766" t="str">
        <f>IF(E766="","",IFERROR(VLOOKUP(E766,'CATEGORY MAP'!$A$2:$B$20,2,FALSE()),"REVIEW"))</f>
        <v/>
      </c>
      <c r="H766" t="str">
        <f>IF(E766="","",IFERROR(VALUE(SUBSTITUTE('MSR RAW'!P766,",","")),0))</f>
        <v/>
      </c>
      <c r="I766" t="str">
        <f>IF(E766="","",IFERROR(VALUE(SUBSTITUTE('MSR RAW'!S766,",","")),0))</f>
        <v/>
      </c>
    </row>
    <row r="767" spans="1:9" ht="68.650000000000006" customHeight="1" x14ac:dyDescent="0.2">
      <c r="A767">
        <v>767</v>
      </c>
      <c r="B76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67" t="str">
        <f>IF(LEFT(TRIM('MSR RAW'!A767),11)="Department:",TRIM('MSR RAW'!A767),C766)</f>
        <v>Department: 36637 - SPECIALTY CONCESSIONS (VENDING)</v>
      </c>
      <c r="D767" t="str">
        <f>IF(LEFT(TRIM('MSR RAW'!B767),9)="Location:",TRIM(MID('MSR RAW'!B767,10,999)),D766)</f>
        <v>FB 155 - SUB ISLAND NOODLES</v>
      </c>
      <c r="E767" t="str">
        <f>IF(AND(ISNUMBER(SEARCH(" - ",TRIM('MSR RAW'!C767))),RIGHT(TRIM('MSR RAW'!C767),6)="Total:"),LEFT(TRIM('MSR RAW'!C767),SEARCH(" - ",TRIM('MSR RAW'!C767))-1),"")</f>
        <v/>
      </c>
      <c r="F767" t="str">
        <f>IF(E767="","",TRIM(MID(TRIM('MSR RAW'!C767),SEARCH(" - ",TRIM('MSR RAW'!C767))+3,LEN(TRIM('MSR RAW'!C767))-SEARCH(" - ",TRIM('MSR RAW'!C767))-9)))</f>
        <v/>
      </c>
      <c r="G767" t="str">
        <f>IF(E767="","",IFERROR(VLOOKUP(E767,'CATEGORY MAP'!$A$2:$B$20,2,FALSE()),"REVIEW"))</f>
        <v/>
      </c>
      <c r="H767" t="str">
        <f>IF(E767="","",IFERROR(VALUE(SUBSTITUTE('MSR RAW'!P767,",","")),0))</f>
        <v/>
      </c>
      <c r="I767" t="str">
        <f>IF(E767="","",IFERROR(VALUE(SUBSTITUTE('MSR RAW'!S767,",","")),0))</f>
        <v/>
      </c>
    </row>
    <row r="768" spans="1:9" ht="68.650000000000006" customHeight="1" x14ac:dyDescent="0.2">
      <c r="A768">
        <v>768</v>
      </c>
      <c r="B76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68" t="str">
        <f>IF(LEFT(TRIM('MSR RAW'!A768),11)="Department:",TRIM('MSR RAW'!A768),C767)</f>
        <v>Department: 36637 - SPECIALTY CONCESSIONS (VENDING)</v>
      </c>
      <c r="D768" t="str">
        <f>IF(LEFT(TRIM('MSR RAW'!B768),9)="Location:",TRIM(MID('MSR RAW'!B768,10,999)),D767)</f>
        <v>FB 155 - SUB ISLAND NOODLES</v>
      </c>
      <c r="E768" t="str">
        <f>IF(AND(ISNUMBER(SEARCH(" - ",TRIM('MSR RAW'!C768))),RIGHT(TRIM('MSR RAW'!C768),6)="Total:"),LEFT(TRIM('MSR RAW'!C768),SEARCH(" - ",TRIM('MSR RAW'!C768))-1),"")</f>
        <v/>
      </c>
      <c r="F768" t="str">
        <f>IF(E768="","",TRIM(MID(TRIM('MSR RAW'!C768),SEARCH(" - ",TRIM('MSR RAW'!C768))+3,LEN(TRIM('MSR RAW'!C768))-SEARCH(" - ",TRIM('MSR RAW'!C768))-9)))</f>
        <v/>
      </c>
      <c r="G768" t="str">
        <f>IF(E768="","",IFERROR(VLOOKUP(E768,'CATEGORY MAP'!$A$2:$B$20,2,FALSE()),"REVIEW"))</f>
        <v/>
      </c>
      <c r="H768" t="str">
        <f>IF(E768="","",IFERROR(VALUE(SUBSTITUTE('MSR RAW'!P768,",","")),0))</f>
        <v/>
      </c>
      <c r="I768" t="str">
        <f>IF(E768="","",IFERROR(VALUE(SUBSTITUTE('MSR RAW'!S768,",","")),0))</f>
        <v/>
      </c>
    </row>
    <row r="769" spans="1:9" ht="68.650000000000006" customHeight="1" x14ac:dyDescent="0.2">
      <c r="A769">
        <v>769</v>
      </c>
      <c r="B76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69" t="str">
        <f>IF(LEFT(TRIM('MSR RAW'!A769),11)="Department:",TRIM('MSR RAW'!A769),C768)</f>
        <v>Department: 36637 - SPECIALTY CONCESSIONS (VENDING)</v>
      </c>
      <c r="D769" t="str">
        <f>IF(LEFT(TRIM('MSR RAW'!B769),9)="Location:",TRIM(MID('MSR RAW'!B769,10,999)),D768)</f>
        <v>FB 155 - SUB ISLAND NOODLES</v>
      </c>
      <c r="E769" t="str">
        <f>IF(AND(ISNUMBER(SEARCH(" - ",TRIM('MSR RAW'!C769))),RIGHT(TRIM('MSR RAW'!C769),6)="Total:"),LEFT(TRIM('MSR RAW'!C769),SEARCH(" - ",TRIM('MSR RAW'!C769))-1),"")</f>
        <v/>
      </c>
      <c r="F769" t="str">
        <f>IF(E769="","",TRIM(MID(TRIM('MSR RAW'!C769),SEARCH(" - ",TRIM('MSR RAW'!C769))+3,LEN(TRIM('MSR RAW'!C769))-SEARCH(" - ",TRIM('MSR RAW'!C769))-9)))</f>
        <v/>
      </c>
      <c r="G769" t="str">
        <f>IF(E769="","",IFERROR(VLOOKUP(E769,'CATEGORY MAP'!$A$2:$B$20,2,FALSE()),"REVIEW"))</f>
        <v/>
      </c>
      <c r="H769" t="str">
        <f>IF(E769="","",IFERROR(VALUE(SUBSTITUTE('MSR RAW'!P769,",","")),0))</f>
        <v/>
      </c>
      <c r="I769" t="str">
        <f>IF(E769="","",IFERROR(VALUE(SUBSTITUTE('MSR RAW'!S769,",","")),0))</f>
        <v/>
      </c>
    </row>
    <row r="770" spans="1:9" ht="68.650000000000006" customHeight="1" x14ac:dyDescent="0.2">
      <c r="A770">
        <v>770</v>
      </c>
      <c r="B77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70" t="str">
        <f>IF(LEFT(TRIM('MSR RAW'!A770),11)="Department:",TRIM('MSR RAW'!A770),C769)</f>
        <v>Department: 36637 - SPECIALTY CONCESSIONS (VENDING)</v>
      </c>
      <c r="D770" t="str">
        <f>IF(LEFT(TRIM('MSR RAW'!B770),9)="Location:",TRIM(MID('MSR RAW'!B770,10,999)),D769)</f>
        <v>FB 155 - SUB ISLAND NOODLES</v>
      </c>
      <c r="E770" t="str">
        <f>IF(AND(ISNUMBER(SEARCH(" - ",TRIM('MSR RAW'!C770))),RIGHT(TRIM('MSR RAW'!C770),6)="Total:"),LEFT(TRIM('MSR RAW'!C770),SEARCH(" - ",TRIM('MSR RAW'!C770))-1),"")</f>
        <v/>
      </c>
      <c r="F770" t="str">
        <f>IF(E770="","",TRIM(MID(TRIM('MSR RAW'!C770),SEARCH(" - ",TRIM('MSR RAW'!C770))+3,LEN(TRIM('MSR RAW'!C770))-SEARCH(" - ",TRIM('MSR RAW'!C770))-9)))</f>
        <v/>
      </c>
      <c r="G770" t="str">
        <f>IF(E770="","",IFERROR(VLOOKUP(E770,'CATEGORY MAP'!$A$2:$B$20,2,FALSE()),"REVIEW"))</f>
        <v/>
      </c>
      <c r="H770" t="str">
        <f>IF(E770="","",IFERROR(VALUE(SUBSTITUTE('MSR RAW'!P770,",","")),0))</f>
        <v/>
      </c>
      <c r="I770" t="str">
        <f>IF(E770="","",IFERROR(VALUE(SUBSTITUTE('MSR RAW'!S770,",","")),0))</f>
        <v/>
      </c>
    </row>
    <row r="771" spans="1:9" ht="68.650000000000006" customHeight="1" x14ac:dyDescent="0.2">
      <c r="A771">
        <v>771</v>
      </c>
      <c r="B77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71" t="str">
        <f>IF(LEFT(TRIM('MSR RAW'!A771),11)="Department:",TRIM('MSR RAW'!A771),C770)</f>
        <v>Department: 36637 - SPECIALTY CONCESSIONS (VENDING)</v>
      </c>
      <c r="D771" t="str">
        <f>IF(LEFT(TRIM('MSR RAW'!B771),9)="Location:",TRIM(MID('MSR RAW'!B771,10,999)),D770)</f>
        <v>FB 155 - SUB ISLAND NOODLES</v>
      </c>
      <c r="E771" t="str">
        <f>IF(AND(ISNUMBER(SEARCH(" - ",TRIM('MSR RAW'!C771))),RIGHT(TRIM('MSR RAW'!C771),6)="Total:"),LEFT(TRIM('MSR RAW'!C771),SEARCH(" - ",TRIM('MSR RAW'!C771))-1),"")</f>
        <v/>
      </c>
      <c r="F771" t="str">
        <f>IF(E771="","",TRIM(MID(TRIM('MSR RAW'!C771),SEARCH(" - ",TRIM('MSR RAW'!C771))+3,LEN(TRIM('MSR RAW'!C771))-SEARCH(" - ",TRIM('MSR RAW'!C771))-9)))</f>
        <v/>
      </c>
      <c r="G771" t="str">
        <f>IF(E771="","",IFERROR(VLOOKUP(E771,'CATEGORY MAP'!$A$2:$B$20,2,FALSE()),"REVIEW"))</f>
        <v/>
      </c>
      <c r="H771" t="str">
        <f>IF(E771="","",IFERROR(VALUE(SUBSTITUTE('MSR RAW'!P771,",","")),0))</f>
        <v/>
      </c>
      <c r="I771" t="str">
        <f>IF(E771="","",IFERROR(VALUE(SUBSTITUTE('MSR RAW'!S771,",","")),0))</f>
        <v/>
      </c>
    </row>
    <row r="772" spans="1:9" ht="68.650000000000006" customHeight="1" x14ac:dyDescent="0.2">
      <c r="A772">
        <v>772</v>
      </c>
      <c r="B77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72" t="str">
        <f>IF(LEFT(TRIM('MSR RAW'!A772),11)="Department:",TRIM('MSR RAW'!A772),C771)</f>
        <v>Department: 36637 - SPECIALTY CONCESSIONS (VENDING)</v>
      </c>
      <c r="D772" t="str">
        <f>IF(LEFT(TRIM('MSR RAW'!B772),9)="Location:",TRIM(MID('MSR RAW'!B772,10,999)),D771)</f>
        <v>FB 155 - SUB ISLAND NOODLES</v>
      </c>
      <c r="E772" t="str">
        <f>IF(AND(ISNUMBER(SEARCH(" - ",TRIM('MSR RAW'!C772))),RIGHT(TRIM('MSR RAW'!C772),6)="Total:"),LEFT(TRIM('MSR RAW'!C772),SEARCH(" - ",TRIM('MSR RAW'!C772))-1),"")</f>
        <v/>
      </c>
      <c r="F772" t="str">
        <f>IF(E772="","",TRIM(MID(TRIM('MSR RAW'!C772),SEARCH(" - ",TRIM('MSR RAW'!C772))+3,LEN(TRIM('MSR RAW'!C772))-SEARCH(" - ",TRIM('MSR RAW'!C772))-9)))</f>
        <v/>
      </c>
      <c r="G772" t="str">
        <f>IF(E772="","",IFERROR(VLOOKUP(E772,'CATEGORY MAP'!$A$2:$B$20,2,FALSE()),"REVIEW"))</f>
        <v/>
      </c>
      <c r="H772" t="str">
        <f>IF(E772="","",IFERROR(VALUE(SUBSTITUTE('MSR RAW'!P772,",","")),0))</f>
        <v/>
      </c>
      <c r="I772" t="str">
        <f>IF(E772="","",IFERROR(VALUE(SUBSTITUTE('MSR RAW'!S772,",","")),0))</f>
        <v/>
      </c>
    </row>
    <row r="773" spans="1:9" ht="68.650000000000006" customHeight="1" x14ac:dyDescent="0.2">
      <c r="A773">
        <v>773</v>
      </c>
      <c r="B77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73" t="str">
        <f>IF(LEFT(TRIM('MSR RAW'!A773),11)="Department:",TRIM('MSR RAW'!A773),C772)</f>
        <v>Department: 36637 - SPECIALTY CONCESSIONS (VENDING)</v>
      </c>
      <c r="D773" t="str">
        <f>IF(LEFT(TRIM('MSR RAW'!B773),9)="Location:",TRIM(MID('MSR RAW'!B773,10,999)),D772)</f>
        <v>FB 155 - SUB ISLAND NOODLES</v>
      </c>
      <c r="E773" t="str">
        <f>IF(AND(ISNUMBER(SEARCH(" - ",TRIM('MSR RAW'!C773))),RIGHT(TRIM('MSR RAW'!C773),6)="Total:"),LEFT(TRIM('MSR RAW'!C773),SEARCH(" - ",TRIM('MSR RAW'!C773))-1),"")</f>
        <v/>
      </c>
      <c r="F773" t="str">
        <f>IF(E773="","",TRIM(MID(TRIM('MSR RAW'!C773),SEARCH(" - ",TRIM('MSR RAW'!C773))+3,LEN(TRIM('MSR RAW'!C773))-SEARCH(" - ",TRIM('MSR RAW'!C773))-9)))</f>
        <v/>
      </c>
      <c r="G773" t="str">
        <f>IF(E773="","",IFERROR(VLOOKUP(E773,'CATEGORY MAP'!$A$2:$B$20,2,FALSE()),"REVIEW"))</f>
        <v/>
      </c>
      <c r="H773" t="str">
        <f>IF(E773="","",IFERROR(VALUE(SUBSTITUTE('MSR RAW'!P773,",","")),0))</f>
        <v/>
      </c>
      <c r="I773" t="str">
        <f>IF(E773="","",IFERROR(VALUE(SUBSTITUTE('MSR RAW'!S773,",","")),0))</f>
        <v/>
      </c>
    </row>
    <row r="774" spans="1:9" ht="68.650000000000006" customHeight="1" x14ac:dyDescent="0.2">
      <c r="A774">
        <v>774</v>
      </c>
      <c r="B77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74" t="str">
        <f>IF(LEFT(TRIM('MSR RAW'!A774),11)="Department:",TRIM('MSR RAW'!A774),C773)</f>
        <v>Department: 36637 - SPECIALTY CONCESSIONS (VENDING)</v>
      </c>
      <c r="D774" t="str">
        <f>IF(LEFT(TRIM('MSR RAW'!B774),9)="Location:",TRIM(MID('MSR RAW'!B774,10,999)),D773)</f>
        <v>FB 155 - SUB ISLAND NOODLES</v>
      </c>
      <c r="E774" t="str">
        <f>IF(AND(ISNUMBER(SEARCH(" - ",TRIM('MSR RAW'!C774))),RIGHT(TRIM('MSR RAW'!C774),6)="Total:"),LEFT(TRIM('MSR RAW'!C774),SEARCH(" - ",TRIM('MSR RAW'!C774))-1),"")</f>
        <v/>
      </c>
      <c r="F774" t="str">
        <f>IF(E774="","",TRIM(MID(TRIM('MSR RAW'!C774),SEARCH(" - ",TRIM('MSR RAW'!C774))+3,LEN(TRIM('MSR RAW'!C774))-SEARCH(" - ",TRIM('MSR RAW'!C774))-9)))</f>
        <v/>
      </c>
      <c r="G774" t="str">
        <f>IF(E774="","",IFERROR(VLOOKUP(E774,'CATEGORY MAP'!$A$2:$B$20,2,FALSE()),"REVIEW"))</f>
        <v/>
      </c>
      <c r="H774" t="str">
        <f>IF(E774="","",IFERROR(VALUE(SUBSTITUTE('MSR RAW'!P774,",","")),0))</f>
        <v/>
      </c>
      <c r="I774" t="str">
        <f>IF(E774="","",IFERROR(VALUE(SUBSTITUTE('MSR RAW'!S774,",","")),0))</f>
        <v/>
      </c>
    </row>
    <row r="775" spans="1:9" ht="68.650000000000006" customHeight="1" x14ac:dyDescent="0.2">
      <c r="A775">
        <v>775</v>
      </c>
      <c r="B77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75" t="str">
        <f>IF(LEFT(TRIM('MSR RAW'!A775),11)="Department:",TRIM('MSR RAW'!A775),C774)</f>
        <v>Department: 36637 - SPECIALTY CONCESSIONS (VENDING)</v>
      </c>
      <c r="D775" t="str">
        <f>IF(LEFT(TRIM('MSR RAW'!B775),9)="Location:",TRIM(MID('MSR RAW'!B775,10,999)),D774)</f>
        <v>FB 155 - SUB ISLAND NOODLES</v>
      </c>
      <c r="E775" t="str">
        <f>IF(AND(ISNUMBER(SEARCH(" - ",TRIM('MSR RAW'!C775))),RIGHT(TRIM('MSR RAW'!C775),6)="Total:"),LEFT(TRIM('MSR RAW'!C775),SEARCH(" - ",TRIM('MSR RAW'!C775))-1),"")</f>
        <v/>
      </c>
      <c r="F775" t="str">
        <f>IF(E775="","",TRIM(MID(TRIM('MSR RAW'!C775),SEARCH(" - ",TRIM('MSR RAW'!C775))+3,LEN(TRIM('MSR RAW'!C775))-SEARCH(" - ",TRIM('MSR RAW'!C775))-9)))</f>
        <v/>
      </c>
      <c r="G775" t="str">
        <f>IF(E775="","",IFERROR(VLOOKUP(E775,'CATEGORY MAP'!$A$2:$B$20,2,FALSE()),"REVIEW"))</f>
        <v/>
      </c>
      <c r="H775" t="str">
        <f>IF(E775="","",IFERROR(VALUE(SUBSTITUTE('MSR RAW'!P775,",","")),0))</f>
        <v/>
      </c>
      <c r="I775" t="str">
        <f>IF(E775="","",IFERROR(VALUE(SUBSTITUTE('MSR RAW'!S775,",","")),0))</f>
        <v/>
      </c>
    </row>
    <row r="776" spans="1:9" ht="68.650000000000006" customHeight="1" x14ac:dyDescent="0.2">
      <c r="A776">
        <v>776</v>
      </c>
      <c r="B77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76" t="str">
        <f>IF(LEFT(TRIM('MSR RAW'!A776),11)="Department:",TRIM('MSR RAW'!A776),C775)</f>
        <v>Department: 36637 - SPECIALTY CONCESSIONS (VENDING)</v>
      </c>
      <c r="D776" t="str">
        <f>IF(LEFT(TRIM('MSR RAW'!B776),9)="Location:",TRIM(MID('MSR RAW'!B776,10,999)),D775)</f>
        <v>FB 155 - SUB ISLAND NOODLES</v>
      </c>
      <c r="E776" t="str">
        <f>IF(AND(ISNUMBER(SEARCH(" - ",TRIM('MSR RAW'!C776))),RIGHT(TRIM('MSR RAW'!C776),6)="Total:"),LEFT(TRIM('MSR RAW'!C776),SEARCH(" - ",TRIM('MSR RAW'!C776))-1),"")</f>
        <v/>
      </c>
      <c r="F776" t="str">
        <f>IF(E776="","",TRIM(MID(TRIM('MSR RAW'!C776),SEARCH(" - ",TRIM('MSR RAW'!C776))+3,LEN(TRIM('MSR RAW'!C776))-SEARCH(" - ",TRIM('MSR RAW'!C776))-9)))</f>
        <v/>
      </c>
      <c r="G776" t="str">
        <f>IF(E776="","",IFERROR(VLOOKUP(E776,'CATEGORY MAP'!$A$2:$B$20,2,FALSE()),"REVIEW"))</f>
        <v/>
      </c>
      <c r="H776" t="str">
        <f>IF(E776="","",IFERROR(VALUE(SUBSTITUTE('MSR RAW'!P776,",","")),0))</f>
        <v/>
      </c>
      <c r="I776" t="str">
        <f>IF(E776="","",IFERROR(VALUE(SUBSTITUTE('MSR RAW'!S776,",","")),0))</f>
        <v/>
      </c>
    </row>
    <row r="777" spans="1:9" ht="68.650000000000006" customHeight="1" x14ac:dyDescent="0.2">
      <c r="A777">
        <v>777</v>
      </c>
      <c r="B77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77" t="str">
        <f>IF(LEFT(TRIM('MSR RAW'!A777),11)="Department:",TRIM('MSR RAW'!A777),C776)</f>
        <v>Department: 36637 - SPECIALTY CONCESSIONS (VENDING)</v>
      </c>
      <c r="D777" t="str">
        <f>IF(LEFT(TRIM('MSR RAW'!B777),9)="Location:",TRIM(MID('MSR RAW'!B777,10,999)),D776)</f>
        <v>FB 155 - SUB ISLAND NOODLES</v>
      </c>
      <c r="E777" t="str">
        <f>IF(AND(ISNUMBER(SEARCH(" - ",TRIM('MSR RAW'!C777))),RIGHT(TRIM('MSR RAW'!C777),6)="Total:"),LEFT(TRIM('MSR RAW'!C777),SEARCH(" - ",TRIM('MSR RAW'!C777))-1),"")</f>
        <v/>
      </c>
      <c r="F777" t="str">
        <f>IF(E777="","",TRIM(MID(TRIM('MSR RAW'!C777),SEARCH(" - ",TRIM('MSR RAW'!C777))+3,LEN(TRIM('MSR RAW'!C777))-SEARCH(" - ",TRIM('MSR RAW'!C777))-9)))</f>
        <v/>
      </c>
      <c r="G777" t="str">
        <f>IF(E777="","",IFERROR(VLOOKUP(E777,'CATEGORY MAP'!$A$2:$B$20,2,FALSE()),"REVIEW"))</f>
        <v/>
      </c>
      <c r="H777" t="str">
        <f>IF(E777="","",IFERROR(VALUE(SUBSTITUTE('MSR RAW'!P777,",","")),0))</f>
        <v/>
      </c>
      <c r="I777" t="str">
        <f>IF(E777="","",IFERROR(VALUE(SUBSTITUTE('MSR RAW'!S777,",","")),0))</f>
        <v/>
      </c>
    </row>
    <row r="778" spans="1:9" ht="68.650000000000006" customHeight="1" x14ac:dyDescent="0.2">
      <c r="A778">
        <v>778</v>
      </c>
      <c r="B77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78" t="str">
        <f>IF(LEFT(TRIM('MSR RAW'!A778),11)="Department:",TRIM('MSR RAW'!A778),C777)</f>
        <v>Department: 36637 - SPECIALTY CONCESSIONS (VENDING)</v>
      </c>
      <c r="D778" t="str">
        <f>IF(LEFT(TRIM('MSR RAW'!B778),9)="Location:",TRIM(MID('MSR RAW'!B778,10,999)),D777)</f>
        <v>FB 155 - SUB ISLAND NOODLES</v>
      </c>
      <c r="E778" t="str">
        <f>IF(AND(ISNUMBER(SEARCH(" - ",TRIM('MSR RAW'!C778))),RIGHT(TRIM('MSR RAW'!C778),6)="Total:"),LEFT(TRIM('MSR RAW'!C778),SEARCH(" - ",TRIM('MSR RAW'!C778))-1),"")</f>
        <v/>
      </c>
      <c r="F778" t="str">
        <f>IF(E778="","",TRIM(MID(TRIM('MSR RAW'!C778),SEARCH(" - ",TRIM('MSR RAW'!C778))+3,LEN(TRIM('MSR RAW'!C778))-SEARCH(" - ",TRIM('MSR RAW'!C778))-9)))</f>
        <v/>
      </c>
      <c r="G778" t="str">
        <f>IF(E778="","",IFERROR(VLOOKUP(E778,'CATEGORY MAP'!$A$2:$B$20,2,FALSE()),"REVIEW"))</f>
        <v/>
      </c>
      <c r="H778" t="str">
        <f>IF(E778="","",IFERROR(VALUE(SUBSTITUTE('MSR RAW'!P778,",","")),0))</f>
        <v/>
      </c>
      <c r="I778" t="str">
        <f>IF(E778="","",IFERROR(VALUE(SUBSTITUTE('MSR RAW'!S778,",","")),0))</f>
        <v/>
      </c>
    </row>
    <row r="779" spans="1:9" ht="68.650000000000006" customHeight="1" x14ac:dyDescent="0.2">
      <c r="A779">
        <v>779</v>
      </c>
      <c r="B77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79" t="str">
        <f>IF(LEFT(TRIM('MSR RAW'!A779),11)="Department:",TRIM('MSR RAW'!A779),C778)</f>
        <v>Department: 36637 - SPECIALTY CONCESSIONS (VENDING)</v>
      </c>
      <c r="D779" t="str">
        <f>IF(LEFT(TRIM('MSR RAW'!B779),9)="Location:",TRIM(MID('MSR RAW'!B779,10,999)),D778)</f>
        <v>FB 155 - SUB ISLAND NOODLES</v>
      </c>
      <c r="E779" t="str">
        <f>IF(AND(ISNUMBER(SEARCH(" - ",TRIM('MSR RAW'!C779))),RIGHT(TRIM('MSR RAW'!C779),6)="Total:"),LEFT(TRIM('MSR RAW'!C779),SEARCH(" - ",TRIM('MSR RAW'!C779))-1),"")</f>
        <v/>
      </c>
      <c r="F779" t="str">
        <f>IF(E779="","",TRIM(MID(TRIM('MSR RAW'!C779),SEARCH(" - ",TRIM('MSR RAW'!C779))+3,LEN(TRIM('MSR RAW'!C779))-SEARCH(" - ",TRIM('MSR RAW'!C779))-9)))</f>
        <v/>
      </c>
      <c r="G779" t="str">
        <f>IF(E779="","",IFERROR(VLOOKUP(E779,'CATEGORY MAP'!$A$2:$B$20,2,FALSE()),"REVIEW"))</f>
        <v/>
      </c>
      <c r="H779" t="str">
        <f>IF(E779="","",IFERROR(VALUE(SUBSTITUTE('MSR RAW'!P779,",","")),0))</f>
        <v/>
      </c>
      <c r="I779" t="str">
        <f>IF(E779="","",IFERROR(VALUE(SUBSTITUTE('MSR RAW'!S779,",","")),0))</f>
        <v/>
      </c>
    </row>
    <row r="780" spans="1:9" ht="68.650000000000006" customHeight="1" x14ac:dyDescent="0.2">
      <c r="A780">
        <v>780</v>
      </c>
      <c r="B78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80" t="str">
        <f>IF(LEFT(TRIM('MSR RAW'!A780),11)="Department:",TRIM('MSR RAW'!A780),C779)</f>
        <v>Department: 36637 - SPECIALTY CONCESSIONS (VENDING)</v>
      </c>
      <c r="D780" t="str">
        <f>IF(LEFT(TRIM('MSR RAW'!B780),9)="Location:",TRIM(MID('MSR RAW'!B780,10,999)),D779)</f>
        <v>FB 155 - SUB ISLAND NOODLES</v>
      </c>
      <c r="E780" t="str">
        <f>IF(AND(ISNUMBER(SEARCH(" - ",TRIM('MSR RAW'!C780))),RIGHT(TRIM('MSR RAW'!C780),6)="Total:"),LEFT(TRIM('MSR RAW'!C780),SEARCH(" - ",TRIM('MSR RAW'!C780))-1),"")</f>
        <v/>
      </c>
      <c r="F780" t="str">
        <f>IF(E780="","",TRIM(MID(TRIM('MSR RAW'!C780),SEARCH(" - ",TRIM('MSR RAW'!C780))+3,LEN(TRIM('MSR RAW'!C780))-SEARCH(" - ",TRIM('MSR RAW'!C780))-9)))</f>
        <v/>
      </c>
      <c r="G780" t="str">
        <f>IF(E780="","",IFERROR(VLOOKUP(E780,'CATEGORY MAP'!$A$2:$B$20,2,FALSE()),"REVIEW"))</f>
        <v/>
      </c>
      <c r="H780" t="str">
        <f>IF(E780="","",IFERROR(VALUE(SUBSTITUTE('MSR RAW'!P780,",","")),0))</f>
        <v/>
      </c>
      <c r="I780" t="str">
        <f>IF(E780="","",IFERROR(VALUE(SUBSTITUTE('MSR RAW'!S780,",","")),0))</f>
        <v/>
      </c>
    </row>
    <row r="781" spans="1:9" ht="68.650000000000006" customHeight="1" x14ac:dyDescent="0.2">
      <c r="A781">
        <v>781</v>
      </c>
      <c r="B78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81" t="str">
        <f>IF(LEFT(TRIM('MSR RAW'!A781),11)="Department:",TRIM('MSR RAW'!A781),C780)</f>
        <v>Department: 36637 - SPECIALTY CONCESSIONS (VENDING)</v>
      </c>
      <c r="D781" t="str">
        <f>IF(LEFT(TRIM('MSR RAW'!B781),9)="Location:",TRIM(MID('MSR RAW'!B781,10,999)),D780)</f>
        <v>FB 155 - SUB ISLAND NOODLES</v>
      </c>
      <c r="E781" t="str">
        <f>IF(AND(ISNUMBER(SEARCH(" - ",TRIM('MSR RAW'!C781))),RIGHT(TRIM('MSR RAW'!C781),6)="Total:"),LEFT(TRIM('MSR RAW'!C781),SEARCH(" - ",TRIM('MSR RAW'!C781))-1),"")</f>
        <v/>
      </c>
      <c r="F781" t="str">
        <f>IF(E781="","",TRIM(MID(TRIM('MSR RAW'!C781),SEARCH(" - ",TRIM('MSR RAW'!C781))+3,LEN(TRIM('MSR RAW'!C781))-SEARCH(" - ",TRIM('MSR RAW'!C781))-9)))</f>
        <v/>
      </c>
      <c r="G781" t="str">
        <f>IF(E781="","",IFERROR(VLOOKUP(E781,'CATEGORY MAP'!$A$2:$B$20,2,FALSE()),"REVIEW"))</f>
        <v/>
      </c>
      <c r="H781" t="str">
        <f>IF(E781="","",IFERROR(VALUE(SUBSTITUTE('MSR RAW'!P781,",","")),0))</f>
        <v/>
      </c>
      <c r="I781" t="str">
        <f>IF(E781="","",IFERROR(VALUE(SUBSTITUTE('MSR RAW'!S781,",","")),0))</f>
        <v/>
      </c>
    </row>
    <row r="782" spans="1:9" ht="68.650000000000006" customHeight="1" x14ac:dyDescent="0.2">
      <c r="A782">
        <v>782</v>
      </c>
      <c r="B78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82" t="str">
        <f>IF(LEFT(TRIM('MSR RAW'!A782),11)="Department:",TRIM('MSR RAW'!A782),C781)</f>
        <v>Department: 36637 - SPECIALTY CONCESSIONS (VENDING)</v>
      </c>
      <c r="D782" t="str">
        <f>IF(LEFT(TRIM('MSR RAW'!B782),9)="Location:",TRIM(MID('MSR RAW'!B782,10,999)),D781)</f>
        <v>FB 155 - SUB ISLAND NOODLES</v>
      </c>
      <c r="E782" t="str">
        <f>IF(AND(ISNUMBER(SEARCH(" - ",TRIM('MSR RAW'!C782))),RIGHT(TRIM('MSR RAW'!C782),6)="Total:"),LEFT(TRIM('MSR RAW'!C782),SEARCH(" - ",TRIM('MSR RAW'!C782))-1),"")</f>
        <v/>
      </c>
      <c r="F782" t="str">
        <f>IF(E782="","",TRIM(MID(TRIM('MSR RAW'!C782),SEARCH(" - ",TRIM('MSR RAW'!C782))+3,LEN(TRIM('MSR RAW'!C782))-SEARCH(" - ",TRIM('MSR RAW'!C782))-9)))</f>
        <v/>
      </c>
      <c r="G782" t="str">
        <f>IF(E782="","",IFERROR(VLOOKUP(E782,'CATEGORY MAP'!$A$2:$B$20,2,FALSE()),"REVIEW"))</f>
        <v/>
      </c>
      <c r="H782" t="str">
        <f>IF(E782="","",IFERROR(VALUE(SUBSTITUTE('MSR RAW'!P782,",","")),0))</f>
        <v/>
      </c>
      <c r="I782" t="str">
        <f>IF(E782="","",IFERROR(VALUE(SUBSTITUTE('MSR RAW'!S782,",","")),0))</f>
        <v/>
      </c>
    </row>
    <row r="783" spans="1:9" ht="68.650000000000006" customHeight="1" x14ac:dyDescent="0.2">
      <c r="A783">
        <v>783</v>
      </c>
      <c r="B78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83" t="str">
        <f>IF(LEFT(TRIM('MSR RAW'!A783),11)="Department:",TRIM('MSR RAW'!A783),C782)</f>
        <v>Department: 36637 - SPECIALTY CONCESSIONS (VENDING)</v>
      </c>
      <c r="D783" t="str">
        <f>IF(LEFT(TRIM('MSR RAW'!B783),9)="Location:",TRIM(MID('MSR RAW'!B783,10,999)),D782)</f>
        <v>FB 155 - SUB ISLAND NOODLES</v>
      </c>
      <c r="E783" t="str">
        <f>IF(AND(ISNUMBER(SEARCH(" - ",TRIM('MSR RAW'!C783))),RIGHT(TRIM('MSR RAW'!C783),6)="Total:"),LEFT(TRIM('MSR RAW'!C783),SEARCH(" - ",TRIM('MSR RAW'!C783))-1),"")</f>
        <v/>
      </c>
      <c r="F783" t="str">
        <f>IF(E783="","",TRIM(MID(TRIM('MSR RAW'!C783),SEARCH(" - ",TRIM('MSR RAW'!C783))+3,LEN(TRIM('MSR RAW'!C783))-SEARCH(" - ",TRIM('MSR RAW'!C783))-9)))</f>
        <v/>
      </c>
      <c r="G783" t="str">
        <f>IF(E783="","",IFERROR(VLOOKUP(E783,'CATEGORY MAP'!$A$2:$B$20,2,FALSE()),"REVIEW"))</f>
        <v/>
      </c>
      <c r="H783" t="str">
        <f>IF(E783="","",IFERROR(VALUE(SUBSTITUTE('MSR RAW'!P783,",","")),0))</f>
        <v/>
      </c>
      <c r="I783" t="str">
        <f>IF(E783="","",IFERROR(VALUE(SUBSTITUTE('MSR RAW'!S783,",","")),0))</f>
        <v/>
      </c>
    </row>
    <row r="784" spans="1:9" ht="68.650000000000006" customHeight="1" x14ac:dyDescent="0.2">
      <c r="A784">
        <v>784</v>
      </c>
      <c r="B78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84" t="str">
        <f>IF(LEFT(TRIM('MSR RAW'!A784),11)="Department:",TRIM('MSR RAW'!A784),C783)</f>
        <v>Department: 36637 - SPECIALTY CONCESSIONS (VENDING)</v>
      </c>
      <c r="D784" t="str">
        <f>IF(LEFT(TRIM('MSR RAW'!B784),9)="Location:",TRIM(MID('MSR RAW'!B784,10,999)),D783)</f>
        <v>FB 155 - SUB ISLAND NOODLES</v>
      </c>
      <c r="E784" t="str">
        <f>IF(AND(ISNUMBER(SEARCH(" - ",TRIM('MSR RAW'!C784))),RIGHT(TRIM('MSR RAW'!C784),6)="Total:"),LEFT(TRIM('MSR RAW'!C784),SEARCH(" - ",TRIM('MSR RAW'!C784))-1),"")</f>
        <v/>
      </c>
      <c r="F784" t="str">
        <f>IF(E784="","",TRIM(MID(TRIM('MSR RAW'!C784),SEARCH(" - ",TRIM('MSR RAW'!C784))+3,LEN(TRIM('MSR RAW'!C784))-SEARCH(" - ",TRIM('MSR RAW'!C784))-9)))</f>
        <v/>
      </c>
      <c r="G784" t="str">
        <f>IF(E784="","",IFERROR(VLOOKUP(E784,'CATEGORY MAP'!$A$2:$B$20,2,FALSE()),"REVIEW"))</f>
        <v/>
      </c>
      <c r="H784" t="str">
        <f>IF(E784="","",IFERROR(VALUE(SUBSTITUTE('MSR RAW'!P784,",","")),0))</f>
        <v/>
      </c>
      <c r="I784" t="str">
        <f>IF(E784="","",IFERROR(VALUE(SUBSTITUTE('MSR RAW'!S784,",","")),0))</f>
        <v/>
      </c>
    </row>
    <row r="785" spans="1:9" ht="68.650000000000006" customHeight="1" x14ac:dyDescent="0.2">
      <c r="A785">
        <v>785</v>
      </c>
      <c r="B78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85" t="str">
        <f>IF(LEFT(TRIM('MSR RAW'!A785),11)="Department:",TRIM('MSR RAW'!A785),C784)</f>
        <v>Department: 36637 - SPECIALTY CONCESSIONS (VENDING)</v>
      </c>
      <c r="D785" t="str">
        <f>IF(LEFT(TRIM('MSR RAW'!B785),9)="Location:",TRIM(MID('MSR RAW'!B785,10,999)),D784)</f>
        <v>FB 155 - SUB ISLAND NOODLES</v>
      </c>
      <c r="E785" t="str">
        <f>IF(AND(ISNUMBER(SEARCH(" - ",TRIM('MSR RAW'!C785))),RIGHT(TRIM('MSR RAW'!C785),6)="Total:"),LEFT(TRIM('MSR RAW'!C785),SEARCH(" - ",TRIM('MSR RAW'!C785))-1),"")</f>
        <v/>
      </c>
      <c r="F785" t="str">
        <f>IF(E785="","",TRIM(MID(TRIM('MSR RAW'!C785),SEARCH(" - ",TRIM('MSR RAW'!C785))+3,LEN(TRIM('MSR RAW'!C785))-SEARCH(" - ",TRIM('MSR RAW'!C785))-9)))</f>
        <v/>
      </c>
      <c r="G785" t="str">
        <f>IF(E785="","",IFERROR(VLOOKUP(E785,'CATEGORY MAP'!$A$2:$B$20,2,FALSE()),"REVIEW"))</f>
        <v/>
      </c>
      <c r="H785" t="str">
        <f>IF(E785="","",IFERROR(VALUE(SUBSTITUTE('MSR RAW'!P785,",","")),0))</f>
        <v/>
      </c>
      <c r="I785" t="str">
        <f>IF(E785="","",IFERROR(VALUE(SUBSTITUTE('MSR RAW'!S785,",","")),0))</f>
        <v/>
      </c>
    </row>
    <row r="786" spans="1:9" ht="68.650000000000006" customHeight="1" x14ac:dyDescent="0.2">
      <c r="A786">
        <v>786</v>
      </c>
      <c r="B78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86" t="str">
        <f>IF(LEFT(TRIM('MSR RAW'!A786),11)="Department:",TRIM('MSR RAW'!A786),C785)</f>
        <v>Department: 36637 - SPECIALTY CONCESSIONS (VENDING)</v>
      </c>
      <c r="D786" t="str">
        <f>IF(LEFT(TRIM('MSR RAW'!B786),9)="Location:",TRIM(MID('MSR RAW'!B786,10,999)),D785)</f>
        <v>FB 155 - SUB ISLAND NOODLES</v>
      </c>
      <c r="E786" t="str">
        <f>IF(AND(ISNUMBER(SEARCH(" - ",TRIM('MSR RAW'!C786))),RIGHT(TRIM('MSR RAW'!C786),6)="Total:"),LEFT(TRIM('MSR RAW'!C786),SEARCH(" - ",TRIM('MSR RAW'!C786))-1),"")</f>
        <v/>
      </c>
      <c r="F786" t="str">
        <f>IF(E786="","",TRIM(MID(TRIM('MSR RAW'!C786),SEARCH(" - ",TRIM('MSR RAW'!C786))+3,LEN(TRIM('MSR RAW'!C786))-SEARCH(" - ",TRIM('MSR RAW'!C786))-9)))</f>
        <v/>
      </c>
      <c r="G786" t="str">
        <f>IF(E786="","",IFERROR(VLOOKUP(E786,'CATEGORY MAP'!$A$2:$B$20,2,FALSE()),"REVIEW"))</f>
        <v/>
      </c>
      <c r="H786" t="str">
        <f>IF(E786="","",IFERROR(VALUE(SUBSTITUTE('MSR RAW'!P786,",","")),0))</f>
        <v/>
      </c>
      <c r="I786" t="str">
        <f>IF(E786="","",IFERROR(VALUE(SUBSTITUTE('MSR RAW'!S786,",","")),0))</f>
        <v/>
      </c>
    </row>
    <row r="787" spans="1:9" ht="68.650000000000006" customHeight="1" x14ac:dyDescent="0.2">
      <c r="A787">
        <v>787</v>
      </c>
      <c r="B78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87" t="str">
        <f>IF(LEFT(TRIM('MSR RAW'!A787),11)="Department:",TRIM('MSR RAW'!A787),C786)</f>
        <v>Department: 36637 - SPECIALTY CONCESSIONS (VENDING)</v>
      </c>
      <c r="D787" t="str">
        <f>IF(LEFT(TRIM('MSR RAW'!B787),9)="Location:",TRIM(MID('MSR RAW'!B787,10,999)),D786)</f>
        <v>FB 155 - SUB ISLAND NOODLES</v>
      </c>
      <c r="E787" t="str">
        <f>IF(AND(ISNUMBER(SEARCH(" - ",TRIM('MSR RAW'!C787))),RIGHT(TRIM('MSR RAW'!C787),6)="Total:"),LEFT(TRIM('MSR RAW'!C787),SEARCH(" - ",TRIM('MSR RAW'!C787))-1),"")</f>
        <v/>
      </c>
      <c r="F787" t="str">
        <f>IF(E787="","",TRIM(MID(TRIM('MSR RAW'!C787),SEARCH(" - ",TRIM('MSR RAW'!C787))+3,LEN(TRIM('MSR RAW'!C787))-SEARCH(" - ",TRIM('MSR RAW'!C787))-9)))</f>
        <v/>
      </c>
      <c r="G787" t="str">
        <f>IF(E787="","",IFERROR(VLOOKUP(E787,'CATEGORY MAP'!$A$2:$B$20,2,FALSE()),"REVIEW"))</f>
        <v/>
      </c>
      <c r="H787" t="str">
        <f>IF(E787="","",IFERROR(VALUE(SUBSTITUTE('MSR RAW'!P787,",","")),0))</f>
        <v/>
      </c>
      <c r="I787" t="str">
        <f>IF(E787="","",IFERROR(VALUE(SUBSTITUTE('MSR RAW'!S787,",","")),0))</f>
        <v/>
      </c>
    </row>
    <row r="788" spans="1:9" ht="68.650000000000006" customHeight="1" x14ac:dyDescent="0.2">
      <c r="A788">
        <v>788</v>
      </c>
      <c r="B78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88" t="str">
        <f>IF(LEFT(TRIM('MSR RAW'!A788),11)="Department:",TRIM('MSR RAW'!A788),C787)</f>
        <v>Department: 36637 - SPECIALTY CONCESSIONS (VENDING)</v>
      </c>
      <c r="D788" t="str">
        <f>IF(LEFT(TRIM('MSR RAW'!B788),9)="Location:",TRIM(MID('MSR RAW'!B788,10,999)),D787)</f>
        <v>FB 155 - SUB ISLAND NOODLES</v>
      </c>
      <c r="E788" t="str">
        <f>IF(AND(ISNUMBER(SEARCH(" - ",TRIM('MSR RAW'!C788))),RIGHT(TRIM('MSR RAW'!C788),6)="Total:"),LEFT(TRIM('MSR RAW'!C788),SEARCH(" - ",TRIM('MSR RAW'!C788))-1),"")</f>
        <v/>
      </c>
      <c r="F788" t="str">
        <f>IF(E788="","",TRIM(MID(TRIM('MSR RAW'!C788),SEARCH(" - ",TRIM('MSR RAW'!C788))+3,LEN(TRIM('MSR RAW'!C788))-SEARCH(" - ",TRIM('MSR RAW'!C788))-9)))</f>
        <v/>
      </c>
      <c r="G788" t="str">
        <f>IF(E788="","",IFERROR(VLOOKUP(E788,'CATEGORY MAP'!$A$2:$B$20,2,FALSE()),"REVIEW"))</f>
        <v/>
      </c>
      <c r="H788" t="str">
        <f>IF(E788="","",IFERROR(VALUE(SUBSTITUTE('MSR RAW'!P788,",","")),0))</f>
        <v/>
      </c>
      <c r="I788" t="str">
        <f>IF(E788="","",IFERROR(VALUE(SUBSTITUTE('MSR RAW'!S788,",","")),0))</f>
        <v/>
      </c>
    </row>
    <row r="789" spans="1:9" ht="68.650000000000006" customHeight="1" x14ac:dyDescent="0.2">
      <c r="A789">
        <v>789</v>
      </c>
      <c r="B78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89" t="str">
        <f>IF(LEFT(TRIM('MSR RAW'!A789),11)="Department:",TRIM('MSR RAW'!A789),C788)</f>
        <v>Department: 36637 - SPECIALTY CONCESSIONS (VENDING)</v>
      </c>
      <c r="D789" t="str">
        <f>IF(LEFT(TRIM('MSR RAW'!B789),9)="Location:",TRIM(MID('MSR RAW'!B789,10,999)),D788)</f>
        <v>FB 155 - SUB ISLAND NOODLES</v>
      </c>
      <c r="E789" t="str">
        <f>IF(AND(ISNUMBER(SEARCH(" - ",TRIM('MSR RAW'!C789))),RIGHT(TRIM('MSR RAW'!C789),6)="Total:"),LEFT(TRIM('MSR RAW'!C789),SEARCH(" - ",TRIM('MSR RAW'!C789))-1),"")</f>
        <v/>
      </c>
      <c r="F789" t="str">
        <f>IF(E789="","",TRIM(MID(TRIM('MSR RAW'!C789),SEARCH(" - ",TRIM('MSR RAW'!C789))+3,LEN(TRIM('MSR RAW'!C789))-SEARCH(" - ",TRIM('MSR RAW'!C789))-9)))</f>
        <v/>
      </c>
      <c r="G789" t="str">
        <f>IF(E789="","",IFERROR(VLOOKUP(E789,'CATEGORY MAP'!$A$2:$B$20,2,FALSE()),"REVIEW"))</f>
        <v/>
      </c>
      <c r="H789" t="str">
        <f>IF(E789="","",IFERROR(VALUE(SUBSTITUTE('MSR RAW'!P789,",","")),0))</f>
        <v/>
      </c>
      <c r="I789" t="str">
        <f>IF(E789="","",IFERROR(VALUE(SUBSTITUTE('MSR RAW'!S789,",","")),0))</f>
        <v/>
      </c>
    </row>
    <row r="790" spans="1:9" ht="68.650000000000006" customHeight="1" x14ac:dyDescent="0.2">
      <c r="A790">
        <v>790</v>
      </c>
      <c r="B79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90" t="str">
        <f>IF(LEFT(TRIM('MSR RAW'!A790),11)="Department:",TRIM('MSR RAW'!A790),C789)</f>
        <v>Department: 36637 - SPECIALTY CONCESSIONS (VENDING)</v>
      </c>
      <c r="D790" t="str">
        <f>IF(LEFT(TRIM('MSR RAW'!B790),9)="Location:",TRIM(MID('MSR RAW'!B790,10,999)),D789)</f>
        <v>FB 155 - SUB ISLAND NOODLES</v>
      </c>
      <c r="E790" t="str">
        <f>IF(AND(ISNUMBER(SEARCH(" - ",TRIM('MSR RAW'!C790))),RIGHT(TRIM('MSR RAW'!C790),6)="Total:"),LEFT(TRIM('MSR RAW'!C790),SEARCH(" - ",TRIM('MSR RAW'!C790))-1),"")</f>
        <v/>
      </c>
      <c r="F790" t="str">
        <f>IF(E790="","",TRIM(MID(TRIM('MSR RAW'!C790),SEARCH(" - ",TRIM('MSR RAW'!C790))+3,LEN(TRIM('MSR RAW'!C790))-SEARCH(" - ",TRIM('MSR RAW'!C790))-9)))</f>
        <v/>
      </c>
      <c r="G790" t="str">
        <f>IF(E790="","",IFERROR(VLOOKUP(E790,'CATEGORY MAP'!$A$2:$B$20,2,FALSE()),"REVIEW"))</f>
        <v/>
      </c>
      <c r="H790" t="str">
        <f>IF(E790="","",IFERROR(VALUE(SUBSTITUTE('MSR RAW'!P790,",","")),0))</f>
        <v/>
      </c>
      <c r="I790" t="str">
        <f>IF(E790="","",IFERROR(VALUE(SUBSTITUTE('MSR RAW'!S790,",","")),0))</f>
        <v/>
      </c>
    </row>
    <row r="791" spans="1:9" ht="68.650000000000006" customHeight="1" x14ac:dyDescent="0.2">
      <c r="A791">
        <v>791</v>
      </c>
      <c r="B79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91" t="str">
        <f>IF(LEFT(TRIM('MSR RAW'!A791),11)="Department:",TRIM('MSR RAW'!A791),C790)</f>
        <v>Department: 36637 - SPECIALTY CONCESSIONS (VENDING)</v>
      </c>
      <c r="D791" t="str">
        <f>IF(LEFT(TRIM('MSR RAW'!B791),9)="Location:",TRIM(MID('MSR RAW'!B791,10,999)),D790)</f>
        <v>FB 155 - SUB ISLAND NOODLES</v>
      </c>
      <c r="E791" t="str">
        <f>IF(AND(ISNUMBER(SEARCH(" - ",TRIM('MSR RAW'!C791))),RIGHT(TRIM('MSR RAW'!C791),6)="Total:"),LEFT(TRIM('MSR RAW'!C791),SEARCH(" - ",TRIM('MSR RAW'!C791))-1),"")</f>
        <v/>
      </c>
      <c r="F791" t="str">
        <f>IF(E791="","",TRIM(MID(TRIM('MSR RAW'!C791),SEARCH(" - ",TRIM('MSR RAW'!C791))+3,LEN(TRIM('MSR RAW'!C791))-SEARCH(" - ",TRIM('MSR RAW'!C791))-9)))</f>
        <v/>
      </c>
      <c r="G791" t="str">
        <f>IF(E791="","",IFERROR(VLOOKUP(E791,'CATEGORY MAP'!$A$2:$B$20,2,FALSE()),"REVIEW"))</f>
        <v/>
      </c>
      <c r="H791" t="str">
        <f>IF(E791="","",IFERROR(VALUE(SUBSTITUTE('MSR RAW'!P791,",","")),0))</f>
        <v/>
      </c>
      <c r="I791" t="str">
        <f>IF(E791="","",IFERROR(VALUE(SUBSTITUTE('MSR RAW'!S791,",","")),0))</f>
        <v/>
      </c>
    </row>
    <row r="792" spans="1:9" ht="68.650000000000006" customHeight="1" x14ac:dyDescent="0.2">
      <c r="A792">
        <v>792</v>
      </c>
      <c r="B79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92" t="str">
        <f>IF(LEFT(TRIM('MSR RAW'!A792),11)="Department:",TRIM('MSR RAW'!A792),C791)</f>
        <v>Department: 36637 - SPECIALTY CONCESSIONS (VENDING)</v>
      </c>
      <c r="D792" t="str">
        <f>IF(LEFT(TRIM('MSR RAW'!B792),9)="Location:",TRIM(MID('MSR RAW'!B792,10,999)),D791)</f>
        <v>FB 155 - SUB ISLAND NOODLES</v>
      </c>
      <c r="E792" t="str">
        <f>IF(AND(ISNUMBER(SEARCH(" - ",TRIM('MSR RAW'!C792))),RIGHT(TRIM('MSR RAW'!C792),6)="Total:"),LEFT(TRIM('MSR RAW'!C792),SEARCH(" - ",TRIM('MSR RAW'!C792))-1),"")</f>
        <v/>
      </c>
      <c r="F792" t="str">
        <f>IF(E792="","",TRIM(MID(TRIM('MSR RAW'!C792),SEARCH(" - ",TRIM('MSR RAW'!C792))+3,LEN(TRIM('MSR RAW'!C792))-SEARCH(" - ",TRIM('MSR RAW'!C792))-9)))</f>
        <v/>
      </c>
      <c r="G792" t="str">
        <f>IF(E792="","",IFERROR(VLOOKUP(E792,'CATEGORY MAP'!$A$2:$B$20,2,FALSE()),"REVIEW"))</f>
        <v/>
      </c>
      <c r="H792" t="str">
        <f>IF(E792="","",IFERROR(VALUE(SUBSTITUTE('MSR RAW'!P792,",","")),0))</f>
        <v/>
      </c>
      <c r="I792" t="str">
        <f>IF(E792="","",IFERROR(VALUE(SUBSTITUTE('MSR RAW'!S792,",","")),0))</f>
        <v/>
      </c>
    </row>
    <row r="793" spans="1:9" ht="68.650000000000006" customHeight="1" x14ac:dyDescent="0.2">
      <c r="A793">
        <v>793</v>
      </c>
      <c r="B79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93" t="str">
        <f>IF(LEFT(TRIM('MSR RAW'!A793),11)="Department:",TRIM('MSR RAW'!A793),C792)</f>
        <v>Department: 36637 - SPECIALTY CONCESSIONS (VENDING)</v>
      </c>
      <c r="D793" t="str">
        <f>IF(LEFT(TRIM('MSR RAW'!B793),9)="Location:",TRIM(MID('MSR RAW'!B793,10,999)),D792)</f>
        <v>FB 155 - SUB ISLAND NOODLES</v>
      </c>
      <c r="E793" t="str">
        <f>IF(AND(ISNUMBER(SEARCH(" - ",TRIM('MSR RAW'!C793))),RIGHT(TRIM('MSR RAW'!C793),6)="Total:"),LEFT(TRIM('MSR RAW'!C793),SEARCH(" - ",TRIM('MSR RAW'!C793))-1),"")</f>
        <v/>
      </c>
      <c r="F793" t="str">
        <f>IF(E793="","",TRIM(MID(TRIM('MSR RAW'!C793),SEARCH(" - ",TRIM('MSR RAW'!C793))+3,LEN(TRIM('MSR RAW'!C793))-SEARCH(" - ",TRIM('MSR RAW'!C793))-9)))</f>
        <v/>
      </c>
      <c r="G793" t="str">
        <f>IF(E793="","",IFERROR(VLOOKUP(E793,'CATEGORY MAP'!$A$2:$B$20,2,FALSE()),"REVIEW"))</f>
        <v/>
      </c>
      <c r="H793" t="str">
        <f>IF(E793="","",IFERROR(VALUE(SUBSTITUTE('MSR RAW'!P793,",","")),0))</f>
        <v/>
      </c>
      <c r="I793" t="str">
        <f>IF(E793="","",IFERROR(VALUE(SUBSTITUTE('MSR RAW'!S793,",","")),0))</f>
        <v/>
      </c>
    </row>
    <row r="794" spans="1:9" ht="68.650000000000006" customHeight="1" x14ac:dyDescent="0.2">
      <c r="A794">
        <v>794</v>
      </c>
      <c r="B79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94" t="str">
        <f>IF(LEFT(TRIM('MSR RAW'!A794),11)="Department:",TRIM('MSR RAW'!A794),C793)</f>
        <v>Department: 36637 - SPECIALTY CONCESSIONS (VENDING)</v>
      </c>
      <c r="D794" t="str">
        <f>IF(LEFT(TRIM('MSR RAW'!B794),9)="Location:",TRIM(MID('MSR RAW'!B794,10,999)),D793)</f>
        <v>FB 155 - SUB ISLAND NOODLES</v>
      </c>
      <c r="E794" t="str">
        <f>IF(AND(ISNUMBER(SEARCH(" - ",TRIM('MSR RAW'!C794))),RIGHT(TRIM('MSR RAW'!C794),6)="Total:"),LEFT(TRIM('MSR RAW'!C794),SEARCH(" - ",TRIM('MSR RAW'!C794))-1),"")</f>
        <v/>
      </c>
      <c r="F794" t="str">
        <f>IF(E794="","",TRIM(MID(TRIM('MSR RAW'!C794),SEARCH(" - ",TRIM('MSR RAW'!C794))+3,LEN(TRIM('MSR RAW'!C794))-SEARCH(" - ",TRIM('MSR RAW'!C794))-9)))</f>
        <v/>
      </c>
      <c r="G794" t="str">
        <f>IF(E794="","",IFERROR(VLOOKUP(E794,'CATEGORY MAP'!$A$2:$B$20,2,FALSE()),"REVIEW"))</f>
        <v/>
      </c>
      <c r="H794" t="str">
        <f>IF(E794="","",IFERROR(VALUE(SUBSTITUTE('MSR RAW'!P794,",","")),0))</f>
        <v/>
      </c>
      <c r="I794" t="str">
        <f>IF(E794="","",IFERROR(VALUE(SUBSTITUTE('MSR RAW'!S794,",","")),0))</f>
        <v/>
      </c>
    </row>
    <row r="795" spans="1:9" ht="68.650000000000006" customHeight="1" x14ac:dyDescent="0.2">
      <c r="A795">
        <v>795</v>
      </c>
      <c r="B79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95" t="str">
        <f>IF(LEFT(TRIM('MSR RAW'!A795),11)="Department:",TRIM('MSR RAW'!A795),C794)</f>
        <v>Department: 36637 - SPECIALTY CONCESSIONS (VENDING)</v>
      </c>
      <c r="D795" t="str">
        <f>IF(LEFT(TRIM('MSR RAW'!B795),9)="Location:",TRIM(MID('MSR RAW'!B795,10,999)),D794)</f>
        <v>FB 155 - SUB ISLAND NOODLES</v>
      </c>
      <c r="E795" t="str">
        <f>IF(AND(ISNUMBER(SEARCH(" - ",TRIM('MSR RAW'!C795))),RIGHT(TRIM('MSR RAW'!C795),6)="Total:"),LEFT(TRIM('MSR RAW'!C795),SEARCH(" - ",TRIM('MSR RAW'!C795))-1),"")</f>
        <v/>
      </c>
      <c r="F795" t="str">
        <f>IF(E795="","",TRIM(MID(TRIM('MSR RAW'!C795),SEARCH(" - ",TRIM('MSR RAW'!C795))+3,LEN(TRIM('MSR RAW'!C795))-SEARCH(" - ",TRIM('MSR RAW'!C795))-9)))</f>
        <v/>
      </c>
      <c r="G795" t="str">
        <f>IF(E795="","",IFERROR(VLOOKUP(E795,'CATEGORY MAP'!$A$2:$B$20,2,FALSE()),"REVIEW"))</f>
        <v/>
      </c>
      <c r="H795" t="str">
        <f>IF(E795="","",IFERROR(VALUE(SUBSTITUTE('MSR RAW'!P795,",","")),0))</f>
        <v/>
      </c>
      <c r="I795" t="str">
        <f>IF(E795="","",IFERROR(VALUE(SUBSTITUTE('MSR RAW'!S795,",","")),0))</f>
        <v/>
      </c>
    </row>
    <row r="796" spans="1:9" ht="68.650000000000006" customHeight="1" x14ac:dyDescent="0.2">
      <c r="A796">
        <v>796</v>
      </c>
      <c r="B79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96" t="str">
        <f>IF(LEFT(TRIM('MSR RAW'!A796),11)="Department:",TRIM('MSR RAW'!A796),C795)</f>
        <v>Department: 36637 - SPECIALTY CONCESSIONS (VENDING)</v>
      </c>
      <c r="D796" t="str">
        <f>IF(LEFT(TRIM('MSR RAW'!B796),9)="Location:",TRIM(MID('MSR RAW'!B796,10,999)),D795)</f>
        <v>FB 155 - SUB ISLAND NOODLES</v>
      </c>
      <c r="E796" t="str">
        <f>IF(AND(ISNUMBER(SEARCH(" - ",TRIM('MSR RAW'!C796))),RIGHT(TRIM('MSR RAW'!C796),6)="Total:"),LEFT(TRIM('MSR RAW'!C796),SEARCH(" - ",TRIM('MSR RAW'!C796))-1),"")</f>
        <v/>
      </c>
      <c r="F796" t="str">
        <f>IF(E796="","",TRIM(MID(TRIM('MSR RAW'!C796),SEARCH(" - ",TRIM('MSR RAW'!C796))+3,LEN(TRIM('MSR RAW'!C796))-SEARCH(" - ",TRIM('MSR RAW'!C796))-9)))</f>
        <v/>
      </c>
      <c r="G796" t="str">
        <f>IF(E796="","",IFERROR(VLOOKUP(E796,'CATEGORY MAP'!$A$2:$B$20,2,FALSE()),"REVIEW"))</f>
        <v/>
      </c>
      <c r="H796" t="str">
        <f>IF(E796="","",IFERROR(VALUE(SUBSTITUTE('MSR RAW'!P796,",","")),0))</f>
        <v/>
      </c>
      <c r="I796" t="str">
        <f>IF(E796="","",IFERROR(VALUE(SUBSTITUTE('MSR RAW'!S796,",","")),0))</f>
        <v/>
      </c>
    </row>
    <row r="797" spans="1:9" ht="68.650000000000006" customHeight="1" x14ac:dyDescent="0.2">
      <c r="A797">
        <v>797</v>
      </c>
      <c r="B79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97" t="str">
        <f>IF(LEFT(TRIM('MSR RAW'!A797),11)="Department:",TRIM('MSR RAW'!A797),C796)</f>
        <v>Department: 36637 - SPECIALTY CONCESSIONS (VENDING)</v>
      </c>
      <c r="D797" t="str">
        <f>IF(LEFT(TRIM('MSR RAW'!B797),9)="Location:",TRIM(MID('MSR RAW'!B797,10,999)),D796)</f>
        <v>FB 155 - SUB ISLAND NOODLES</v>
      </c>
      <c r="E797" t="str">
        <f>IF(AND(ISNUMBER(SEARCH(" - ",TRIM('MSR RAW'!C797))),RIGHT(TRIM('MSR RAW'!C797),6)="Total:"),LEFT(TRIM('MSR RAW'!C797),SEARCH(" - ",TRIM('MSR RAW'!C797))-1),"")</f>
        <v/>
      </c>
      <c r="F797" t="str">
        <f>IF(E797="","",TRIM(MID(TRIM('MSR RAW'!C797),SEARCH(" - ",TRIM('MSR RAW'!C797))+3,LEN(TRIM('MSR RAW'!C797))-SEARCH(" - ",TRIM('MSR RAW'!C797))-9)))</f>
        <v/>
      </c>
      <c r="G797" t="str">
        <f>IF(E797="","",IFERROR(VLOOKUP(E797,'CATEGORY MAP'!$A$2:$B$20,2,FALSE()),"REVIEW"))</f>
        <v/>
      </c>
      <c r="H797" t="str">
        <f>IF(E797="","",IFERROR(VALUE(SUBSTITUTE('MSR RAW'!P797,",","")),0))</f>
        <v/>
      </c>
      <c r="I797" t="str">
        <f>IF(E797="","",IFERROR(VALUE(SUBSTITUTE('MSR RAW'!S797,",","")),0))</f>
        <v/>
      </c>
    </row>
    <row r="798" spans="1:9" ht="68.650000000000006" customHeight="1" x14ac:dyDescent="0.2">
      <c r="A798">
        <v>798</v>
      </c>
      <c r="B79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98" t="str">
        <f>IF(LEFT(TRIM('MSR RAW'!A798),11)="Department:",TRIM('MSR RAW'!A798),C797)</f>
        <v>Department: 36637 - SPECIALTY CONCESSIONS (VENDING)</v>
      </c>
      <c r="D798" t="str">
        <f>IF(LEFT(TRIM('MSR RAW'!B798),9)="Location:",TRIM(MID('MSR RAW'!B798,10,999)),D797)</f>
        <v>FB 155 - SUB ISLAND NOODLES</v>
      </c>
      <c r="E798" t="str">
        <f>IF(AND(ISNUMBER(SEARCH(" - ",TRIM('MSR RAW'!C798))),RIGHT(TRIM('MSR RAW'!C798),6)="Total:"),LEFT(TRIM('MSR RAW'!C798),SEARCH(" - ",TRIM('MSR RAW'!C798))-1),"")</f>
        <v/>
      </c>
      <c r="F798" t="str">
        <f>IF(E798="","",TRIM(MID(TRIM('MSR RAW'!C798),SEARCH(" - ",TRIM('MSR RAW'!C798))+3,LEN(TRIM('MSR RAW'!C798))-SEARCH(" - ",TRIM('MSR RAW'!C798))-9)))</f>
        <v/>
      </c>
      <c r="G798" t="str">
        <f>IF(E798="","",IFERROR(VLOOKUP(E798,'CATEGORY MAP'!$A$2:$B$20,2,FALSE()),"REVIEW"))</f>
        <v/>
      </c>
      <c r="H798" t="str">
        <f>IF(E798="","",IFERROR(VALUE(SUBSTITUTE('MSR RAW'!P798,",","")),0))</f>
        <v/>
      </c>
      <c r="I798" t="str">
        <f>IF(E798="","",IFERROR(VALUE(SUBSTITUTE('MSR RAW'!S798,",","")),0))</f>
        <v/>
      </c>
    </row>
    <row r="799" spans="1:9" ht="68.650000000000006" customHeight="1" x14ac:dyDescent="0.2">
      <c r="A799">
        <v>799</v>
      </c>
      <c r="B79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99" t="str">
        <f>IF(LEFT(TRIM('MSR RAW'!A799),11)="Department:",TRIM('MSR RAW'!A799),C798)</f>
        <v>Department: 36637 - SPECIALTY CONCESSIONS (VENDING)</v>
      </c>
      <c r="D799" t="str">
        <f>IF(LEFT(TRIM('MSR RAW'!B799),9)="Location:",TRIM(MID('MSR RAW'!B799,10,999)),D798)</f>
        <v>FB 155 - SUB ISLAND NOODLES</v>
      </c>
      <c r="E799" t="str">
        <f>IF(AND(ISNUMBER(SEARCH(" - ",TRIM('MSR RAW'!C799))),RIGHT(TRIM('MSR RAW'!C799),6)="Total:"),LEFT(TRIM('MSR RAW'!C799),SEARCH(" - ",TRIM('MSR RAW'!C799))-1),"")</f>
        <v/>
      </c>
      <c r="F799" t="str">
        <f>IF(E799="","",TRIM(MID(TRIM('MSR RAW'!C799),SEARCH(" - ",TRIM('MSR RAW'!C799))+3,LEN(TRIM('MSR RAW'!C799))-SEARCH(" - ",TRIM('MSR RAW'!C799))-9)))</f>
        <v/>
      </c>
      <c r="G799" t="str">
        <f>IF(E799="","",IFERROR(VLOOKUP(E799,'CATEGORY MAP'!$A$2:$B$20,2,FALSE()),"REVIEW"))</f>
        <v/>
      </c>
      <c r="H799" t="str">
        <f>IF(E799="","",IFERROR(VALUE(SUBSTITUTE('MSR RAW'!P799,",","")),0))</f>
        <v/>
      </c>
      <c r="I799" t="str">
        <f>IF(E799="","",IFERROR(VALUE(SUBSTITUTE('MSR RAW'!S799,",","")),0))</f>
        <v/>
      </c>
    </row>
    <row r="800" spans="1:9" ht="68.650000000000006" customHeight="1" x14ac:dyDescent="0.2">
      <c r="A800">
        <v>800</v>
      </c>
      <c r="B80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00" t="str">
        <f>IF(LEFT(TRIM('MSR RAW'!A800),11)="Department:",TRIM('MSR RAW'!A800),C799)</f>
        <v>Department: 36637 - SPECIALTY CONCESSIONS (VENDING)</v>
      </c>
      <c r="D800" t="str">
        <f>IF(LEFT(TRIM('MSR RAW'!B800),9)="Location:",TRIM(MID('MSR RAW'!B800,10,999)),D799)</f>
        <v>FB 155 - SUB ISLAND NOODLES</v>
      </c>
      <c r="E800" t="str">
        <f>IF(AND(ISNUMBER(SEARCH(" - ",TRIM('MSR RAW'!C800))),RIGHT(TRIM('MSR RAW'!C800),6)="Total:"),LEFT(TRIM('MSR RAW'!C800),SEARCH(" - ",TRIM('MSR RAW'!C800))-1),"")</f>
        <v/>
      </c>
      <c r="F800" t="str">
        <f>IF(E800="","",TRIM(MID(TRIM('MSR RAW'!C800),SEARCH(" - ",TRIM('MSR RAW'!C800))+3,LEN(TRIM('MSR RAW'!C800))-SEARCH(" - ",TRIM('MSR RAW'!C800))-9)))</f>
        <v/>
      </c>
      <c r="G800" t="str">
        <f>IF(E800="","",IFERROR(VLOOKUP(E800,'CATEGORY MAP'!$A$2:$B$20,2,FALSE()),"REVIEW"))</f>
        <v/>
      </c>
      <c r="H800" t="str">
        <f>IF(E800="","",IFERROR(VALUE(SUBSTITUTE('MSR RAW'!P800,",","")),0))</f>
        <v/>
      </c>
      <c r="I800" t="str">
        <f>IF(E800="","",IFERROR(VALUE(SUBSTITUTE('MSR RAW'!S800,",","")),0))</f>
        <v/>
      </c>
    </row>
    <row r="801" spans="1:9" ht="68.650000000000006" customHeight="1" x14ac:dyDescent="0.2">
      <c r="A801">
        <v>801</v>
      </c>
      <c r="B80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01" t="str">
        <f>IF(LEFT(TRIM('MSR RAW'!A801),11)="Department:",TRIM('MSR RAW'!A801),C800)</f>
        <v>Department: 36637 - SPECIALTY CONCESSIONS (VENDING)</v>
      </c>
      <c r="D801" t="str">
        <f>IF(LEFT(TRIM('MSR RAW'!B801),9)="Location:",TRIM(MID('MSR RAW'!B801,10,999)),D800)</f>
        <v>FB 155 - SUB ISLAND NOODLES</v>
      </c>
      <c r="E801" t="str">
        <f>IF(AND(ISNUMBER(SEARCH(" - ",TRIM('MSR RAW'!C801))),RIGHT(TRIM('MSR RAW'!C801),6)="Total:"),LEFT(TRIM('MSR RAW'!C801),SEARCH(" - ",TRIM('MSR RAW'!C801))-1),"")</f>
        <v/>
      </c>
      <c r="F801" t="str">
        <f>IF(E801="","",TRIM(MID(TRIM('MSR RAW'!C801),SEARCH(" - ",TRIM('MSR RAW'!C801))+3,LEN(TRIM('MSR RAW'!C801))-SEARCH(" - ",TRIM('MSR RAW'!C801))-9)))</f>
        <v/>
      </c>
      <c r="G801" t="str">
        <f>IF(E801="","",IFERROR(VLOOKUP(E801,'CATEGORY MAP'!$A$2:$B$20,2,FALSE()),"REVIEW"))</f>
        <v/>
      </c>
      <c r="H801" t="str">
        <f>IF(E801="","",IFERROR(VALUE(SUBSTITUTE('MSR RAW'!P801,",","")),0))</f>
        <v/>
      </c>
      <c r="I801" t="str">
        <f>IF(E801="","",IFERROR(VALUE(SUBSTITUTE('MSR RAW'!S801,",","")),0))</f>
        <v/>
      </c>
    </row>
    <row r="802" spans="1:9" ht="68.650000000000006" customHeight="1" x14ac:dyDescent="0.2">
      <c r="A802">
        <v>802</v>
      </c>
      <c r="B80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02" t="str">
        <f>IF(LEFT(TRIM('MSR RAW'!A802),11)="Department:",TRIM('MSR RAW'!A802),C801)</f>
        <v>Department: 36637 - SPECIALTY CONCESSIONS (VENDING)</v>
      </c>
      <c r="D802" t="str">
        <f>IF(LEFT(TRIM('MSR RAW'!B802),9)="Location:",TRIM(MID('MSR RAW'!B802,10,999)),D801)</f>
        <v>FB 155 - SUB ISLAND NOODLES</v>
      </c>
      <c r="E802" t="str">
        <f>IF(AND(ISNUMBER(SEARCH(" - ",TRIM('MSR RAW'!C802))),RIGHT(TRIM('MSR RAW'!C802),6)="Total:"),LEFT(TRIM('MSR RAW'!C802),SEARCH(" - ",TRIM('MSR RAW'!C802))-1),"")</f>
        <v/>
      </c>
      <c r="F802" t="str">
        <f>IF(E802="","",TRIM(MID(TRIM('MSR RAW'!C802),SEARCH(" - ",TRIM('MSR RAW'!C802))+3,LEN(TRIM('MSR RAW'!C802))-SEARCH(" - ",TRIM('MSR RAW'!C802))-9)))</f>
        <v/>
      </c>
      <c r="G802" t="str">
        <f>IF(E802="","",IFERROR(VLOOKUP(E802,'CATEGORY MAP'!$A$2:$B$20,2,FALSE()),"REVIEW"))</f>
        <v/>
      </c>
      <c r="H802" t="str">
        <f>IF(E802="","",IFERROR(VALUE(SUBSTITUTE('MSR RAW'!P802,",","")),0))</f>
        <v/>
      </c>
      <c r="I802" t="str">
        <f>IF(E802="","",IFERROR(VALUE(SUBSTITUTE('MSR RAW'!S802,",","")),0))</f>
        <v/>
      </c>
    </row>
    <row r="803" spans="1:9" ht="68.650000000000006" customHeight="1" x14ac:dyDescent="0.2">
      <c r="A803">
        <v>803</v>
      </c>
      <c r="B80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03" t="str">
        <f>IF(LEFT(TRIM('MSR RAW'!A803),11)="Department:",TRIM('MSR RAW'!A803),C802)</f>
        <v>Department: 36637 - SPECIALTY CONCESSIONS (VENDING)</v>
      </c>
      <c r="D803" t="str">
        <f>IF(LEFT(TRIM('MSR RAW'!B803),9)="Location:",TRIM(MID('MSR RAW'!B803,10,999)),D802)</f>
        <v>FB 155 - SUB ISLAND NOODLES</v>
      </c>
      <c r="E803" t="str">
        <f>IF(AND(ISNUMBER(SEARCH(" - ",TRIM('MSR RAW'!C803))),RIGHT(TRIM('MSR RAW'!C803),6)="Total:"),LEFT(TRIM('MSR RAW'!C803),SEARCH(" - ",TRIM('MSR RAW'!C803))-1),"")</f>
        <v/>
      </c>
      <c r="F803" t="str">
        <f>IF(E803="","",TRIM(MID(TRIM('MSR RAW'!C803),SEARCH(" - ",TRIM('MSR RAW'!C803))+3,LEN(TRIM('MSR RAW'!C803))-SEARCH(" - ",TRIM('MSR RAW'!C803))-9)))</f>
        <v/>
      </c>
      <c r="G803" t="str">
        <f>IF(E803="","",IFERROR(VLOOKUP(E803,'CATEGORY MAP'!$A$2:$B$20,2,FALSE()),"REVIEW"))</f>
        <v/>
      </c>
      <c r="H803" t="str">
        <f>IF(E803="","",IFERROR(VALUE(SUBSTITUTE('MSR RAW'!P803,",","")),0))</f>
        <v/>
      </c>
      <c r="I803" t="str">
        <f>IF(E803="","",IFERROR(VALUE(SUBSTITUTE('MSR RAW'!S803,",","")),0))</f>
        <v/>
      </c>
    </row>
    <row r="804" spans="1:9" ht="68.650000000000006" customHeight="1" x14ac:dyDescent="0.2">
      <c r="A804">
        <v>804</v>
      </c>
      <c r="B80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04" t="str">
        <f>IF(LEFT(TRIM('MSR RAW'!A804),11)="Department:",TRIM('MSR RAW'!A804),C803)</f>
        <v>Department: 36637 - SPECIALTY CONCESSIONS (VENDING)</v>
      </c>
      <c r="D804" t="str">
        <f>IF(LEFT(TRIM('MSR RAW'!B804),9)="Location:",TRIM(MID('MSR RAW'!B804,10,999)),D803)</f>
        <v>FB 155 - SUB ISLAND NOODLES</v>
      </c>
      <c r="E804" t="str">
        <f>IF(AND(ISNUMBER(SEARCH(" - ",TRIM('MSR RAW'!C804))),RIGHT(TRIM('MSR RAW'!C804),6)="Total:"),LEFT(TRIM('MSR RAW'!C804),SEARCH(" - ",TRIM('MSR RAW'!C804))-1),"")</f>
        <v/>
      </c>
      <c r="F804" t="str">
        <f>IF(E804="","",TRIM(MID(TRIM('MSR RAW'!C804),SEARCH(" - ",TRIM('MSR RAW'!C804))+3,LEN(TRIM('MSR RAW'!C804))-SEARCH(" - ",TRIM('MSR RAW'!C804))-9)))</f>
        <v/>
      </c>
      <c r="G804" t="str">
        <f>IF(E804="","",IFERROR(VLOOKUP(E804,'CATEGORY MAP'!$A$2:$B$20,2,FALSE()),"REVIEW"))</f>
        <v/>
      </c>
      <c r="H804" t="str">
        <f>IF(E804="","",IFERROR(VALUE(SUBSTITUTE('MSR RAW'!P804,",","")),0))</f>
        <v/>
      </c>
      <c r="I804" t="str">
        <f>IF(E804="","",IFERROR(VALUE(SUBSTITUTE('MSR RAW'!S804,",","")),0))</f>
        <v/>
      </c>
    </row>
    <row r="805" spans="1:9" ht="68.650000000000006" customHeight="1" x14ac:dyDescent="0.2">
      <c r="A805">
        <v>805</v>
      </c>
      <c r="B80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05" t="str">
        <f>IF(LEFT(TRIM('MSR RAW'!A805),11)="Department:",TRIM('MSR RAW'!A805),C804)</f>
        <v>Department: 36637 - SPECIALTY CONCESSIONS (VENDING)</v>
      </c>
      <c r="D805" t="str">
        <f>IF(LEFT(TRIM('MSR RAW'!B805),9)="Location:",TRIM(MID('MSR RAW'!B805,10,999)),D804)</f>
        <v>FB 155 - SUB ISLAND NOODLES</v>
      </c>
      <c r="E805" t="str">
        <f>IF(AND(ISNUMBER(SEARCH(" - ",TRIM('MSR RAW'!C805))),RIGHT(TRIM('MSR RAW'!C805),6)="Total:"),LEFT(TRIM('MSR RAW'!C805),SEARCH(" - ",TRIM('MSR RAW'!C805))-1),"")</f>
        <v/>
      </c>
      <c r="F805" t="str">
        <f>IF(E805="","",TRIM(MID(TRIM('MSR RAW'!C805),SEARCH(" - ",TRIM('MSR RAW'!C805))+3,LEN(TRIM('MSR RAW'!C805))-SEARCH(" - ",TRIM('MSR RAW'!C805))-9)))</f>
        <v/>
      </c>
      <c r="G805" t="str">
        <f>IF(E805="","",IFERROR(VLOOKUP(E805,'CATEGORY MAP'!$A$2:$B$20,2,FALSE()),"REVIEW"))</f>
        <v/>
      </c>
      <c r="H805" t="str">
        <f>IF(E805="","",IFERROR(VALUE(SUBSTITUTE('MSR RAW'!P805,",","")),0))</f>
        <v/>
      </c>
      <c r="I805" t="str">
        <f>IF(E805="","",IFERROR(VALUE(SUBSTITUTE('MSR RAW'!S805,",","")),0))</f>
        <v/>
      </c>
    </row>
    <row r="806" spans="1:9" ht="68.650000000000006" customHeight="1" x14ac:dyDescent="0.2">
      <c r="A806">
        <v>806</v>
      </c>
      <c r="B80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06" t="str">
        <f>IF(LEFT(TRIM('MSR RAW'!A806),11)="Department:",TRIM('MSR RAW'!A806),C805)</f>
        <v>Department: 36637 - SPECIALTY CONCESSIONS (VENDING)</v>
      </c>
      <c r="D806" t="str">
        <f>IF(LEFT(TRIM('MSR RAW'!B806),9)="Location:",TRIM(MID('MSR RAW'!B806,10,999)),D805)</f>
        <v>FB 155 - SUB ISLAND NOODLES</v>
      </c>
      <c r="E806" t="str">
        <f>IF(AND(ISNUMBER(SEARCH(" - ",TRIM('MSR RAW'!C806))),RIGHT(TRIM('MSR RAW'!C806),6)="Total:"),LEFT(TRIM('MSR RAW'!C806),SEARCH(" - ",TRIM('MSR RAW'!C806))-1),"")</f>
        <v/>
      </c>
      <c r="F806" t="str">
        <f>IF(E806="","",TRIM(MID(TRIM('MSR RAW'!C806),SEARCH(" - ",TRIM('MSR RAW'!C806))+3,LEN(TRIM('MSR RAW'!C806))-SEARCH(" - ",TRIM('MSR RAW'!C806))-9)))</f>
        <v/>
      </c>
      <c r="G806" t="str">
        <f>IF(E806="","",IFERROR(VLOOKUP(E806,'CATEGORY MAP'!$A$2:$B$20,2,FALSE()),"REVIEW"))</f>
        <v/>
      </c>
      <c r="H806" t="str">
        <f>IF(E806="","",IFERROR(VALUE(SUBSTITUTE('MSR RAW'!P806,",","")),0))</f>
        <v/>
      </c>
      <c r="I806" t="str">
        <f>IF(E806="","",IFERROR(VALUE(SUBSTITUTE('MSR RAW'!S806,",","")),0))</f>
        <v/>
      </c>
    </row>
    <row r="807" spans="1:9" ht="68.650000000000006" customHeight="1" x14ac:dyDescent="0.2">
      <c r="A807">
        <v>807</v>
      </c>
      <c r="B80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07" t="str">
        <f>IF(LEFT(TRIM('MSR RAW'!A807),11)="Department:",TRIM('MSR RAW'!A807),C806)</f>
        <v>Department: 36637 - SPECIALTY CONCESSIONS (VENDING)</v>
      </c>
      <c r="D807" t="str">
        <f>IF(LEFT(TRIM('MSR RAW'!B807),9)="Location:",TRIM(MID('MSR RAW'!B807,10,999)),D806)</f>
        <v>FB 155 - SUB ISLAND NOODLES</v>
      </c>
      <c r="E807" t="str">
        <f>IF(AND(ISNUMBER(SEARCH(" - ",TRIM('MSR RAW'!C807))),RIGHT(TRIM('MSR RAW'!C807),6)="Total:"),LEFT(TRIM('MSR RAW'!C807),SEARCH(" - ",TRIM('MSR RAW'!C807))-1),"")</f>
        <v/>
      </c>
      <c r="F807" t="str">
        <f>IF(E807="","",TRIM(MID(TRIM('MSR RAW'!C807),SEARCH(" - ",TRIM('MSR RAW'!C807))+3,LEN(TRIM('MSR RAW'!C807))-SEARCH(" - ",TRIM('MSR RAW'!C807))-9)))</f>
        <v/>
      </c>
      <c r="G807" t="str">
        <f>IF(E807="","",IFERROR(VLOOKUP(E807,'CATEGORY MAP'!$A$2:$B$20,2,FALSE()),"REVIEW"))</f>
        <v/>
      </c>
      <c r="H807" t="str">
        <f>IF(E807="","",IFERROR(VALUE(SUBSTITUTE('MSR RAW'!P807,",","")),0))</f>
        <v/>
      </c>
      <c r="I807" t="str">
        <f>IF(E807="","",IFERROR(VALUE(SUBSTITUTE('MSR RAW'!S807,",","")),0))</f>
        <v/>
      </c>
    </row>
    <row r="808" spans="1:9" ht="68.650000000000006" customHeight="1" x14ac:dyDescent="0.2">
      <c r="A808">
        <v>808</v>
      </c>
      <c r="B80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08" t="str">
        <f>IF(LEFT(TRIM('MSR RAW'!A808),11)="Department:",TRIM('MSR RAW'!A808),C807)</f>
        <v>Department: 36637 - SPECIALTY CONCESSIONS (VENDING)</v>
      </c>
      <c r="D808" t="str">
        <f>IF(LEFT(TRIM('MSR RAW'!B808),9)="Location:",TRIM(MID('MSR RAW'!B808,10,999)),D807)</f>
        <v>FB 155 - SUB ISLAND NOODLES</v>
      </c>
      <c r="E808" t="str">
        <f>IF(AND(ISNUMBER(SEARCH(" - ",TRIM('MSR RAW'!C808))),RIGHT(TRIM('MSR RAW'!C808),6)="Total:"),LEFT(TRIM('MSR RAW'!C808),SEARCH(" - ",TRIM('MSR RAW'!C808))-1),"")</f>
        <v/>
      </c>
      <c r="F808" t="str">
        <f>IF(E808="","",TRIM(MID(TRIM('MSR RAW'!C808),SEARCH(" - ",TRIM('MSR RAW'!C808))+3,LEN(TRIM('MSR RAW'!C808))-SEARCH(" - ",TRIM('MSR RAW'!C808))-9)))</f>
        <v/>
      </c>
      <c r="G808" t="str">
        <f>IF(E808="","",IFERROR(VLOOKUP(E808,'CATEGORY MAP'!$A$2:$B$20,2,FALSE()),"REVIEW"))</f>
        <v/>
      </c>
      <c r="H808" t="str">
        <f>IF(E808="","",IFERROR(VALUE(SUBSTITUTE('MSR RAW'!P808,",","")),0))</f>
        <v/>
      </c>
      <c r="I808" t="str">
        <f>IF(E808="","",IFERROR(VALUE(SUBSTITUTE('MSR RAW'!S808,",","")),0))</f>
        <v/>
      </c>
    </row>
    <row r="809" spans="1:9" ht="68.650000000000006" customHeight="1" x14ac:dyDescent="0.2">
      <c r="A809">
        <v>809</v>
      </c>
      <c r="B80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09" t="str">
        <f>IF(LEFT(TRIM('MSR RAW'!A809),11)="Department:",TRIM('MSR RAW'!A809),C808)</f>
        <v>Department: 36637 - SPECIALTY CONCESSIONS (VENDING)</v>
      </c>
      <c r="D809" t="str">
        <f>IF(LEFT(TRIM('MSR RAW'!B809),9)="Location:",TRIM(MID('MSR RAW'!B809,10,999)),D808)</f>
        <v>FB 155 - SUB ISLAND NOODLES</v>
      </c>
      <c r="E809" t="str">
        <f>IF(AND(ISNUMBER(SEARCH(" - ",TRIM('MSR RAW'!C809))),RIGHT(TRIM('MSR RAW'!C809),6)="Total:"),LEFT(TRIM('MSR RAW'!C809),SEARCH(" - ",TRIM('MSR RAW'!C809))-1),"")</f>
        <v/>
      </c>
      <c r="F809" t="str">
        <f>IF(E809="","",TRIM(MID(TRIM('MSR RAW'!C809),SEARCH(" - ",TRIM('MSR RAW'!C809))+3,LEN(TRIM('MSR RAW'!C809))-SEARCH(" - ",TRIM('MSR RAW'!C809))-9)))</f>
        <v/>
      </c>
      <c r="G809" t="str">
        <f>IF(E809="","",IFERROR(VLOOKUP(E809,'CATEGORY MAP'!$A$2:$B$20,2,FALSE()),"REVIEW"))</f>
        <v/>
      </c>
      <c r="H809" t="str">
        <f>IF(E809="","",IFERROR(VALUE(SUBSTITUTE('MSR RAW'!P809,",","")),0))</f>
        <v/>
      </c>
      <c r="I809" t="str">
        <f>IF(E809="","",IFERROR(VALUE(SUBSTITUTE('MSR RAW'!S809,",","")),0))</f>
        <v/>
      </c>
    </row>
    <row r="810" spans="1:9" ht="68.650000000000006" customHeight="1" x14ac:dyDescent="0.2">
      <c r="A810">
        <v>810</v>
      </c>
      <c r="B81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10" t="str">
        <f>IF(LEFT(TRIM('MSR RAW'!A810),11)="Department:",TRIM('MSR RAW'!A810),C809)</f>
        <v>Department: 36637 - SPECIALTY CONCESSIONS (VENDING)</v>
      </c>
      <c r="D810" t="str">
        <f>IF(LEFT(TRIM('MSR RAW'!B810),9)="Location:",TRIM(MID('MSR RAW'!B810,10,999)),D809)</f>
        <v>FB 155 - SUB ISLAND NOODLES</v>
      </c>
      <c r="E810" t="str">
        <f>IF(AND(ISNUMBER(SEARCH(" - ",TRIM('MSR RAW'!C810))),RIGHT(TRIM('MSR RAW'!C810),6)="Total:"),LEFT(TRIM('MSR RAW'!C810),SEARCH(" - ",TRIM('MSR RAW'!C810))-1),"")</f>
        <v/>
      </c>
      <c r="F810" t="str">
        <f>IF(E810="","",TRIM(MID(TRIM('MSR RAW'!C810),SEARCH(" - ",TRIM('MSR RAW'!C810))+3,LEN(TRIM('MSR RAW'!C810))-SEARCH(" - ",TRIM('MSR RAW'!C810))-9)))</f>
        <v/>
      </c>
      <c r="G810" t="str">
        <f>IF(E810="","",IFERROR(VLOOKUP(E810,'CATEGORY MAP'!$A$2:$B$20,2,FALSE()),"REVIEW"))</f>
        <v/>
      </c>
      <c r="H810" t="str">
        <f>IF(E810="","",IFERROR(VALUE(SUBSTITUTE('MSR RAW'!P810,",","")),0))</f>
        <v/>
      </c>
      <c r="I810" t="str">
        <f>IF(E810="","",IFERROR(VALUE(SUBSTITUTE('MSR RAW'!S810,",","")),0))</f>
        <v/>
      </c>
    </row>
    <row r="811" spans="1:9" ht="68.650000000000006" customHeight="1" x14ac:dyDescent="0.2">
      <c r="A811">
        <v>811</v>
      </c>
      <c r="B81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11" t="str">
        <f>IF(LEFT(TRIM('MSR RAW'!A811),11)="Department:",TRIM('MSR RAW'!A811),C810)</f>
        <v>Department: 36637 - SPECIALTY CONCESSIONS (VENDING)</v>
      </c>
      <c r="D811" t="str">
        <f>IF(LEFT(TRIM('MSR RAW'!B811),9)="Location:",TRIM(MID('MSR RAW'!B811,10,999)),D810)</f>
        <v>FB 155 - SUB ISLAND NOODLES</v>
      </c>
      <c r="E811" t="str">
        <f>IF(AND(ISNUMBER(SEARCH(" - ",TRIM('MSR RAW'!C811))),RIGHT(TRIM('MSR RAW'!C811),6)="Total:"),LEFT(TRIM('MSR RAW'!C811),SEARCH(" - ",TRIM('MSR RAW'!C811))-1),"")</f>
        <v/>
      </c>
      <c r="F811" t="str">
        <f>IF(E811="","",TRIM(MID(TRIM('MSR RAW'!C811),SEARCH(" - ",TRIM('MSR RAW'!C811))+3,LEN(TRIM('MSR RAW'!C811))-SEARCH(" - ",TRIM('MSR RAW'!C811))-9)))</f>
        <v/>
      </c>
      <c r="G811" t="str">
        <f>IF(E811="","",IFERROR(VLOOKUP(E811,'CATEGORY MAP'!$A$2:$B$20,2,FALSE()),"REVIEW"))</f>
        <v/>
      </c>
      <c r="H811" t="str">
        <f>IF(E811="","",IFERROR(VALUE(SUBSTITUTE('MSR RAW'!P811,",","")),0))</f>
        <v/>
      </c>
      <c r="I811" t="str">
        <f>IF(E811="","",IFERROR(VALUE(SUBSTITUTE('MSR RAW'!S811,",","")),0))</f>
        <v/>
      </c>
    </row>
    <row r="812" spans="1:9" ht="68.650000000000006" customHeight="1" x14ac:dyDescent="0.2">
      <c r="A812">
        <v>812</v>
      </c>
      <c r="B81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12" t="str">
        <f>IF(LEFT(TRIM('MSR RAW'!A812),11)="Department:",TRIM('MSR RAW'!A812),C811)</f>
        <v>Department: 36637 - SPECIALTY CONCESSIONS (VENDING)</v>
      </c>
      <c r="D812" t="str">
        <f>IF(LEFT(TRIM('MSR RAW'!B812),9)="Location:",TRIM(MID('MSR RAW'!B812,10,999)),D811)</f>
        <v>FB 155 - SUB ISLAND NOODLES</v>
      </c>
      <c r="E812" t="str">
        <f>IF(AND(ISNUMBER(SEARCH(" - ",TRIM('MSR RAW'!C812))),RIGHT(TRIM('MSR RAW'!C812),6)="Total:"),LEFT(TRIM('MSR RAW'!C812),SEARCH(" - ",TRIM('MSR RAW'!C812))-1),"")</f>
        <v/>
      </c>
      <c r="F812" t="str">
        <f>IF(E812="","",TRIM(MID(TRIM('MSR RAW'!C812),SEARCH(" - ",TRIM('MSR RAW'!C812))+3,LEN(TRIM('MSR RAW'!C812))-SEARCH(" - ",TRIM('MSR RAW'!C812))-9)))</f>
        <v/>
      </c>
      <c r="G812" t="str">
        <f>IF(E812="","",IFERROR(VLOOKUP(E812,'CATEGORY MAP'!$A$2:$B$20,2,FALSE()),"REVIEW"))</f>
        <v/>
      </c>
      <c r="H812" t="str">
        <f>IF(E812="","",IFERROR(VALUE(SUBSTITUTE('MSR RAW'!P812,",","")),0))</f>
        <v/>
      </c>
      <c r="I812" t="str">
        <f>IF(E812="","",IFERROR(VALUE(SUBSTITUTE('MSR RAW'!S812,",","")),0))</f>
        <v/>
      </c>
    </row>
    <row r="813" spans="1:9" ht="68.650000000000006" customHeight="1" x14ac:dyDescent="0.2">
      <c r="A813">
        <v>813</v>
      </c>
      <c r="B81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13" t="str">
        <f>IF(LEFT(TRIM('MSR RAW'!A813),11)="Department:",TRIM('MSR RAW'!A813),C812)</f>
        <v>Department: 36637 - SPECIALTY CONCESSIONS (VENDING)</v>
      </c>
      <c r="D813" t="str">
        <f>IF(LEFT(TRIM('MSR RAW'!B813),9)="Location:",TRIM(MID('MSR RAW'!B813,10,999)),D812)</f>
        <v>FB 155 - SUB ISLAND NOODLES</v>
      </c>
      <c r="E813" t="str">
        <f>IF(AND(ISNUMBER(SEARCH(" - ",TRIM('MSR RAW'!C813))),RIGHT(TRIM('MSR RAW'!C813),6)="Total:"),LEFT(TRIM('MSR RAW'!C813),SEARCH(" - ",TRIM('MSR RAW'!C813))-1),"")</f>
        <v/>
      </c>
      <c r="F813" t="str">
        <f>IF(E813="","",TRIM(MID(TRIM('MSR RAW'!C813),SEARCH(" - ",TRIM('MSR RAW'!C813))+3,LEN(TRIM('MSR RAW'!C813))-SEARCH(" - ",TRIM('MSR RAW'!C813))-9)))</f>
        <v/>
      </c>
      <c r="G813" t="str">
        <f>IF(E813="","",IFERROR(VLOOKUP(E813,'CATEGORY MAP'!$A$2:$B$20,2,FALSE()),"REVIEW"))</f>
        <v/>
      </c>
      <c r="H813" t="str">
        <f>IF(E813="","",IFERROR(VALUE(SUBSTITUTE('MSR RAW'!P813,",","")),0))</f>
        <v/>
      </c>
      <c r="I813" t="str">
        <f>IF(E813="","",IFERROR(VALUE(SUBSTITUTE('MSR RAW'!S813,",","")),0))</f>
        <v/>
      </c>
    </row>
    <row r="814" spans="1:9" ht="68.650000000000006" customHeight="1" x14ac:dyDescent="0.2">
      <c r="A814">
        <v>814</v>
      </c>
      <c r="B81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14" t="str">
        <f>IF(LEFT(TRIM('MSR RAW'!A814),11)="Department:",TRIM('MSR RAW'!A814),C813)</f>
        <v>Department: 36637 - SPECIALTY CONCESSIONS (VENDING)</v>
      </c>
      <c r="D814" t="str">
        <f>IF(LEFT(TRIM('MSR RAW'!B814),9)="Location:",TRIM(MID('MSR RAW'!B814,10,999)),D813)</f>
        <v>FB 155 - SUB ISLAND NOODLES</v>
      </c>
      <c r="E814" t="str">
        <f>IF(AND(ISNUMBER(SEARCH(" - ",TRIM('MSR RAW'!C814))),RIGHT(TRIM('MSR RAW'!C814),6)="Total:"),LEFT(TRIM('MSR RAW'!C814),SEARCH(" - ",TRIM('MSR RAW'!C814))-1),"")</f>
        <v/>
      </c>
      <c r="F814" t="str">
        <f>IF(E814="","",TRIM(MID(TRIM('MSR RAW'!C814),SEARCH(" - ",TRIM('MSR RAW'!C814))+3,LEN(TRIM('MSR RAW'!C814))-SEARCH(" - ",TRIM('MSR RAW'!C814))-9)))</f>
        <v/>
      </c>
      <c r="G814" t="str">
        <f>IF(E814="","",IFERROR(VLOOKUP(E814,'CATEGORY MAP'!$A$2:$B$20,2,FALSE()),"REVIEW"))</f>
        <v/>
      </c>
      <c r="H814" t="str">
        <f>IF(E814="","",IFERROR(VALUE(SUBSTITUTE('MSR RAW'!P814,",","")),0))</f>
        <v/>
      </c>
      <c r="I814" t="str">
        <f>IF(E814="","",IFERROR(VALUE(SUBSTITUTE('MSR RAW'!S814,",","")),0))</f>
        <v/>
      </c>
    </row>
    <row r="815" spans="1:9" ht="68.650000000000006" customHeight="1" x14ac:dyDescent="0.2">
      <c r="A815">
        <v>815</v>
      </c>
      <c r="B81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15" t="str">
        <f>IF(LEFT(TRIM('MSR RAW'!A815),11)="Department:",TRIM('MSR RAW'!A815),C814)</f>
        <v>Department: 36637 - SPECIALTY CONCESSIONS (VENDING)</v>
      </c>
      <c r="D815" t="str">
        <f>IF(LEFT(TRIM('MSR RAW'!B815),9)="Location:",TRIM(MID('MSR RAW'!B815,10,999)),D814)</f>
        <v>FB 155 - SUB ISLAND NOODLES</v>
      </c>
      <c r="E815" t="str">
        <f>IF(AND(ISNUMBER(SEARCH(" - ",TRIM('MSR RAW'!C815))),RIGHT(TRIM('MSR RAW'!C815),6)="Total:"),LEFT(TRIM('MSR RAW'!C815),SEARCH(" - ",TRIM('MSR RAW'!C815))-1),"")</f>
        <v/>
      </c>
      <c r="F815" t="str">
        <f>IF(E815="","",TRIM(MID(TRIM('MSR RAW'!C815),SEARCH(" - ",TRIM('MSR RAW'!C815))+3,LEN(TRIM('MSR RAW'!C815))-SEARCH(" - ",TRIM('MSR RAW'!C815))-9)))</f>
        <v/>
      </c>
      <c r="G815" t="str">
        <f>IF(E815="","",IFERROR(VLOOKUP(E815,'CATEGORY MAP'!$A$2:$B$20,2,FALSE()),"REVIEW"))</f>
        <v/>
      </c>
      <c r="H815" t="str">
        <f>IF(E815="","",IFERROR(VALUE(SUBSTITUTE('MSR RAW'!P815,",","")),0))</f>
        <v/>
      </c>
      <c r="I815" t="str">
        <f>IF(E815="","",IFERROR(VALUE(SUBSTITUTE('MSR RAW'!S815,",","")),0))</f>
        <v/>
      </c>
    </row>
    <row r="816" spans="1:9" ht="68.650000000000006" customHeight="1" x14ac:dyDescent="0.2">
      <c r="A816">
        <v>816</v>
      </c>
      <c r="B81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16" t="str">
        <f>IF(LEFT(TRIM('MSR RAW'!A816),11)="Department:",TRIM('MSR RAW'!A816),C815)</f>
        <v>Department: 36637 - SPECIALTY CONCESSIONS (VENDING)</v>
      </c>
      <c r="D816" t="str">
        <f>IF(LEFT(TRIM('MSR RAW'!B816),9)="Location:",TRIM(MID('MSR RAW'!B816,10,999)),D815)</f>
        <v>FB 155 - SUB ISLAND NOODLES</v>
      </c>
      <c r="E816" t="str">
        <f>IF(AND(ISNUMBER(SEARCH(" - ",TRIM('MSR RAW'!C816))),RIGHT(TRIM('MSR RAW'!C816),6)="Total:"),LEFT(TRIM('MSR RAW'!C816),SEARCH(" - ",TRIM('MSR RAW'!C816))-1),"")</f>
        <v/>
      </c>
      <c r="F816" t="str">
        <f>IF(E816="","",TRIM(MID(TRIM('MSR RAW'!C816),SEARCH(" - ",TRIM('MSR RAW'!C816))+3,LEN(TRIM('MSR RAW'!C816))-SEARCH(" - ",TRIM('MSR RAW'!C816))-9)))</f>
        <v/>
      </c>
      <c r="G816" t="str">
        <f>IF(E816="","",IFERROR(VLOOKUP(E816,'CATEGORY MAP'!$A$2:$B$20,2,FALSE()),"REVIEW"))</f>
        <v/>
      </c>
      <c r="H816" t="str">
        <f>IF(E816="","",IFERROR(VALUE(SUBSTITUTE('MSR RAW'!P816,",","")),0))</f>
        <v/>
      </c>
      <c r="I816" t="str">
        <f>IF(E816="","",IFERROR(VALUE(SUBSTITUTE('MSR RAW'!S816,",","")),0))</f>
        <v/>
      </c>
    </row>
    <row r="817" spans="1:9" ht="68.650000000000006" customHeight="1" x14ac:dyDescent="0.2">
      <c r="A817">
        <v>817</v>
      </c>
      <c r="B81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17" t="str">
        <f>IF(LEFT(TRIM('MSR RAW'!A817),11)="Department:",TRIM('MSR RAW'!A817),C816)</f>
        <v>Department: 36637 - SPECIALTY CONCESSIONS (VENDING)</v>
      </c>
      <c r="D817" t="str">
        <f>IF(LEFT(TRIM('MSR RAW'!B817),9)="Location:",TRIM(MID('MSR RAW'!B817,10,999)),D816)</f>
        <v>FB 155 - SUB ISLAND NOODLES</v>
      </c>
      <c r="E817" t="str">
        <f>IF(AND(ISNUMBER(SEARCH(" - ",TRIM('MSR RAW'!C817))),RIGHT(TRIM('MSR RAW'!C817),6)="Total:"),LEFT(TRIM('MSR RAW'!C817),SEARCH(" - ",TRIM('MSR RAW'!C817))-1),"")</f>
        <v/>
      </c>
      <c r="F817" t="str">
        <f>IF(E817="","",TRIM(MID(TRIM('MSR RAW'!C817),SEARCH(" - ",TRIM('MSR RAW'!C817))+3,LEN(TRIM('MSR RAW'!C817))-SEARCH(" - ",TRIM('MSR RAW'!C817))-9)))</f>
        <v/>
      </c>
      <c r="G817" t="str">
        <f>IF(E817="","",IFERROR(VLOOKUP(E817,'CATEGORY MAP'!$A$2:$B$20,2,FALSE()),"REVIEW"))</f>
        <v/>
      </c>
      <c r="H817" t="str">
        <f>IF(E817="","",IFERROR(VALUE(SUBSTITUTE('MSR RAW'!P817,",","")),0))</f>
        <v/>
      </c>
      <c r="I817" t="str">
        <f>IF(E817="","",IFERROR(VALUE(SUBSTITUTE('MSR RAW'!S817,",","")),0))</f>
        <v/>
      </c>
    </row>
    <row r="818" spans="1:9" ht="68.650000000000006" customHeight="1" x14ac:dyDescent="0.2">
      <c r="A818">
        <v>818</v>
      </c>
      <c r="B81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18" t="str">
        <f>IF(LEFT(TRIM('MSR RAW'!A818),11)="Department:",TRIM('MSR RAW'!A818),C817)</f>
        <v>Department: 36637 - SPECIALTY CONCESSIONS (VENDING)</v>
      </c>
      <c r="D818" t="str">
        <f>IF(LEFT(TRIM('MSR RAW'!B818),9)="Location:",TRIM(MID('MSR RAW'!B818,10,999)),D817)</f>
        <v>FB 155 - SUB ISLAND NOODLES</v>
      </c>
      <c r="E818" t="str">
        <f>IF(AND(ISNUMBER(SEARCH(" - ",TRIM('MSR RAW'!C818))),RIGHT(TRIM('MSR RAW'!C818),6)="Total:"),LEFT(TRIM('MSR RAW'!C818),SEARCH(" - ",TRIM('MSR RAW'!C818))-1),"")</f>
        <v/>
      </c>
      <c r="F818" t="str">
        <f>IF(E818="","",TRIM(MID(TRIM('MSR RAW'!C818),SEARCH(" - ",TRIM('MSR RAW'!C818))+3,LEN(TRIM('MSR RAW'!C818))-SEARCH(" - ",TRIM('MSR RAW'!C818))-9)))</f>
        <v/>
      </c>
      <c r="G818" t="str">
        <f>IF(E818="","",IFERROR(VLOOKUP(E818,'CATEGORY MAP'!$A$2:$B$20,2,FALSE()),"REVIEW"))</f>
        <v/>
      </c>
      <c r="H818" t="str">
        <f>IF(E818="","",IFERROR(VALUE(SUBSTITUTE('MSR RAW'!P818,",","")),0))</f>
        <v/>
      </c>
      <c r="I818" t="str">
        <f>IF(E818="","",IFERROR(VALUE(SUBSTITUTE('MSR RAW'!S818,",","")),0))</f>
        <v/>
      </c>
    </row>
    <row r="819" spans="1:9" ht="68.650000000000006" customHeight="1" x14ac:dyDescent="0.2">
      <c r="A819">
        <v>819</v>
      </c>
      <c r="B81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19" t="str">
        <f>IF(LEFT(TRIM('MSR RAW'!A819),11)="Department:",TRIM('MSR RAW'!A819),C818)</f>
        <v>Department: 36637 - SPECIALTY CONCESSIONS (VENDING)</v>
      </c>
      <c r="D819" t="str">
        <f>IF(LEFT(TRIM('MSR RAW'!B819),9)="Location:",TRIM(MID('MSR RAW'!B819,10,999)),D818)</f>
        <v>FB 155 - SUB ISLAND NOODLES</v>
      </c>
      <c r="E819" t="str">
        <f>IF(AND(ISNUMBER(SEARCH(" - ",TRIM('MSR RAW'!C819))),RIGHT(TRIM('MSR RAW'!C819),6)="Total:"),LEFT(TRIM('MSR RAW'!C819),SEARCH(" - ",TRIM('MSR RAW'!C819))-1),"")</f>
        <v/>
      </c>
      <c r="F819" t="str">
        <f>IF(E819="","",TRIM(MID(TRIM('MSR RAW'!C819),SEARCH(" - ",TRIM('MSR RAW'!C819))+3,LEN(TRIM('MSR RAW'!C819))-SEARCH(" - ",TRIM('MSR RAW'!C819))-9)))</f>
        <v/>
      </c>
      <c r="G819" t="str">
        <f>IF(E819="","",IFERROR(VLOOKUP(E819,'CATEGORY MAP'!$A$2:$B$20,2,FALSE()),"REVIEW"))</f>
        <v/>
      </c>
      <c r="H819" t="str">
        <f>IF(E819="","",IFERROR(VALUE(SUBSTITUTE('MSR RAW'!P819,",","")),0))</f>
        <v/>
      </c>
      <c r="I819" t="str">
        <f>IF(E819="","",IFERROR(VALUE(SUBSTITUTE('MSR RAW'!S819,",","")),0))</f>
        <v/>
      </c>
    </row>
    <row r="820" spans="1:9" ht="68.650000000000006" customHeight="1" x14ac:dyDescent="0.2">
      <c r="A820">
        <v>820</v>
      </c>
      <c r="B82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20" t="str">
        <f>IF(LEFT(TRIM('MSR RAW'!A820),11)="Department:",TRIM('MSR RAW'!A820),C819)</f>
        <v>Department: 36637 - SPECIALTY CONCESSIONS (VENDING)</v>
      </c>
      <c r="D820" t="str">
        <f>IF(LEFT(TRIM('MSR RAW'!B820),9)="Location:",TRIM(MID('MSR RAW'!B820,10,999)),D819)</f>
        <v>FB 155 - SUB ISLAND NOODLES</v>
      </c>
      <c r="E820" t="str">
        <f>IF(AND(ISNUMBER(SEARCH(" - ",TRIM('MSR RAW'!C820))),RIGHT(TRIM('MSR RAW'!C820),6)="Total:"),LEFT(TRIM('MSR RAW'!C820),SEARCH(" - ",TRIM('MSR RAW'!C820))-1),"")</f>
        <v/>
      </c>
      <c r="F820" t="str">
        <f>IF(E820="","",TRIM(MID(TRIM('MSR RAW'!C820),SEARCH(" - ",TRIM('MSR RAW'!C820))+3,LEN(TRIM('MSR RAW'!C820))-SEARCH(" - ",TRIM('MSR RAW'!C820))-9)))</f>
        <v/>
      </c>
      <c r="G820" t="str">
        <f>IF(E820="","",IFERROR(VLOOKUP(E820,'CATEGORY MAP'!$A$2:$B$20,2,FALSE()),"REVIEW"))</f>
        <v/>
      </c>
      <c r="H820" t="str">
        <f>IF(E820="","",IFERROR(VALUE(SUBSTITUTE('MSR RAW'!P820,",","")),0))</f>
        <v/>
      </c>
      <c r="I820" t="str">
        <f>IF(E820="","",IFERROR(VALUE(SUBSTITUTE('MSR RAW'!S820,",","")),0))</f>
        <v/>
      </c>
    </row>
    <row r="821" spans="1:9" ht="68.650000000000006" customHeight="1" x14ac:dyDescent="0.2">
      <c r="A821">
        <v>821</v>
      </c>
      <c r="B82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21" t="str">
        <f>IF(LEFT(TRIM('MSR RAW'!A821),11)="Department:",TRIM('MSR RAW'!A821),C820)</f>
        <v>Department: 36637 - SPECIALTY CONCESSIONS (VENDING)</v>
      </c>
      <c r="D821" t="str">
        <f>IF(LEFT(TRIM('MSR RAW'!B821),9)="Location:",TRIM(MID('MSR RAW'!B821,10,999)),D820)</f>
        <v>FB 155 - SUB ISLAND NOODLES</v>
      </c>
      <c r="E821" t="str">
        <f>IF(AND(ISNUMBER(SEARCH(" - ",TRIM('MSR RAW'!C821))),RIGHT(TRIM('MSR RAW'!C821),6)="Total:"),LEFT(TRIM('MSR RAW'!C821),SEARCH(" - ",TRIM('MSR RAW'!C821))-1),"")</f>
        <v/>
      </c>
      <c r="F821" t="str">
        <f>IF(E821="","",TRIM(MID(TRIM('MSR RAW'!C821),SEARCH(" - ",TRIM('MSR RAW'!C821))+3,LEN(TRIM('MSR RAW'!C821))-SEARCH(" - ",TRIM('MSR RAW'!C821))-9)))</f>
        <v/>
      </c>
      <c r="G821" t="str">
        <f>IF(E821="","",IFERROR(VLOOKUP(E821,'CATEGORY MAP'!$A$2:$B$20,2,FALSE()),"REVIEW"))</f>
        <v/>
      </c>
      <c r="H821" t="str">
        <f>IF(E821="","",IFERROR(VALUE(SUBSTITUTE('MSR RAW'!P821,",","")),0))</f>
        <v/>
      </c>
      <c r="I821" t="str">
        <f>IF(E821="","",IFERROR(VALUE(SUBSTITUTE('MSR RAW'!S821,",","")),0))</f>
        <v/>
      </c>
    </row>
    <row r="822" spans="1:9" ht="68.650000000000006" customHeight="1" x14ac:dyDescent="0.2">
      <c r="A822">
        <v>822</v>
      </c>
      <c r="B82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22" t="str">
        <f>IF(LEFT(TRIM('MSR RAW'!A822),11)="Department:",TRIM('MSR RAW'!A822),C821)</f>
        <v>Department: 36637 - SPECIALTY CONCESSIONS (VENDING)</v>
      </c>
      <c r="D822" t="str">
        <f>IF(LEFT(TRIM('MSR RAW'!B822),9)="Location:",TRIM(MID('MSR RAW'!B822,10,999)),D821)</f>
        <v>FB 155 - SUB ISLAND NOODLES</v>
      </c>
      <c r="E822" t="str">
        <f>IF(AND(ISNUMBER(SEARCH(" - ",TRIM('MSR RAW'!C822))),RIGHT(TRIM('MSR RAW'!C822),6)="Total:"),LEFT(TRIM('MSR RAW'!C822),SEARCH(" - ",TRIM('MSR RAW'!C822))-1),"")</f>
        <v/>
      </c>
      <c r="F822" t="str">
        <f>IF(E822="","",TRIM(MID(TRIM('MSR RAW'!C822),SEARCH(" - ",TRIM('MSR RAW'!C822))+3,LEN(TRIM('MSR RAW'!C822))-SEARCH(" - ",TRIM('MSR RAW'!C822))-9)))</f>
        <v/>
      </c>
      <c r="G822" t="str">
        <f>IF(E822="","",IFERROR(VLOOKUP(E822,'CATEGORY MAP'!$A$2:$B$20,2,FALSE()),"REVIEW"))</f>
        <v/>
      </c>
      <c r="H822" t="str">
        <f>IF(E822="","",IFERROR(VALUE(SUBSTITUTE('MSR RAW'!P822,",","")),0))</f>
        <v/>
      </c>
      <c r="I822" t="str">
        <f>IF(E822="","",IFERROR(VALUE(SUBSTITUTE('MSR RAW'!S822,",","")),0))</f>
        <v/>
      </c>
    </row>
    <row r="823" spans="1:9" ht="68.650000000000006" customHeight="1" x14ac:dyDescent="0.2">
      <c r="A823">
        <v>823</v>
      </c>
      <c r="B82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23" t="str">
        <f>IF(LEFT(TRIM('MSR RAW'!A823),11)="Department:",TRIM('MSR RAW'!A823),C822)</f>
        <v>Department: 36637 - SPECIALTY CONCESSIONS (VENDING)</v>
      </c>
      <c r="D823" t="str">
        <f>IF(LEFT(TRIM('MSR RAW'!B823),9)="Location:",TRIM(MID('MSR RAW'!B823,10,999)),D822)</f>
        <v>FB 155 - SUB ISLAND NOODLES</v>
      </c>
      <c r="E823" t="str">
        <f>IF(AND(ISNUMBER(SEARCH(" - ",TRIM('MSR RAW'!C823))),RIGHT(TRIM('MSR RAW'!C823),6)="Total:"),LEFT(TRIM('MSR RAW'!C823),SEARCH(" - ",TRIM('MSR RAW'!C823))-1),"")</f>
        <v/>
      </c>
      <c r="F823" t="str">
        <f>IF(E823="","",TRIM(MID(TRIM('MSR RAW'!C823),SEARCH(" - ",TRIM('MSR RAW'!C823))+3,LEN(TRIM('MSR RAW'!C823))-SEARCH(" - ",TRIM('MSR RAW'!C823))-9)))</f>
        <v/>
      </c>
      <c r="G823" t="str">
        <f>IF(E823="","",IFERROR(VLOOKUP(E823,'CATEGORY MAP'!$A$2:$B$20,2,FALSE()),"REVIEW"))</f>
        <v/>
      </c>
      <c r="H823" t="str">
        <f>IF(E823="","",IFERROR(VALUE(SUBSTITUTE('MSR RAW'!P823,",","")),0))</f>
        <v/>
      </c>
      <c r="I823" t="str">
        <f>IF(E823="","",IFERROR(VALUE(SUBSTITUTE('MSR RAW'!S823,",","")),0))</f>
        <v/>
      </c>
    </row>
    <row r="824" spans="1:9" ht="68.650000000000006" customHeight="1" x14ac:dyDescent="0.2">
      <c r="A824">
        <v>824</v>
      </c>
      <c r="B82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24" t="str">
        <f>IF(LEFT(TRIM('MSR RAW'!A824),11)="Department:",TRIM('MSR RAW'!A824),C823)</f>
        <v>Department: 36637 - SPECIALTY CONCESSIONS (VENDING)</v>
      </c>
      <c r="D824" t="str">
        <f>IF(LEFT(TRIM('MSR RAW'!B824),9)="Location:",TRIM(MID('MSR RAW'!B824,10,999)),D823)</f>
        <v>FB 155 - SUB ISLAND NOODLES</v>
      </c>
      <c r="E824" t="str">
        <f>IF(AND(ISNUMBER(SEARCH(" - ",TRIM('MSR RAW'!C824))),RIGHT(TRIM('MSR RAW'!C824),6)="Total:"),LEFT(TRIM('MSR RAW'!C824),SEARCH(" - ",TRIM('MSR RAW'!C824))-1),"")</f>
        <v/>
      </c>
      <c r="F824" t="str">
        <f>IF(E824="","",TRIM(MID(TRIM('MSR RAW'!C824),SEARCH(" - ",TRIM('MSR RAW'!C824))+3,LEN(TRIM('MSR RAW'!C824))-SEARCH(" - ",TRIM('MSR RAW'!C824))-9)))</f>
        <v/>
      </c>
      <c r="G824" t="str">
        <f>IF(E824="","",IFERROR(VLOOKUP(E824,'CATEGORY MAP'!$A$2:$B$20,2,FALSE()),"REVIEW"))</f>
        <v/>
      </c>
      <c r="H824" t="str">
        <f>IF(E824="","",IFERROR(VALUE(SUBSTITUTE('MSR RAW'!P824,",","")),0))</f>
        <v/>
      </c>
      <c r="I824" t="str">
        <f>IF(E824="","",IFERROR(VALUE(SUBSTITUTE('MSR RAW'!S824,",","")),0))</f>
        <v/>
      </c>
    </row>
    <row r="825" spans="1:9" ht="68.650000000000006" customHeight="1" x14ac:dyDescent="0.2">
      <c r="A825">
        <v>825</v>
      </c>
      <c r="B82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25" t="str">
        <f>IF(LEFT(TRIM('MSR RAW'!A825),11)="Department:",TRIM('MSR RAW'!A825),C824)</f>
        <v>Department: 36637 - SPECIALTY CONCESSIONS (VENDING)</v>
      </c>
      <c r="D825" t="str">
        <f>IF(LEFT(TRIM('MSR RAW'!B825),9)="Location:",TRIM(MID('MSR RAW'!B825,10,999)),D824)</f>
        <v>FB 155 - SUB ISLAND NOODLES</v>
      </c>
      <c r="E825" t="str">
        <f>IF(AND(ISNUMBER(SEARCH(" - ",TRIM('MSR RAW'!C825))),RIGHT(TRIM('MSR RAW'!C825),6)="Total:"),LEFT(TRIM('MSR RAW'!C825),SEARCH(" - ",TRIM('MSR RAW'!C825))-1),"")</f>
        <v/>
      </c>
      <c r="F825" t="str">
        <f>IF(E825="","",TRIM(MID(TRIM('MSR RAW'!C825),SEARCH(" - ",TRIM('MSR RAW'!C825))+3,LEN(TRIM('MSR RAW'!C825))-SEARCH(" - ",TRIM('MSR RAW'!C825))-9)))</f>
        <v/>
      </c>
      <c r="G825" t="str">
        <f>IF(E825="","",IFERROR(VLOOKUP(E825,'CATEGORY MAP'!$A$2:$B$20,2,FALSE()),"REVIEW"))</f>
        <v/>
      </c>
      <c r="H825" t="str">
        <f>IF(E825="","",IFERROR(VALUE(SUBSTITUTE('MSR RAW'!P825,",","")),0))</f>
        <v/>
      </c>
      <c r="I825" t="str">
        <f>IF(E825="","",IFERROR(VALUE(SUBSTITUTE('MSR RAW'!S825,",","")),0))</f>
        <v/>
      </c>
    </row>
    <row r="826" spans="1:9" ht="68.650000000000006" customHeight="1" x14ac:dyDescent="0.2">
      <c r="A826">
        <v>826</v>
      </c>
      <c r="B82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26" t="str">
        <f>IF(LEFT(TRIM('MSR RAW'!A826),11)="Department:",TRIM('MSR RAW'!A826),C825)</f>
        <v>Department: 36637 - SPECIALTY CONCESSIONS (VENDING)</v>
      </c>
      <c r="D826" t="str">
        <f>IF(LEFT(TRIM('MSR RAW'!B826),9)="Location:",TRIM(MID('MSR RAW'!B826,10,999)),D825)</f>
        <v>FB 155 - SUB ISLAND NOODLES</v>
      </c>
      <c r="E826" t="str">
        <f>IF(AND(ISNUMBER(SEARCH(" - ",TRIM('MSR RAW'!C826))),RIGHT(TRIM('MSR RAW'!C826),6)="Total:"),LEFT(TRIM('MSR RAW'!C826),SEARCH(" - ",TRIM('MSR RAW'!C826))-1),"")</f>
        <v/>
      </c>
      <c r="F826" t="str">
        <f>IF(E826="","",TRIM(MID(TRIM('MSR RAW'!C826),SEARCH(" - ",TRIM('MSR RAW'!C826))+3,LEN(TRIM('MSR RAW'!C826))-SEARCH(" - ",TRIM('MSR RAW'!C826))-9)))</f>
        <v/>
      </c>
      <c r="G826" t="str">
        <f>IF(E826="","",IFERROR(VLOOKUP(E826,'CATEGORY MAP'!$A$2:$B$20,2,FALSE()),"REVIEW"))</f>
        <v/>
      </c>
      <c r="H826" t="str">
        <f>IF(E826="","",IFERROR(VALUE(SUBSTITUTE('MSR RAW'!P826,",","")),0))</f>
        <v/>
      </c>
      <c r="I826" t="str">
        <f>IF(E826="","",IFERROR(VALUE(SUBSTITUTE('MSR RAW'!S826,",","")),0))</f>
        <v/>
      </c>
    </row>
    <row r="827" spans="1:9" ht="68.650000000000006" customHeight="1" x14ac:dyDescent="0.2">
      <c r="A827">
        <v>827</v>
      </c>
      <c r="B82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27" t="str">
        <f>IF(LEFT(TRIM('MSR RAW'!A827),11)="Department:",TRIM('MSR RAW'!A827),C826)</f>
        <v>Department: 36637 - SPECIALTY CONCESSIONS (VENDING)</v>
      </c>
      <c r="D827" t="str">
        <f>IF(LEFT(TRIM('MSR RAW'!B827),9)="Location:",TRIM(MID('MSR RAW'!B827,10,999)),D826)</f>
        <v>FB 155 - SUB ISLAND NOODLES</v>
      </c>
      <c r="E827" t="str">
        <f>IF(AND(ISNUMBER(SEARCH(" - ",TRIM('MSR RAW'!C827))),RIGHT(TRIM('MSR RAW'!C827),6)="Total:"),LEFT(TRIM('MSR RAW'!C827),SEARCH(" - ",TRIM('MSR RAW'!C827))-1),"")</f>
        <v/>
      </c>
      <c r="F827" t="str">
        <f>IF(E827="","",TRIM(MID(TRIM('MSR RAW'!C827),SEARCH(" - ",TRIM('MSR RAW'!C827))+3,LEN(TRIM('MSR RAW'!C827))-SEARCH(" - ",TRIM('MSR RAW'!C827))-9)))</f>
        <v/>
      </c>
      <c r="G827" t="str">
        <f>IF(E827="","",IFERROR(VLOOKUP(E827,'CATEGORY MAP'!$A$2:$B$20,2,FALSE()),"REVIEW"))</f>
        <v/>
      </c>
      <c r="H827" t="str">
        <f>IF(E827="","",IFERROR(VALUE(SUBSTITUTE('MSR RAW'!P827,",","")),0))</f>
        <v/>
      </c>
      <c r="I827" t="str">
        <f>IF(E827="","",IFERROR(VALUE(SUBSTITUTE('MSR RAW'!S827,",","")),0))</f>
        <v/>
      </c>
    </row>
    <row r="828" spans="1:9" ht="68.650000000000006" customHeight="1" x14ac:dyDescent="0.2">
      <c r="A828">
        <v>828</v>
      </c>
      <c r="B82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28" t="str">
        <f>IF(LEFT(TRIM('MSR RAW'!A828),11)="Department:",TRIM('MSR RAW'!A828),C827)</f>
        <v>Department: 36637 - SPECIALTY CONCESSIONS (VENDING)</v>
      </c>
      <c r="D828" t="str">
        <f>IF(LEFT(TRIM('MSR RAW'!B828),9)="Location:",TRIM(MID('MSR RAW'!B828,10,999)),D827)</f>
        <v>FB 155 - SUB ISLAND NOODLES</v>
      </c>
      <c r="E828" t="str">
        <f>IF(AND(ISNUMBER(SEARCH(" - ",TRIM('MSR RAW'!C828))),RIGHT(TRIM('MSR RAW'!C828),6)="Total:"),LEFT(TRIM('MSR RAW'!C828),SEARCH(" - ",TRIM('MSR RAW'!C828))-1),"")</f>
        <v/>
      </c>
      <c r="F828" t="str">
        <f>IF(E828="","",TRIM(MID(TRIM('MSR RAW'!C828),SEARCH(" - ",TRIM('MSR RAW'!C828))+3,LEN(TRIM('MSR RAW'!C828))-SEARCH(" - ",TRIM('MSR RAW'!C828))-9)))</f>
        <v/>
      </c>
      <c r="G828" t="str">
        <f>IF(E828="","",IFERROR(VLOOKUP(E828,'CATEGORY MAP'!$A$2:$B$20,2,FALSE()),"REVIEW"))</f>
        <v/>
      </c>
      <c r="H828" t="str">
        <f>IF(E828="","",IFERROR(VALUE(SUBSTITUTE('MSR RAW'!P828,",","")),0))</f>
        <v/>
      </c>
      <c r="I828" t="str">
        <f>IF(E828="","",IFERROR(VALUE(SUBSTITUTE('MSR RAW'!S828,",","")),0))</f>
        <v/>
      </c>
    </row>
    <row r="829" spans="1:9" ht="68.650000000000006" customHeight="1" x14ac:dyDescent="0.2">
      <c r="A829">
        <v>829</v>
      </c>
      <c r="B82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29" t="str">
        <f>IF(LEFT(TRIM('MSR RAW'!A829),11)="Department:",TRIM('MSR RAW'!A829),C828)</f>
        <v>Department: 36637 - SPECIALTY CONCESSIONS (VENDING)</v>
      </c>
      <c r="D829" t="str">
        <f>IF(LEFT(TRIM('MSR RAW'!B829),9)="Location:",TRIM(MID('MSR RAW'!B829,10,999)),D828)</f>
        <v>FB 155 - SUB ISLAND NOODLES</v>
      </c>
      <c r="E829" t="str">
        <f>IF(AND(ISNUMBER(SEARCH(" - ",TRIM('MSR RAW'!C829))),RIGHT(TRIM('MSR RAW'!C829),6)="Total:"),LEFT(TRIM('MSR RAW'!C829),SEARCH(" - ",TRIM('MSR RAW'!C829))-1),"")</f>
        <v/>
      </c>
      <c r="F829" t="str">
        <f>IF(E829="","",TRIM(MID(TRIM('MSR RAW'!C829),SEARCH(" - ",TRIM('MSR RAW'!C829))+3,LEN(TRIM('MSR RAW'!C829))-SEARCH(" - ",TRIM('MSR RAW'!C829))-9)))</f>
        <v/>
      </c>
      <c r="G829" t="str">
        <f>IF(E829="","",IFERROR(VLOOKUP(E829,'CATEGORY MAP'!$A$2:$B$20,2,FALSE()),"REVIEW"))</f>
        <v/>
      </c>
      <c r="H829" t="str">
        <f>IF(E829="","",IFERROR(VALUE(SUBSTITUTE('MSR RAW'!P829,",","")),0))</f>
        <v/>
      </c>
      <c r="I829" t="str">
        <f>IF(E829="","",IFERROR(VALUE(SUBSTITUTE('MSR RAW'!S829,",","")),0))</f>
        <v/>
      </c>
    </row>
    <row r="830" spans="1:9" ht="68.650000000000006" customHeight="1" x14ac:dyDescent="0.2">
      <c r="A830">
        <v>830</v>
      </c>
      <c r="B83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30" t="str">
        <f>IF(LEFT(TRIM('MSR RAW'!A830),11)="Department:",TRIM('MSR RAW'!A830),C829)</f>
        <v>Department: 36637 - SPECIALTY CONCESSIONS (VENDING)</v>
      </c>
      <c r="D830" t="str">
        <f>IF(LEFT(TRIM('MSR RAW'!B830),9)="Location:",TRIM(MID('MSR RAW'!B830,10,999)),D829)</f>
        <v>FB 155 - SUB ISLAND NOODLES</v>
      </c>
      <c r="E830" t="str">
        <f>IF(AND(ISNUMBER(SEARCH(" - ",TRIM('MSR RAW'!C830))),RIGHT(TRIM('MSR RAW'!C830),6)="Total:"),LEFT(TRIM('MSR RAW'!C830),SEARCH(" - ",TRIM('MSR RAW'!C830))-1),"")</f>
        <v/>
      </c>
      <c r="F830" t="str">
        <f>IF(E830="","",TRIM(MID(TRIM('MSR RAW'!C830),SEARCH(" - ",TRIM('MSR RAW'!C830))+3,LEN(TRIM('MSR RAW'!C830))-SEARCH(" - ",TRIM('MSR RAW'!C830))-9)))</f>
        <v/>
      </c>
      <c r="G830" t="str">
        <f>IF(E830="","",IFERROR(VLOOKUP(E830,'CATEGORY MAP'!$A$2:$B$20,2,FALSE()),"REVIEW"))</f>
        <v/>
      </c>
      <c r="H830" t="str">
        <f>IF(E830="","",IFERROR(VALUE(SUBSTITUTE('MSR RAW'!P830,",","")),0))</f>
        <v/>
      </c>
      <c r="I830" t="str">
        <f>IF(E830="","",IFERROR(VALUE(SUBSTITUTE('MSR RAW'!S830,",","")),0))</f>
        <v/>
      </c>
    </row>
    <row r="831" spans="1:9" ht="68.650000000000006" customHeight="1" x14ac:dyDescent="0.2">
      <c r="A831">
        <v>831</v>
      </c>
      <c r="B83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31" t="str">
        <f>IF(LEFT(TRIM('MSR RAW'!A831),11)="Department:",TRIM('MSR RAW'!A831),C830)</f>
        <v>Department: 36637 - SPECIALTY CONCESSIONS (VENDING)</v>
      </c>
      <c r="D831" t="str">
        <f>IF(LEFT(TRIM('MSR RAW'!B831),9)="Location:",TRIM(MID('MSR RAW'!B831,10,999)),D830)</f>
        <v>FB 155 - SUB ISLAND NOODLES</v>
      </c>
      <c r="E831" t="str">
        <f>IF(AND(ISNUMBER(SEARCH(" - ",TRIM('MSR RAW'!C831))),RIGHT(TRIM('MSR RAW'!C831),6)="Total:"),LEFT(TRIM('MSR RAW'!C831),SEARCH(" - ",TRIM('MSR RAW'!C831))-1),"")</f>
        <v/>
      </c>
      <c r="F831" t="str">
        <f>IF(E831="","",TRIM(MID(TRIM('MSR RAW'!C831),SEARCH(" - ",TRIM('MSR RAW'!C831))+3,LEN(TRIM('MSR RAW'!C831))-SEARCH(" - ",TRIM('MSR RAW'!C831))-9)))</f>
        <v/>
      </c>
      <c r="G831" t="str">
        <f>IF(E831="","",IFERROR(VLOOKUP(E831,'CATEGORY MAP'!$A$2:$B$20,2,FALSE()),"REVIEW"))</f>
        <v/>
      </c>
      <c r="H831" t="str">
        <f>IF(E831="","",IFERROR(VALUE(SUBSTITUTE('MSR RAW'!P831,",","")),0))</f>
        <v/>
      </c>
      <c r="I831" t="str">
        <f>IF(E831="","",IFERROR(VALUE(SUBSTITUTE('MSR RAW'!S831,",","")),0))</f>
        <v/>
      </c>
    </row>
    <row r="832" spans="1:9" ht="68.650000000000006" customHeight="1" x14ac:dyDescent="0.2">
      <c r="A832">
        <v>832</v>
      </c>
      <c r="B83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32" t="str">
        <f>IF(LEFT(TRIM('MSR RAW'!A832),11)="Department:",TRIM('MSR RAW'!A832),C831)</f>
        <v>Department: 36637 - SPECIALTY CONCESSIONS (VENDING)</v>
      </c>
      <c r="D832" t="str">
        <f>IF(LEFT(TRIM('MSR RAW'!B832),9)="Location:",TRIM(MID('MSR RAW'!B832,10,999)),D831)</f>
        <v>FB 155 - SUB ISLAND NOODLES</v>
      </c>
      <c r="E832" t="str">
        <f>IF(AND(ISNUMBER(SEARCH(" - ",TRIM('MSR RAW'!C832))),RIGHT(TRIM('MSR RAW'!C832),6)="Total:"),LEFT(TRIM('MSR RAW'!C832),SEARCH(" - ",TRIM('MSR RAW'!C832))-1),"")</f>
        <v/>
      </c>
      <c r="F832" t="str">
        <f>IF(E832="","",TRIM(MID(TRIM('MSR RAW'!C832),SEARCH(" - ",TRIM('MSR RAW'!C832))+3,LEN(TRIM('MSR RAW'!C832))-SEARCH(" - ",TRIM('MSR RAW'!C832))-9)))</f>
        <v/>
      </c>
      <c r="G832" t="str">
        <f>IF(E832="","",IFERROR(VLOOKUP(E832,'CATEGORY MAP'!$A$2:$B$20,2,FALSE()),"REVIEW"))</f>
        <v/>
      </c>
      <c r="H832" t="str">
        <f>IF(E832="","",IFERROR(VALUE(SUBSTITUTE('MSR RAW'!P832,",","")),0))</f>
        <v/>
      </c>
      <c r="I832" t="str">
        <f>IF(E832="","",IFERROR(VALUE(SUBSTITUTE('MSR RAW'!S832,",","")),0))</f>
        <v/>
      </c>
    </row>
    <row r="833" spans="1:9" ht="68.650000000000006" customHeight="1" x14ac:dyDescent="0.2">
      <c r="A833">
        <v>833</v>
      </c>
      <c r="B83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33" t="str">
        <f>IF(LEFT(TRIM('MSR RAW'!A833),11)="Department:",TRIM('MSR RAW'!A833),C832)</f>
        <v>Department: 36637 - SPECIALTY CONCESSIONS (VENDING)</v>
      </c>
      <c r="D833" t="str">
        <f>IF(LEFT(TRIM('MSR RAW'!B833),9)="Location:",TRIM(MID('MSR RAW'!B833,10,999)),D832)</f>
        <v>FB 155 - SUB ISLAND NOODLES</v>
      </c>
      <c r="E833" t="str">
        <f>IF(AND(ISNUMBER(SEARCH(" - ",TRIM('MSR RAW'!C833))),RIGHT(TRIM('MSR RAW'!C833),6)="Total:"),LEFT(TRIM('MSR RAW'!C833),SEARCH(" - ",TRIM('MSR RAW'!C833))-1),"")</f>
        <v/>
      </c>
      <c r="F833" t="str">
        <f>IF(E833="","",TRIM(MID(TRIM('MSR RAW'!C833),SEARCH(" - ",TRIM('MSR RAW'!C833))+3,LEN(TRIM('MSR RAW'!C833))-SEARCH(" - ",TRIM('MSR RAW'!C833))-9)))</f>
        <v/>
      </c>
      <c r="G833" t="str">
        <f>IF(E833="","",IFERROR(VLOOKUP(E833,'CATEGORY MAP'!$A$2:$B$20,2,FALSE()),"REVIEW"))</f>
        <v/>
      </c>
      <c r="H833" t="str">
        <f>IF(E833="","",IFERROR(VALUE(SUBSTITUTE('MSR RAW'!P833,",","")),0))</f>
        <v/>
      </c>
      <c r="I833" t="str">
        <f>IF(E833="","",IFERROR(VALUE(SUBSTITUTE('MSR RAW'!S833,",","")),0))</f>
        <v/>
      </c>
    </row>
    <row r="834" spans="1:9" ht="68.650000000000006" customHeight="1" x14ac:dyDescent="0.2">
      <c r="A834">
        <v>834</v>
      </c>
      <c r="B83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34" t="str">
        <f>IF(LEFT(TRIM('MSR RAW'!A834),11)="Department:",TRIM('MSR RAW'!A834),C833)</f>
        <v>Department: 36637 - SPECIALTY CONCESSIONS (VENDING)</v>
      </c>
      <c r="D834" t="str">
        <f>IF(LEFT(TRIM('MSR RAW'!B834),9)="Location:",TRIM(MID('MSR RAW'!B834,10,999)),D833)</f>
        <v>FB 155 - SUB ISLAND NOODLES</v>
      </c>
      <c r="E834" t="str">
        <f>IF(AND(ISNUMBER(SEARCH(" - ",TRIM('MSR RAW'!C834))),RIGHT(TRIM('MSR RAW'!C834),6)="Total:"),LEFT(TRIM('MSR RAW'!C834),SEARCH(" - ",TRIM('MSR RAW'!C834))-1),"")</f>
        <v/>
      </c>
      <c r="F834" t="str">
        <f>IF(E834="","",TRIM(MID(TRIM('MSR RAW'!C834),SEARCH(" - ",TRIM('MSR RAW'!C834))+3,LEN(TRIM('MSR RAW'!C834))-SEARCH(" - ",TRIM('MSR RAW'!C834))-9)))</f>
        <v/>
      </c>
      <c r="G834" t="str">
        <f>IF(E834="","",IFERROR(VLOOKUP(E834,'CATEGORY MAP'!$A$2:$B$20,2,FALSE()),"REVIEW"))</f>
        <v/>
      </c>
      <c r="H834" t="str">
        <f>IF(E834="","",IFERROR(VALUE(SUBSTITUTE('MSR RAW'!P834,",","")),0))</f>
        <v/>
      </c>
      <c r="I834" t="str">
        <f>IF(E834="","",IFERROR(VALUE(SUBSTITUTE('MSR RAW'!S834,",","")),0))</f>
        <v/>
      </c>
    </row>
    <row r="835" spans="1:9" ht="68.650000000000006" customHeight="1" x14ac:dyDescent="0.2">
      <c r="A835">
        <v>835</v>
      </c>
      <c r="B83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35" t="str">
        <f>IF(LEFT(TRIM('MSR RAW'!A835),11)="Department:",TRIM('MSR RAW'!A835),C834)</f>
        <v>Department: 36637 - SPECIALTY CONCESSIONS (VENDING)</v>
      </c>
      <c r="D835" t="str">
        <f>IF(LEFT(TRIM('MSR RAW'!B835),9)="Location:",TRIM(MID('MSR RAW'!B835,10,999)),D834)</f>
        <v>FB 155 - SUB ISLAND NOODLES</v>
      </c>
      <c r="E835" t="str">
        <f>IF(AND(ISNUMBER(SEARCH(" - ",TRIM('MSR RAW'!C835))),RIGHT(TRIM('MSR RAW'!C835),6)="Total:"),LEFT(TRIM('MSR RAW'!C835),SEARCH(" - ",TRIM('MSR RAW'!C835))-1),"")</f>
        <v/>
      </c>
      <c r="F835" t="str">
        <f>IF(E835="","",TRIM(MID(TRIM('MSR RAW'!C835),SEARCH(" - ",TRIM('MSR RAW'!C835))+3,LEN(TRIM('MSR RAW'!C835))-SEARCH(" - ",TRIM('MSR RAW'!C835))-9)))</f>
        <v/>
      </c>
      <c r="G835" t="str">
        <f>IF(E835="","",IFERROR(VLOOKUP(E835,'CATEGORY MAP'!$A$2:$B$20,2,FALSE()),"REVIEW"))</f>
        <v/>
      </c>
      <c r="H835" t="str">
        <f>IF(E835="","",IFERROR(VALUE(SUBSTITUTE('MSR RAW'!P835,",","")),0))</f>
        <v/>
      </c>
      <c r="I835" t="str">
        <f>IF(E835="","",IFERROR(VALUE(SUBSTITUTE('MSR RAW'!S835,",","")),0))</f>
        <v/>
      </c>
    </row>
    <row r="836" spans="1:9" ht="68.650000000000006" customHeight="1" x14ac:dyDescent="0.2">
      <c r="A836">
        <v>836</v>
      </c>
      <c r="B83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36" t="str">
        <f>IF(LEFT(TRIM('MSR RAW'!A836),11)="Department:",TRIM('MSR RAW'!A836),C835)</f>
        <v>Department: 36637 - SPECIALTY CONCESSIONS (VENDING)</v>
      </c>
      <c r="D836" t="str">
        <f>IF(LEFT(TRIM('MSR RAW'!B836),9)="Location:",TRIM(MID('MSR RAW'!B836,10,999)),D835)</f>
        <v>FB 155 - SUB ISLAND NOODLES</v>
      </c>
      <c r="E836" t="str">
        <f>IF(AND(ISNUMBER(SEARCH(" - ",TRIM('MSR RAW'!C836))),RIGHT(TRIM('MSR RAW'!C836),6)="Total:"),LEFT(TRIM('MSR RAW'!C836),SEARCH(" - ",TRIM('MSR RAW'!C836))-1),"")</f>
        <v/>
      </c>
      <c r="F836" t="str">
        <f>IF(E836="","",TRIM(MID(TRIM('MSR RAW'!C836),SEARCH(" - ",TRIM('MSR RAW'!C836))+3,LEN(TRIM('MSR RAW'!C836))-SEARCH(" - ",TRIM('MSR RAW'!C836))-9)))</f>
        <v/>
      </c>
      <c r="G836" t="str">
        <f>IF(E836="","",IFERROR(VLOOKUP(E836,'CATEGORY MAP'!$A$2:$B$20,2,FALSE()),"REVIEW"))</f>
        <v/>
      </c>
      <c r="H836" t="str">
        <f>IF(E836="","",IFERROR(VALUE(SUBSTITUTE('MSR RAW'!P836,",","")),0))</f>
        <v/>
      </c>
      <c r="I836" t="str">
        <f>IF(E836="","",IFERROR(VALUE(SUBSTITUTE('MSR RAW'!S836,",","")),0))</f>
        <v/>
      </c>
    </row>
    <row r="837" spans="1:9" ht="68.650000000000006" customHeight="1" x14ac:dyDescent="0.2">
      <c r="A837">
        <v>837</v>
      </c>
      <c r="B83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37" t="str">
        <f>IF(LEFT(TRIM('MSR RAW'!A837),11)="Department:",TRIM('MSR RAW'!A837),C836)</f>
        <v>Department: 36637 - SPECIALTY CONCESSIONS (VENDING)</v>
      </c>
      <c r="D837" t="str">
        <f>IF(LEFT(TRIM('MSR RAW'!B837),9)="Location:",TRIM(MID('MSR RAW'!B837,10,999)),D836)</f>
        <v>FB 155 - SUB ISLAND NOODLES</v>
      </c>
      <c r="E837" t="str">
        <f>IF(AND(ISNUMBER(SEARCH(" - ",TRIM('MSR RAW'!C837))),RIGHT(TRIM('MSR RAW'!C837),6)="Total:"),LEFT(TRIM('MSR RAW'!C837),SEARCH(" - ",TRIM('MSR RAW'!C837))-1),"")</f>
        <v/>
      </c>
      <c r="F837" t="str">
        <f>IF(E837="","",TRIM(MID(TRIM('MSR RAW'!C837),SEARCH(" - ",TRIM('MSR RAW'!C837))+3,LEN(TRIM('MSR RAW'!C837))-SEARCH(" - ",TRIM('MSR RAW'!C837))-9)))</f>
        <v/>
      </c>
      <c r="G837" t="str">
        <f>IF(E837="","",IFERROR(VLOOKUP(E837,'CATEGORY MAP'!$A$2:$B$20,2,FALSE()),"REVIEW"))</f>
        <v/>
      </c>
      <c r="H837" t="str">
        <f>IF(E837="","",IFERROR(VALUE(SUBSTITUTE('MSR RAW'!P837,",","")),0))</f>
        <v/>
      </c>
      <c r="I837" t="str">
        <f>IF(E837="","",IFERROR(VALUE(SUBSTITUTE('MSR RAW'!S837,",","")),0))</f>
        <v/>
      </c>
    </row>
    <row r="838" spans="1:9" ht="68.650000000000006" customHeight="1" x14ac:dyDescent="0.2">
      <c r="A838">
        <v>838</v>
      </c>
      <c r="B83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38" t="str">
        <f>IF(LEFT(TRIM('MSR RAW'!A838),11)="Department:",TRIM('MSR RAW'!A838),C837)</f>
        <v>Department: 36637 - SPECIALTY CONCESSIONS (VENDING)</v>
      </c>
      <c r="D838" t="str">
        <f>IF(LEFT(TRIM('MSR RAW'!B838),9)="Location:",TRIM(MID('MSR RAW'!B838,10,999)),D837)</f>
        <v>FB 155 - SUB ISLAND NOODLES</v>
      </c>
      <c r="E838" t="str">
        <f>IF(AND(ISNUMBER(SEARCH(" - ",TRIM('MSR RAW'!C838))),RIGHT(TRIM('MSR RAW'!C838),6)="Total:"),LEFT(TRIM('MSR RAW'!C838),SEARCH(" - ",TRIM('MSR RAW'!C838))-1),"")</f>
        <v/>
      </c>
      <c r="F838" t="str">
        <f>IF(E838="","",TRIM(MID(TRIM('MSR RAW'!C838),SEARCH(" - ",TRIM('MSR RAW'!C838))+3,LEN(TRIM('MSR RAW'!C838))-SEARCH(" - ",TRIM('MSR RAW'!C838))-9)))</f>
        <v/>
      </c>
      <c r="G838" t="str">
        <f>IF(E838="","",IFERROR(VLOOKUP(E838,'CATEGORY MAP'!$A$2:$B$20,2,FALSE()),"REVIEW"))</f>
        <v/>
      </c>
      <c r="H838" t="str">
        <f>IF(E838="","",IFERROR(VALUE(SUBSTITUTE('MSR RAW'!P838,",","")),0))</f>
        <v/>
      </c>
      <c r="I838" t="str">
        <f>IF(E838="","",IFERROR(VALUE(SUBSTITUTE('MSR RAW'!S838,",","")),0))</f>
        <v/>
      </c>
    </row>
    <row r="839" spans="1:9" ht="68.650000000000006" customHeight="1" x14ac:dyDescent="0.2">
      <c r="A839">
        <v>839</v>
      </c>
      <c r="B83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39" t="str">
        <f>IF(LEFT(TRIM('MSR RAW'!A839),11)="Department:",TRIM('MSR RAW'!A839),C838)</f>
        <v>Department: 36637 - SPECIALTY CONCESSIONS (VENDING)</v>
      </c>
      <c r="D839" t="str">
        <f>IF(LEFT(TRIM('MSR RAW'!B839),9)="Location:",TRIM(MID('MSR RAW'!B839,10,999)),D838)</f>
        <v>FB 155 - SUB ISLAND NOODLES</v>
      </c>
      <c r="E839" t="str">
        <f>IF(AND(ISNUMBER(SEARCH(" - ",TRIM('MSR RAW'!C839))),RIGHT(TRIM('MSR RAW'!C839),6)="Total:"),LEFT(TRIM('MSR RAW'!C839),SEARCH(" - ",TRIM('MSR RAW'!C839))-1),"")</f>
        <v/>
      </c>
      <c r="F839" t="str">
        <f>IF(E839="","",TRIM(MID(TRIM('MSR RAW'!C839),SEARCH(" - ",TRIM('MSR RAW'!C839))+3,LEN(TRIM('MSR RAW'!C839))-SEARCH(" - ",TRIM('MSR RAW'!C839))-9)))</f>
        <v/>
      </c>
      <c r="G839" t="str">
        <f>IF(E839="","",IFERROR(VLOOKUP(E839,'CATEGORY MAP'!$A$2:$B$20,2,FALSE()),"REVIEW"))</f>
        <v/>
      </c>
      <c r="H839" t="str">
        <f>IF(E839="","",IFERROR(VALUE(SUBSTITUTE('MSR RAW'!P839,",","")),0))</f>
        <v/>
      </c>
      <c r="I839" t="str">
        <f>IF(E839="","",IFERROR(VALUE(SUBSTITUTE('MSR RAW'!S839,",","")),0))</f>
        <v/>
      </c>
    </row>
    <row r="840" spans="1:9" ht="68.650000000000006" customHeight="1" x14ac:dyDescent="0.2">
      <c r="A840">
        <v>840</v>
      </c>
      <c r="B84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40" t="str">
        <f>IF(LEFT(TRIM('MSR RAW'!A840),11)="Department:",TRIM('MSR RAW'!A840),C839)</f>
        <v>Department: 36637 - SPECIALTY CONCESSIONS (VENDING)</v>
      </c>
      <c r="D840" t="str">
        <f>IF(LEFT(TRIM('MSR RAW'!B840),9)="Location:",TRIM(MID('MSR RAW'!B840,10,999)),D839)</f>
        <v>FB 155 - SUB ISLAND NOODLES</v>
      </c>
      <c r="E840" t="str">
        <f>IF(AND(ISNUMBER(SEARCH(" - ",TRIM('MSR RAW'!C840))),RIGHT(TRIM('MSR RAW'!C840),6)="Total:"),LEFT(TRIM('MSR RAW'!C840),SEARCH(" - ",TRIM('MSR RAW'!C840))-1),"")</f>
        <v/>
      </c>
      <c r="F840" t="str">
        <f>IF(E840="","",TRIM(MID(TRIM('MSR RAW'!C840),SEARCH(" - ",TRIM('MSR RAW'!C840))+3,LEN(TRIM('MSR RAW'!C840))-SEARCH(" - ",TRIM('MSR RAW'!C840))-9)))</f>
        <v/>
      </c>
      <c r="G840" t="str">
        <f>IF(E840="","",IFERROR(VLOOKUP(E840,'CATEGORY MAP'!$A$2:$B$20,2,FALSE()),"REVIEW"))</f>
        <v/>
      </c>
      <c r="H840" t="str">
        <f>IF(E840="","",IFERROR(VALUE(SUBSTITUTE('MSR RAW'!P840,",","")),0))</f>
        <v/>
      </c>
      <c r="I840" t="str">
        <f>IF(E840="","",IFERROR(VALUE(SUBSTITUTE('MSR RAW'!S840,",","")),0))</f>
        <v/>
      </c>
    </row>
    <row r="841" spans="1:9" ht="68.650000000000006" customHeight="1" x14ac:dyDescent="0.2">
      <c r="A841">
        <v>841</v>
      </c>
      <c r="B84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41" t="str">
        <f>IF(LEFT(TRIM('MSR RAW'!A841),11)="Department:",TRIM('MSR RAW'!A841),C840)</f>
        <v>Department: 36637 - SPECIALTY CONCESSIONS (VENDING)</v>
      </c>
      <c r="D841" t="str">
        <f>IF(LEFT(TRIM('MSR RAW'!B841),9)="Location:",TRIM(MID('MSR RAW'!B841,10,999)),D840)</f>
        <v>FB 155 - SUB ISLAND NOODLES</v>
      </c>
      <c r="E841" t="str">
        <f>IF(AND(ISNUMBER(SEARCH(" - ",TRIM('MSR RAW'!C841))),RIGHT(TRIM('MSR RAW'!C841),6)="Total:"),LEFT(TRIM('MSR RAW'!C841),SEARCH(" - ",TRIM('MSR RAW'!C841))-1),"")</f>
        <v/>
      </c>
      <c r="F841" t="str">
        <f>IF(E841="","",TRIM(MID(TRIM('MSR RAW'!C841),SEARCH(" - ",TRIM('MSR RAW'!C841))+3,LEN(TRIM('MSR RAW'!C841))-SEARCH(" - ",TRIM('MSR RAW'!C841))-9)))</f>
        <v/>
      </c>
      <c r="G841" t="str">
        <f>IF(E841="","",IFERROR(VLOOKUP(E841,'CATEGORY MAP'!$A$2:$B$20,2,FALSE()),"REVIEW"))</f>
        <v/>
      </c>
      <c r="H841" t="str">
        <f>IF(E841="","",IFERROR(VALUE(SUBSTITUTE('MSR RAW'!P841,",","")),0))</f>
        <v/>
      </c>
      <c r="I841" t="str">
        <f>IF(E841="","",IFERROR(VALUE(SUBSTITUTE('MSR RAW'!S841,",","")),0))</f>
        <v/>
      </c>
    </row>
    <row r="842" spans="1:9" ht="68.650000000000006" customHeight="1" x14ac:dyDescent="0.2">
      <c r="A842">
        <v>842</v>
      </c>
      <c r="B84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42" t="str">
        <f>IF(LEFT(TRIM('MSR RAW'!A842),11)="Department:",TRIM('MSR RAW'!A842),C841)</f>
        <v>Department: 36637 - SPECIALTY CONCESSIONS (VENDING)</v>
      </c>
      <c r="D842" t="str">
        <f>IF(LEFT(TRIM('MSR RAW'!B842),9)="Location:",TRIM(MID('MSR RAW'!B842,10,999)),D841)</f>
        <v>FB 155 - SUB ISLAND NOODLES</v>
      </c>
      <c r="E842" t="str">
        <f>IF(AND(ISNUMBER(SEARCH(" - ",TRIM('MSR RAW'!C842))),RIGHT(TRIM('MSR RAW'!C842),6)="Total:"),LEFT(TRIM('MSR RAW'!C842),SEARCH(" - ",TRIM('MSR RAW'!C842))-1),"")</f>
        <v/>
      </c>
      <c r="F842" t="str">
        <f>IF(E842="","",TRIM(MID(TRIM('MSR RAW'!C842),SEARCH(" - ",TRIM('MSR RAW'!C842))+3,LEN(TRIM('MSR RAW'!C842))-SEARCH(" - ",TRIM('MSR RAW'!C842))-9)))</f>
        <v/>
      </c>
      <c r="G842" t="str">
        <f>IF(E842="","",IFERROR(VLOOKUP(E842,'CATEGORY MAP'!$A$2:$B$20,2,FALSE()),"REVIEW"))</f>
        <v/>
      </c>
      <c r="H842" t="str">
        <f>IF(E842="","",IFERROR(VALUE(SUBSTITUTE('MSR RAW'!P842,",","")),0))</f>
        <v/>
      </c>
      <c r="I842" t="str">
        <f>IF(E842="","",IFERROR(VALUE(SUBSTITUTE('MSR RAW'!S842,",","")),0))</f>
        <v/>
      </c>
    </row>
    <row r="843" spans="1:9" ht="68.650000000000006" customHeight="1" x14ac:dyDescent="0.2">
      <c r="A843">
        <v>843</v>
      </c>
      <c r="B84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43" t="str">
        <f>IF(LEFT(TRIM('MSR RAW'!A843),11)="Department:",TRIM('MSR RAW'!A843),C842)</f>
        <v>Department: 36637 - SPECIALTY CONCESSIONS (VENDING)</v>
      </c>
      <c r="D843" t="str">
        <f>IF(LEFT(TRIM('MSR RAW'!B843),9)="Location:",TRIM(MID('MSR RAW'!B843,10,999)),D842)</f>
        <v>FB 155 - SUB ISLAND NOODLES</v>
      </c>
      <c r="E843" t="str">
        <f>IF(AND(ISNUMBER(SEARCH(" - ",TRIM('MSR RAW'!C843))),RIGHT(TRIM('MSR RAW'!C843),6)="Total:"),LEFT(TRIM('MSR RAW'!C843),SEARCH(" - ",TRIM('MSR RAW'!C843))-1),"")</f>
        <v/>
      </c>
      <c r="F843" t="str">
        <f>IF(E843="","",TRIM(MID(TRIM('MSR RAW'!C843),SEARCH(" - ",TRIM('MSR RAW'!C843))+3,LEN(TRIM('MSR RAW'!C843))-SEARCH(" - ",TRIM('MSR RAW'!C843))-9)))</f>
        <v/>
      </c>
      <c r="G843" t="str">
        <f>IF(E843="","",IFERROR(VLOOKUP(E843,'CATEGORY MAP'!$A$2:$B$20,2,FALSE()),"REVIEW"))</f>
        <v/>
      </c>
      <c r="H843" t="str">
        <f>IF(E843="","",IFERROR(VALUE(SUBSTITUTE('MSR RAW'!P843,",","")),0))</f>
        <v/>
      </c>
      <c r="I843" t="str">
        <f>IF(E843="","",IFERROR(VALUE(SUBSTITUTE('MSR RAW'!S843,",","")),0))</f>
        <v/>
      </c>
    </row>
    <row r="844" spans="1:9" ht="68.650000000000006" customHeight="1" x14ac:dyDescent="0.2">
      <c r="A844">
        <v>844</v>
      </c>
      <c r="B84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44" t="str">
        <f>IF(LEFT(TRIM('MSR RAW'!A844),11)="Department:",TRIM('MSR RAW'!A844),C843)</f>
        <v>Department: 36637 - SPECIALTY CONCESSIONS (VENDING)</v>
      </c>
      <c r="D844" t="str">
        <f>IF(LEFT(TRIM('MSR RAW'!B844),9)="Location:",TRIM(MID('MSR RAW'!B844,10,999)),D843)</f>
        <v>FB 155 - SUB ISLAND NOODLES</v>
      </c>
      <c r="E844" t="str">
        <f>IF(AND(ISNUMBER(SEARCH(" - ",TRIM('MSR RAW'!C844))),RIGHT(TRIM('MSR RAW'!C844),6)="Total:"),LEFT(TRIM('MSR RAW'!C844),SEARCH(" - ",TRIM('MSR RAW'!C844))-1),"")</f>
        <v/>
      </c>
      <c r="F844" t="str">
        <f>IF(E844="","",TRIM(MID(TRIM('MSR RAW'!C844),SEARCH(" - ",TRIM('MSR RAW'!C844))+3,LEN(TRIM('MSR RAW'!C844))-SEARCH(" - ",TRIM('MSR RAW'!C844))-9)))</f>
        <v/>
      </c>
      <c r="G844" t="str">
        <f>IF(E844="","",IFERROR(VLOOKUP(E844,'CATEGORY MAP'!$A$2:$B$20,2,FALSE()),"REVIEW"))</f>
        <v/>
      </c>
      <c r="H844" t="str">
        <f>IF(E844="","",IFERROR(VALUE(SUBSTITUTE('MSR RAW'!P844,",","")),0))</f>
        <v/>
      </c>
      <c r="I844" t="str">
        <f>IF(E844="","",IFERROR(VALUE(SUBSTITUTE('MSR RAW'!S844,",","")),0))</f>
        <v/>
      </c>
    </row>
    <row r="845" spans="1:9" ht="68.650000000000006" customHeight="1" x14ac:dyDescent="0.2">
      <c r="A845">
        <v>845</v>
      </c>
      <c r="B84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45" t="str">
        <f>IF(LEFT(TRIM('MSR RAW'!A845),11)="Department:",TRIM('MSR RAW'!A845),C844)</f>
        <v>Department: 36637 - SPECIALTY CONCESSIONS (VENDING)</v>
      </c>
      <c r="D845" t="str">
        <f>IF(LEFT(TRIM('MSR RAW'!B845),9)="Location:",TRIM(MID('MSR RAW'!B845,10,999)),D844)</f>
        <v>FB 155 - SUB ISLAND NOODLES</v>
      </c>
      <c r="E845" t="str">
        <f>IF(AND(ISNUMBER(SEARCH(" - ",TRIM('MSR RAW'!C845))),RIGHT(TRIM('MSR RAW'!C845),6)="Total:"),LEFT(TRIM('MSR RAW'!C845),SEARCH(" - ",TRIM('MSR RAW'!C845))-1),"")</f>
        <v/>
      </c>
      <c r="F845" t="str">
        <f>IF(E845="","",TRIM(MID(TRIM('MSR RAW'!C845),SEARCH(" - ",TRIM('MSR RAW'!C845))+3,LEN(TRIM('MSR RAW'!C845))-SEARCH(" - ",TRIM('MSR RAW'!C845))-9)))</f>
        <v/>
      </c>
      <c r="G845" t="str">
        <f>IF(E845="","",IFERROR(VLOOKUP(E845,'CATEGORY MAP'!$A$2:$B$20,2,FALSE()),"REVIEW"))</f>
        <v/>
      </c>
      <c r="H845" t="str">
        <f>IF(E845="","",IFERROR(VALUE(SUBSTITUTE('MSR RAW'!P845,",","")),0))</f>
        <v/>
      </c>
      <c r="I845" t="str">
        <f>IF(E845="","",IFERROR(VALUE(SUBSTITUTE('MSR RAW'!S845,",","")),0))</f>
        <v/>
      </c>
    </row>
    <row r="846" spans="1:9" ht="68.650000000000006" customHeight="1" x14ac:dyDescent="0.2">
      <c r="A846">
        <v>846</v>
      </c>
      <c r="B84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46" t="str">
        <f>IF(LEFT(TRIM('MSR RAW'!A846),11)="Department:",TRIM('MSR RAW'!A846),C845)</f>
        <v>Department: 36637 - SPECIALTY CONCESSIONS (VENDING)</v>
      </c>
      <c r="D846" t="str">
        <f>IF(LEFT(TRIM('MSR RAW'!B846),9)="Location:",TRIM(MID('MSR RAW'!B846,10,999)),D845)</f>
        <v>FB 155 - SUB ISLAND NOODLES</v>
      </c>
      <c r="E846" t="str">
        <f>IF(AND(ISNUMBER(SEARCH(" - ",TRIM('MSR RAW'!C846))),RIGHT(TRIM('MSR RAW'!C846),6)="Total:"),LEFT(TRIM('MSR RAW'!C846),SEARCH(" - ",TRIM('MSR RAW'!C846))-1),"")</f>
        <v/>
      </c>
      <c r="F846" t="str">
        <f>IF(E846="","",TRIM(MID(TRIM('MSR RAW'!C846),SEARCH(" - ",TRIM('MSR RAW'!C846))+3,LEN(TRIM('MSR RAW'!C846))-SEARCH(" - ",TRIM('MSR RAW'!C846))-9)))</f>
        <v/>
      </c>
      <c r="G846" t="str">
        <f>IF(E846="","",IFERROR(VLOOKUP(E846,'CATEGORY MAP'!$A$2:$B$20,2,FALSE()),"REVIEW"))</f>
        <v/>
      </c>
      <c r="H846" t="str">
        <f>IF(E846="","",IFERROR(VALUE(SUBSTITUTE('MSR RAW'!P846,",","")),0))</f>
        <v/>
      </c>
      <c r="I846" t="str">
        <f>IF(E846="","",IFERROR(VALUE(SUBSTITUTE('MSR RAW'!S846,",","")),0))</f>
        <v/>
      </c>
    </row>
    <row r="847" spans="1:9" ht="68.650000000000006" customHeight="1" x14ac:dyDescent="0.2">
      <c r="A847">
        <v>847</v>
      </c>
      <c r="B84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47" t="str">
        <f>IF(LEFT(TRIM('MSR RAW'!A847),11)="Department:",TRIM('MSR RAW'!A847),C846)</f>
        <v>Department: 36637 - SPECIALTY CONCESSIONS (VENDING)</v>
      </c>
      <c r="D847" t="str">
        <f>IF(LEFT(TRIM('MSR RAW'!B847),9)="Location:",TRIM(MID('MSR RAW'!B847,10,999)),D846)</f>
        <v>FB 155 - SUB ISLAND NOODLES</v>
      </c>
      <c r="E847" t="str">
        <f>IF(AND(ISNUMBER(SEARCH(" - ",TRIM('MSR RAW'!C847))),RIGHT(TRIM('MSR RAW'!C847),6)="Total:"),LEFT(TRIM('MSR RAW'!C847),SEARCH(" - ",TRIM('MSR RAW'!C847))-1),"")</f>
        <v/>
      </c>
      <c r="F847" t="str">
        <f>IF(E847="","",TRIM(MID(TRIM('MSR RAW'!C847),SEARCH(" - ",TRIM('MSR RAW'!C847))+3,LEN(TRIM('MSR RAW'!C847))-SEARCH(" - ",TRIM('MSR RAW'!C847))-9)))</f>
        <v/>
      </c>
      <c r="G847" t="str">
        <f>IF(E847="","",IFERROR(VLOOKUP(E847,'CATEGORY MAP'!$A$2:$B$20,2,FALSE()),"REVIEW"))</f>
        <v/>
      </c>
      <c r="H847" t="str">
        <f>IF(E847="","",IFERROR(VALUE(SUBSTITUTE('MSR RAW'!P847,",","")),0))</f>
        <v/>
      </c>
      <c r="I847" t="str">
        <f>IF(E847="","",IFERROR(VALUE(SUBSTITUTE('MSR RAW'!S847,",","")),0))</f>
        <v/>
      </c>
    </row>
    <row r="848" spans="1:9" ht="68.650000000000006" customHeight="1" x14ac:dyDescent="0.2">
      <c r="A848">
        <v>848</v>
      </c>
      <c r="B84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48" t="str">
        <f>IF(LEFT(TRIM('MSR RAW'!A848),11)="Department:",TRIM('MSR RAW'!A848),C847)</f>
        <v>Department: 36637 - SPECIALTY CONCESSIONS (VENDING)</v>
      </c>
      <c r="D848" t="str">
        <f>IF(LEFT(TRIM('MSR RAW'!B848),9)="Location:",TRIM(MID('MSR RAW'!B848,10,999)),D847)</f>
        <v>FB 155 - SUB ISLAND NOODLES</v>
      </c>
      <c r="E848" t="str">
        <f>IF(AND(ISNUMBER(SEARCH(" - ",TRIM('MSR RAW'!C848))),RIGHT(TRIM('MSR RAW'!C848),6)="Total:"),LEFT(TRIM('MSR RAW'!C848),SEARCH(" - ",TRIM('MSR RAW'!C848))-1),"")</f>
        <v/>
      </c>
      <c r="F848" t="str">
        <f>IF(E848="","",TRIM(MID(TRIM('MSR RAW'!C848),SEARCH(" - ",TRIM('MSR RAW'!C848))+3,LEN(TRIM('MSR RAW'!C848))-SEARCH(" - ",TRIM('MSR RAW'!C848))-9)))</f>
        <v/>
      </c>
      <c r="G848" t="str">
        <f>IF(E848="","",IFERROR(VLOOKUP(E848,'CATEGORY MAP'!$A$2:$B$20,2,FALSE()),"REVIEW"))</f>
        <v/>
      </c>
      <c r="H848" t="str">
        <f>IF(E848="","",IFERROR(VALUE(SUBSTITUTE('MSR RAW'!P848,",","")),0))</f>
        <v/>
      </c>
      <c r="I848" t="str">
        <f>IF(E848="","",IFERROR(VALUE(SUBSTITUTE('MSR RAW'!S848,",","")),0))</f>
        <v/>
      </c>
    </row>
    <row r="849" spans="1:9" ht="68.650000000000006" customHeight="1" x14ac:dyDescent="0.2">
      <c r="A849">
        <v>849</v>
      </c>
      <c r="B84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49" t="str">
        <f>IF(LEFT(TRIM('MSR RAW'!A849),11)="Department:",TRIM('MSR RAW'!A849),C848)</f>
        <v>Department: 36637 - SPECIALTY CONCESSIONS (VENDING)</v>
      </c>
      <c r="D849" t="str">
        <f>IF(LEFT(TRIM('MSR RAW'!B849),9)="Location:",TRIM(MID('MSR RAW'!B849,10,999)),D848)</f>
        <v>FB 155 - SUB ISLAND NOODLES</v>
      </c>
      <c r="E849" t="str">
        <f>IF(AND(ISNUMBER(SEARCH(" - ",TRIM('MSR RAW'!C849))),RIGHT(TRIM('MSR RAW'!C849),6)="Total:"),LEFT(TRIM('MSR RAW'!C849),SEARCH(" - ",TRIM('MSR RAW'!C849))-1),"")</f>
        <v/>
      </c>
      <c r="F849" t="str">
        <f>IF(E849="","",TRIM(MID(TRIM('MSR RAW'!C849),SEARCH(" - ",TRIM('MSR RAW'!C849))+3,LEN(TRIM('MSR RAW'!C849))-SEARCH(" - ",TRIM('MSR RAW'!C849))-9)))</f>
        <v/>
      </c>
      <c r="G849" t="str">
        <f>IF(E849="","",IFERROR(VLOOKUP(E849,'CATEGORY MAP'!$A$2:$B$20,2,FALSE()),"REVIEW"))</f>
        <v/>
      </c>
      <c r="H849" t="str">
        <f>IF(E849="","",IFERROR(VALUE(SUBSTITUTE('MSR RAW'!P849,",","")),0))</f>
        <v/>
      </c>
      <c r="I849" t="str">
        <f>IF(E849="","",IFERROR(VALUE(SUBSTITUTE('MSR RAW'!S849,",","")),0))</f>
        <v/>
      </c>
    </row>
    <row r="850" spans="1:9" ht="68.650000000000006" customHeight="1" x14ac:dyDescent="0.2">
      <c r="A850">
        <v>850</v>
      </c>
      <c r="B85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50" t="str">
        <f>IF(LEFT(TRIM('MSR RAW'!A850),11)="Department:",TRIM('MSR RAW'!A850),C849)</f>
        <v>Department: 36637 - SPECIALTY CONCESSIONS (VENDING)</v>
      </c>
      <c r="D850" t="str">
        <f>IF(LEFT(TRIM('MSR RAW'!B850),9)="Location:",TRIM(MID('MSR RAW'!B850,10,999)),D849)</f>
        <v>FB 155 - SUB ISLAND NOODLES</v>
      </c>
      <c r="E850" t="str">
        <f>IF(AND(ISNUMBER(SEARCH(" - ",TRIM('MSR RAW'!C850))),RIGHT(TRIM('MSR RAW'!C850),6)="Total:"),LEFT(TRIM('MSR RAW'!C850),SEARCH(" - ",TRIM('MSR RAW'!C850))-1),"")</f>
        <v/>
      </c>
      <c r="F850" t="str">
        <f>IF(E850="","",TRIM(MID(TRIM('MSR RAW'!C850),SEARCH(" - ",TRIM('MSR RAW'!C850))+3,LEN(TRIM('MSR RAW'!C850))-SEARCH(" - ",TRIM('MSR RAW'!C850))-9)))</f>
        <v/>
      </c>
      <c r="G850" t="str">
        <f>IF(E850="","",IFERROR(VLOOKUP(E850,'CATEGORY MAP'!$A$2:$B$20,2,FALSE()),"REVIEW"))</f>
        <v/>
      </c>
      <c r="H850" t="str">
        <f>IF(E850="","",IFERROR(VALUE(SUBSTITUTE('MSR RAW'!P850,",","")),0))</f>
        <v/>
      </c>
      <c r="I850" t="str">
        <f>IF(E850="","",IFERROR(VALUE(SUBSTITUTE('MSR RAW'!S850,",","")),0))</f>
        <v/>
      </c>
    </row>
    <row r="851" spans="1:9" ht="68.650000000000006" customHeight="1" x14ac:dyDescent="0.2">
      <c r="A851">
        <v>851</v>
      </c>
      <c r="B85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51" t="str">
        <f>IF(LEFT(TRIM('MSR RAW'!A851),11)="Department:",TRIM('MSR RAW'!A851),C850)</f>
        <v>Department: 36637 - SPECIALTY CONCESSIONS (VENDING)</v>
      </c>
      <c r="D851" t="str">
        <f>IF(LEFT(TRIM('MSR RAW'!B851),9)="Location:",TRIM(MID('MSR RAW'!B851,10,999)),D850)</f>
        <v>FB 155 - SUB ISLAND NOODLES</v>
      </c>
      <c r="E851" t="str">
        <f>IF(AND(ISNUMBER(SEARCH(" - ",TRIM('MSR RAW'!C851))),RIGHT(TRIM('MSR RAW'!C851),6)="Total:"),LEFT(TRIM('MSR RAW'!C851),SEARCH(" - ",TRIM('MSR RAW'!C851))-1),"")</f>
        <v/>
      </c>
      <c r="F851" t="str">
        <f>IF(E851="","",TRIM(MID(TRIM('MSR RAW'!C851),SEARCH(" - ",TRIM('MSR RAW'!C851))+3,LEN(TRIM('MSR RAW'!C851))-SEARCH(" - ",TRIM('MSR RAW'!C851))-9)))</f>
        <v/>
      </c>
      <c r="G851" t="str">
        <f>IF(E851="","",IFERROR(VLOOKUP(E851,'CATEGORY MAP'!$A$2:$B$20,2,FALSE()),"REVIEW"))</f>
        <v/>
      </c>
      <c r="H851" t="str">
        <f>IF(E851="","",IFERROR(VALUE(SUBSTITUTE('MSR RAW'!P851,",","")),0))</f>
        <v/>
      </c>
      <c r="I851" t="str">
        <f>IF(E851="","",IFERROR(VALUE(SUBSTITUTE('MSR RAW'!S851,",","")),0))</f>
        <v/>
      </c>
    </row>
    <row r="852" spans="1:9" ht="68.650000000000006" customHeight="1" x14ac:dyDescent="0.2">
      <c r="A852">
        <v>852</v>
      </c>
      <c r="B85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52" t="str">
        <f>IF(LEFT(TRIM('MSR RAW'!A852),11)="Department:",TRIM('MSR RAW'!A852),C851)</f>
        <v>Department: 36637 - SPECIALTY CONCESSIONS (VENDING)</v>
      </c>
      <c r="D852" t="str">
        <f>IF(LEFT(TRIM('MSR RAW'!B852),9)="Location:",TRIM(MID('MSR RAW'!B852,10,999)),D851)</f>
        <v>FB 155 - SUB ISLAND NOODLES</v>
      </c>
      <c r="E852" t="str">
        <f>IF(AND(ISNUMBER(SEARCH(" - ",TRIM('MSR RAW'!C852))),RIGHT(TRIM('MSR RAW'!C852),6)="Total:"),LEFT(TRIM('MSR RAW'!C852),SEARCH(" - ",TRIM('MSR RAW'!C852))-1),"")</f>
        <v/>
      </c>
      <c r="F852" t="str">
        <f>IF(E852="","",TRIM(MID(TRIM('MSR RAW'!C852),SEARCH(" - ",TRIM('MSR RAW'!C852))+3,LEN(TRIM('MSR RAW'!C852))-SEARCH(" - ",TRIM('MSR RAW'!C852))-9)))</f>
        <v/>
      </c>
      <c r="G852" t="str">
        <f>IF(E852="","",IFERROR(VLOOKUP(E852,'CATEGORY MAP'!$A$2:$B$20,2,FALSE()),"REVIEW"))</f>
        <v/>
      </c>
      <c r="H852" t="str">
        <f>IF(E852="","",IFERROR(VALUE(SUBSTITUTE('MSR RAW'!P852,",","")),0))</f>
        <v/>
      </c>
      <c r="I852" t="str">
        <f>IF(E852="","",IFERROR(VALUE(SUBSTITUTE('MSR RAW'!S852,",","")),0))</f>
        <v/>
      </c>
    </row>
    <row r="853" spans="1:9" ht="68.650000000000006" customHeight="1" x14ac:dyDescent="0.2">
      <c r="A853">
        <v>853</v>
      </c>
      <c r="B85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53" t="str">
        <f>IF(LEFT(TRIM('MSR RAW'!A853),11)="Department:",TRIM('MSR RAW'!A853),C852)</f>
        <v>Department: 36637 - SPECIALTY CONCESSIONS (VENDING)</v>
      </c>
      <c r="D853" t="str">
        <f>IF(LEFT(TRIM('MSR RAW'!B853),9)="Location:",TRIM(MID('MSR RAW'!B853,10,999)),D852)</f>
        <v>FB 155 - SUB ISLAND NOODLES</v>
      </c>
      <c r="E853" t="str">
        <f>IF(AND(ISNUMBER(SEARCH(" - ",TRIM('MSR RAW'!C853))),RIGHT(TRIM('MSR RAW'!C853),6)="Total:"),LEFT(TRIM('MSR RAW'!C853),SEARCH(" - ",TRIM('MSR RAW'!C853))-1),"")</f>
        <v/>
      </c>
      <c r="F853" t="str">
        <f>IF(E853="","",TRIM(MID(TRIM('MSR RAW'!C853),SEARCH(" - ",TRIM('MSR RAW'!C853))+3,LEN(TRIM('MSR RAW'!C853))-SEARCH(" - ",TRIM('MSR RAW'!C853))-9)))</f>
        <v/>
      </c>
      <c r="G853" t="str">
        <f>IF(E853="","",IFERROR(VLOOKUP(E853,'CATEGORY MAP'!$A$2:$B$20,2,FALSE()),"REVIEW"))</f>
        <v/>
      </c>
      <c r="H853" t="str">
        <f>IF(E853="","",IFERROR(VALUE(SUBSTITUTE('MSR RAW'!P853,",","")),0))</f>
        <v/>
      </c>
      <c r="I853" t="str">
        <f>IF(E853="","",IFERROR(VALUE(SUBSTITUTE('MSR RAW'!S853,",","")),0))</f>
        <v/>
      </c>
    </row>
    <row r="854" spans="1:9" ht="68.650000000000006" customHeight="1" x14ac:dyDescent="0.2">
      <c r="A854">
        <v>854</v>
      </c>
      <c r="B85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54" t="str">
        <f>IF(LEFT(TRIM('MSR RAW'!A854),11)="Department:",TRIM('MSR RAW'!A854),C853)</f>
        <v>Department: 36637 - SPECIALTY CONCESSIONS (VENDING)</v>
      </c>
      <c r="D854" t="str">
        <f>IF(LEFT(TRIM('MSR RAW'!B854),9)="Location:",TRIM(MID('MSR RAW'!B854,10,999)),D853)</f>
        <v>FB 155 - SUB ISLAND NOODLES</v>
      </c>
      <c r="E854" t="str">
        <f>IF(AND(ISNUMBER(SEARCH(" - ",TRIM('MSR RAW'!C854))),RIGHT(TRIM('MSR RAW'!C854),6)="Total:"),LEFT(TRIM('MSR RAW'!C854),SEARCH(" - ",TRIM('MSR RAW'!C854))-1),"")</f>
        <v/>
      </c>
      <c r="F854" t="str">
        <f>IF(E854="","",TRIM(MID(TRIM('MSR RAW'!C854),SEARCH(" - ",TRIM('MSR RAW'!C854))+3,LEN(TRIM('MSR RAW'!C854))-SEARCH(" - ",TRIM('MSR RAW'!C854))-9)))</f>
        <v/>
      </c>
      <c r="G854" t="str">
        <f>IF(E854="","",IFERROR(VLOOKUP(E854,'CATEGORY MAP'!$A$2:$B$20,2,FALSE()),"REVIEW"))</f>
        <v/>
      </c>
      <c r="H854" t="str">
        <f>IF(E854="","",IFERROR(VALUE(SUBSTITUTE('MSR RAW'!P854,",","")),0))</f>
        <v/>
      </c>
      <c r="I854" t="str">
        <f>IF(E854="","",IFERROR(VALUE(SUBSTITUTE('MSR RAW'!S854,",","")),0))</f>
        <v/>
      </c>
    </row>
    <row r="855" spans="1:9" ht="68.650000000000006" customHeight="1" x14ac:dyDescent="0.2">
      <c r="A855">
        <v>855</v>
      </c>
      <c r="B85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55" t="str">
        <f>IF(LEFT(TRIM('MSR RAW'!A855),11)="Department:",TRIM('MSR RAW'!A855),C854)</f>
        <v>Department: 36637 - SPECIALTY CONCESSIONS (VENDING)</v>
      </c>
      <c r="D855" t="str">
        <f>IF(LEFT(TRIM('MSR RAW'!B855),9)="Location:",TRIM(MID('MSR RAW'!B855,10,999)),D854)</f>
        <v>FB 155 - SUB ISLAND NOODLES</v>
      </c>
      <c r="E855" t="str">
        <f>IF(AND(ISNUMBER(SEARCH(" - ",TRIM('MSR RAW'!C855))),RIGHT(TRIM('MSR RAW'!C855),6)="Total:"),LEFT(TRIM('MSR RAW'!C855),SEARCH(" - ",TRIM('MSR RAW'!C855))-1),"")</f>
        <v/>
      </c>
      <c r="F855" t="str">
        <f>IF(E855="","",TRIM(MID(TRIM('MSR RAW'!C855),SEARCH(" - ",TRIM('MSR RAW'!C855))+3,LEN(TRIM('MSR RAW'!C855))-SEARCH(" - ",TRIM('MSR RAW'!C855))-9)))</f>
        <v/>
      </c>
      <c r="G855" t="str">
        <f>IF(E855="","",IFERROR(VLOOKUP(E855,'CATEGORY MAP'!$A$2:$B$20,2,FALSE()),"REVIEW"))</f>
        <v/>
      </c>
      <c r="H855" t="str">
        <f>IF(E855="","",IFERROR(VALUE(SUBSTITUTE('MSR RAW'!P855,",","")),0))</f>
        <v/>
      </c>
      <c r="I855" t="str">
        <f>IF(E855="","",IFERROR(VALUE(SUBSTITUTE('MSR RAW'!S855,",","")),0))</f>
        <v/>
      </c>
    </row>
    <row r="856" spans="1:9" ht="68.650000000000006" customHeight="1" x14ac:dyDescent="0.2">
      <c r="A856">
        <v>856</v>
      </c>
      <c r="B85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56" t="str">
        <f>IF(LEFT(TRIM('MSR RAW'!A856),11)="Department:",TRIM('MSR RAW'!A856),C855)</f>
        <v>Department: 36637 - SPECIALTY CONCESSIONS (VENDING)</v>
      </c>
      <c r="D856" t="str">
        <f>IF(LEFT(TRIM('MSR RAW'!B856),9)="Location:",TRIM(MID('MSR RAW'!B856,10,999)),D855)</f>
        <v>FB 155 - SUB ISLAND NOODLES</v>
      </c>
      <c r="E856" t="str">
        <f>IF(AND(ISNUMBER(SEARCH(" - ",TRIM('MSR RAW'!C856))),RIGHT(TRIM('MSR RAW'!C856),6)="Total:"),LEFT(TRIM('MSR RAW'!C856),SEARCH(" - ",TRIM('MSR RAW'!C856))-1),"")</f>
        <v/>
      </c>
      <c r="F856" t="str">
        <f>IF(E856="","",TRIM(MID(TRIM('MSR RAW'!C856),SEARCH(" - ",TRIM('MSR RAW'!C856))+3,LEN(TRIM('MSR RAW'!C856))-SEARCH(" - ",TRIM('MSR RAW'!C856))-9)))</f>
        <v/>
      </c>
      <c r="G856" t="str">
        <f>IF(E856="","",IFERROR(VLOOKUP(E856,'CATEGORY MAP'!$A$2:$B$20,2,FALSE()),"REVIEW"))</f>
        <v/>
      </c>
      <c r="H856" t="str">
        <f>IF(E856="","",IFERROR(VALUE(SUBSTITUTE('MSR RAW'!P856,",","")),0))</f>
        <v/>
      </c>
      <c r="I856" t="str">
        <f>IF(E856="","",IFERROR(VALUE(SUBSTITUTE('MSR RAW'!S856,",","")),0))</f>
        <v/>
      </c>
    </row>
    <row r="857" spans="1:9" ht="68.650000000000006" customHeight="1" x14ac:dyDescent="0.2">
      <c r="A857">
        <v>857</v>
      </c>
      <c r="B85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57" t="str">
        <f>IF(LEFT(TRIM('MSR RAW'!A857),11)="Department:",TRIM('MSR RAW'!A857),C856)</f>
        <v>Department: 36637 - SPECIALTY CONCESSIONS (VENDING)</v>
      </c>
      <c r="D857" t="str">
        <f>IF(LEFT(TRIM('MSR RAW'!B857),9)="Location:",TRIM(MID('MSR RAW'!B857,10,999)),D856)</f>
        <v>FB 155 - SUB ISLAND NOODLES</v>
      </c>
      <c r="E857" t="str">
        <f>IF(AND(ISNUMBER(SEARCH(" - ",TRIM('MSR RAW'!C857))),RIGHT(TRIM('MSR RAW'!C857),6)="Total:"),LEFT(TRIM('MSR RAW'!C857),SEARCH(" - ",TRIM('MSR RAW'!C857))-1),"")</f>
        <v/>
      </c>
      <c r="F857" t="str">
        <f>IF(E857="","",TRIM(MID(TRIM('MSR RAW'!C857),SEARCH(" - ",TRIM('MSR RAW'!C857))+3,LEN(TRIM('MSR RAW'!C857))-SEARCH(" - ",TRIM('MSR RAW'!C857))-9)))</f>
        <v/>
      </c>
      <c r="G857" t="str">
        <f>IF(E857="","",IFERROR(VLOOKUP(E857,'CATEGORY MAP'!$A$2:$B$20,2,FALSE()),"REVIEW"))</f>
        <v/>
      </c>
      <c r="H857" t="str">
        <f>IF(E857="","",IFERROR(VALUE(SUBSTITUTE('MSR RAW'!P857,",","")),0))</f>
        <v/>
      </c>
      <c r="I857" t="str">
        <f>IF(E857="","",IFERROR(VALUE(SUBSTITUTE('MSR RAW'!S857,",","")),0))</f>
        <v/>
      </c>
    </row>
    <row r="858" spans="1:9" ht="68.650000000000006" customHeight="1" x14ac:dyDescent="0.2">
      <c r="A858">
        <v>858</v>
      </c>
      <c r="B85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58" t="str">
        <f>IF(LEFT(TRIM('MSR RAW'!A858),11)="Department:",TRIM('MSR RAW'!A858),C857)</f>
        <v>Department: 36637 - SPECIALTY CONCESSIONS (VENDING)</v>
      </c>
      <c r="D858" t="str">
        <f>IF(LEFT(TRIM('MSR RAW'!B858),9)="Location:",TRIM(MID('MSR RAW'!B858,10,999)),D857)</f>
        <v>FB 155 - SUB ISLAND NOODLES</v>
      </c>
      <c r="E858" t="str">
        <f>IF(AND(ISNUMBER(SEARCH(" - ",TRIM('MSR RAW'!C858))),RIGHT(TRIM('MSR RAW'!C858),6)="Total:"),LEFT(TRIM('MSR RAW'!C858),SEARCH(" - ",TRIM('MSR RAW'!C858))-1),"")</f>
        <v/>
      </c>
      <c r="F858" t="str">
        <f>IF(E858="","",TRIM(MID(TRIM('MSR RAW'!C858),SEARCH(" - ",TRIM('MSR RAW'!C858))+3,LEN(TRIM('MSR RAW'!C858))-SEARCH(" - ",TRIM('MSR RAW'!C858))-9)))</f>
        <v/>
      </c>
      <c r="G858" t="str">
        <f>IF(E858="","",IFERROR(VLOOKUP(E858,'CATEGORY MAP'!$A$2:$B$20,2,FALSE()),"REVIEW"))</f>
        <v/>
      </c>
      <c r="H858" t="str">
        <f>IF(E858="","",IFERROR(VALUE(SUBSTITUTE('MSR RAW'!P858,",","")),0))</f>
        <v/>
      </c>
      <c r="I858" t="str">
        <f>IF(E858="","",IFERROR(VALUE(SUBSTITUTE('MSR RAW'!S858,",","")),0))</f>
        <v/>
      </c>
    </row>
    <row r="859" spans="1:9" ht="68.650000000000006" customHeight="1" x14ac:dyDescent="0.2">
      <c r="A859">
        <v>859</v>
      </c>
      <c r="B85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59" t="str">
        <f>IF(LEFT(TRIM('MSR RAW'!A859),11)="Department:",TRIM('MSR RAW'!A859),C858)</f>
        <v>Department: 36637 - SPECIALTY CONCESSIONS (VENDING)</v>
      </c>
      <c r="D859" t="str">
        <f>IF(LEFT(TRIM('MSR RAW'!B859),9)="Location:",TRIM(MID('MSR RAW'!B859,10,999)),D858)</f>
        <v>FB 155 - SUB ISLAND NOODLES</v>
      </c>
      <c r="E859" t="str">
        <f>IF(AND(ISNUMBER(SEARCH(" - ",TRIM('MSR RAW'!C859))),RIGHT(TRIM('MSR RAW'!C859),6)="Total:"),LEFT(TRIM('MSR RAW'!C859),SEARCH(" - ",TRIM('MSR RAW'!C859))-1),"")</f>
        <v/>
      </c>
      <c r="F859" t="str">
        <f>IF(E859="","",TRIM(MID(TRIM('MSR RAW'!C859),SEARCH(" - ",TRIM('MSR RAW'!C859))+3,LEN(TRIM('MSR RAW'!C859))-SEARCH(" - ",TRIM('MSR RAW'!C859))-9)))</f>
        <v/>
      </c>
      <c r="G859" t="str">
        <f>IF(E859="","",IFERROR(VLOOKUP(E859,'CATEGORY MAP'!$A$2:$B$20,2,FALSE()),"REVIEW"))</f>
        <v/>
      </c>
      <c r="H859" t="str">
        <f>IF(E859="","",IFERROR(VALUE(SUBSTITUTE('MSR RAW'!P859,",","")),0))</f>
        <v/>
      </c>
      <c r="I859" t="str">
        <f>IF(E859="","",IFERROR(VALUE(SUBSTITUTE('MSR RAW'!S859,",","")),0))</f>
        <v/>
      </c>
    </row>
    <row r="860" spans="1:9" ht="68.650000000000006" customHeight="1" x14ac:dyDescent="0.2">
      <c r="A860">
        <v>860</v>
      </c>
      <c r="B86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60" t="str">
        <f>IF(LEFT(TRIM('MSR RAW'!A860),11)="Department:",TRIM('MSR RAW'!A860),C859)</f>
        <v>Department: 36637 - SPECIALTY CONCESSIONS (VENDING)</v>
      </c>
      <c r="D860" t="str">
        <f>IF(LEFT(TRIM('MSR RAW'!B860),9)="Location:",TRIM(MID('MSR RAW'!B860,10,999)),D859)</f>
        <v>FB 155 - SUB ISLAND NOODLES</v>
      </c>
      <c r="E860" t="str">
        <f>IF(AND(ISNUMBER(SEARCH(" - ",TRIM('MSR RAW'!C860))),RIGHT(TRIM('MSR RAW'!C860),6)="Total:"),LEFT(TRIM('MSR RAW'!C860),SEARCH(" - ",TRIM('MSR RAW'!C860))-1),"")</f>
        <v/>
      </c>
      <c r="F860" t="str">
        <f>IF(E860="","",TRIM(MID(TRIM('MSR RAW'!C860),SEARCH(" - ",TRIM('MSR RAW'!C860))+3,LEN(TRIM('MSR RAW'!C860))-SEARCH(" - ",TRIM('MSR RAW'!C860))-9)))</f>
        <v/>
      </c>
      <c r="G860" t="str">
        <f>IF(E860="","",IFERROR(VLOOKUP(E860,'CATEGORY MAP'!$A$2:$B$20,2,FALSE()),"REVIEW"))</f>
        <v/>
      </c>
      <c r="H860" t="str">
        <f>IF(E860="","",IFERROR(VALUE(SUBSTITUTE('MSR RAW'!P860,",","")),0))</f>
        <v/>
      </c>
      <c r="I860" t="str">
        <f>IF(E860="","",IFERROR(VALUE(SUBSTITUTE('MSR RAW'!S860,",","")),0))</f>
        <v/>
      </c>
    </row>
    <row r="861" spans="1:9" ht="68.650000000000006" customHeight="1" x14ac:dyDescent="0.2">
      <c r="A861">
        <v>861</v>
      </c>
      <c r="B86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61" t="str">
        <f>IF(LEFT(TRIM('MSR RAW'!A861),11)="Department:",TRIM('MSR RAW'!A861),C860)</f>
        <v>Department: 36637 - SPECIALTY CONCESSIONS (VENDING)</v>
      </c>
      <c r="D861" t="str">
        <f>IF(LEFT(TRIM('MSR RAW'!B861),9)="Location:",TRIM(MID('MSR RAW'!B861,10,999)),D860)</f>
        <v>FB 155 - SUB ISLAND NOODLES</v>
      </c>
      <c r="E861" t="str">
        <f>IF(AND(ISNUMBER(SEARCH(" - ",TRIM('MSR RAW'!C861))),RIGHT(TRIM('MSR RAW'!C861),6)="Total:"),LEFT(TRIM('MSR RAW'!C861),SEARCH(" - ",TRIM('MSR RAW'!C861))-1),"")</f>
        <v/>
      </c>
      <c r="F861" t="str">
        <f>IF(E861="","",TRIM(MID(TRIM('MSR RAW'!C861),SEARCH(" - ",TRIM('MSR RAW'!C861))+3,LEN(TRIM('MSR RAW'!C861))-SEARCH(" - ",TRIM('MSR RAW'!C861))-9)))</f>
        <v/>
      </c>
      <c r="G861" t="str">
        <f>IF(E861="","",IFERROR(VLOOKUP(E861,'CATEGORY MAP'!$A$2:$B$20,2,FALSE()),"REVIEW"))</f>
        <v/>
      </c>
      <c r="H861" t="str">
        <f>IF(E861="","",IFERROR(VALUE(SUBSTITUTE('MSR RAW'!P861,",","")),0))</f>
        <v/>
      </c>
      <c r="I861" t="str">
        <f>IF(E861="","",IFERROR(VALUE(SUBSTITUTE('MSR RAW'!S861,",","")),0))</f>
        <v/>
      </c>
    </row>
    <row r="862" spans="1:9" ht="68.650000000000006" customHeight="1" x14ac:dyDescent="0.2">
      <c r="A862">
        <v>862</v>
      </c>
      <c r="B86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62" t="str">
        <f>IF(LEFT(TRIM('MSR RAW'!A862),11)="Department:",TRIM('MSR RAW'!A862),C861)</f>
        <v>Department: 36637 - SPECIALTY CONCESSIONS (VENDING)</v>
      </c>
      <c r="D862" t="str">
        <f>IF(LEFT(TRIM('MSR RAW'!B862),9)="Location:",TRIM(MID('MSR RAW'!B862,10,999)),D861)</f>
        <v>FB 155 - SUB ISLAND NOODLES</v>
      </c>
      <c r="E862" t="str">
        <f>IF(AND(ISNUMBER(SEARCH(" - ",TRIM('MSR RAW'!C862))),RIGHT(TRIM('MSR RAW'!C862),6)="Total:"),LEFT(TRIM('MSR RAW'!C862),SEARCH(" - ",TRIM('MSR RAW'!C862))-1),"")</f>
        <v/>
      </c>
      <c r="F862" t="str">
        <f>IF(E862="","",TRIM(MID(TRIM('MSR RAW'!C862),SEARCH(" - ",TRIM('MSR RAW'!C862))+3,LEN(TRIM('MSR RAW'!C862))-SEARCH(" - ",TRIM('MSR RAW'!C862))-9)))</f>
        <v/>
      </c>
      <c r="G862" t="str">
        <f>IF(E862="","",IFERROR(VLOOKUP(E862,'CATEGORY MAP'!$A$2:$B$20,2,FALSE()),"REVIEW"))</f>
        <v/>
      </c>
      <c r="H862" t="str">
        <f>IF(E862="","",IFERROR(VALUE(SUBSTITUTE('MSR RAW'!P862,",","")),0))</f>
        <v/>
      </c>
      <c r="I862" t="str">
        <f>IF(E862="","",IFERROR(VALUE(SUBSTITUTE('MSR RAW'!S862,",","")),0))</f>
        <v/>
      </c>
    </row>
    <row r="863" spans="1:9" ht="68.650000000000006" customHeight="1" x14ac:dyDescent="0.2">
      <c r="A863">
        <v>863</v>
      </c>
      <c r="B86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63" t="str">
        <f>IF(LEFT(TRIM('MSR RAW'!A863),11)="Department:",TRIM('MSR RAW'!A863),C862)</f>
        <v>Department: 36637 - SPECIALTY CONCESSIONS (VENDING)</v>
      </c>
      <c r="D863" t="str">
        <f>IF(LEFT(TRIM('MSR RAW'!B863),9)="Location:",TRIM(MID('MSR RAW'!B863,10,999)),D862)</f>
        <v>FB 155 - SUB ISLAND NOODLES</v>
      </c>
      <c r="E863" t="str">
        <f>IF(AND(ISNUMBER(SEARCH(" - ",TRIM('MSR RAW'!C863))),RIGHT(TRIM('MSR RAW'!C863),6)="Total:"),LEFT(TRIM('MSR RAW'!C863),SEARCH(" - ",TRIM('MSR RAW'!C863))-1),"")</f>
        <v/>
      </c>
      <c r="F863" t="str">
        <f>IF(E863="","",TRIM(MID(TRIM('MSR RAW'!C863),SEARCH(" - ",TRIM('MSR RAW'!C863))+3,LEN(TRIM('MSR RAW'!C863))-SEARCH(" - ",TRIM('MSR RAW'!C863))-9)))</f>
        <v/>
      </c>
      <c r="G863" t="str">
        <f>IF(E863="","",IFERROR(VLOOKUP(E863,'CATEGORY MAP'!$A$2:$B$20,2,FALSE()),"REVIEW"))</f>
        <v/>
      </c>
      <c r="H863" t="str">
        <f>IF(E863="","",IFERROR(VALUE(SUBSTITUTE('MSR RAW'!P863,",","")),0))</f>
        <v/>
      </c>
      <c r="I863" t="str">
        <f>IF(E863="","",IFERROR(VALUE(SUBSTITUTE('MSR RAW'!S863,",","")),0))</f>
        <v/>
      </c>
    </row>
    <row r="864" spans="1:9" ht="68.650000000000006" customHeight="1" x14ac:dyDescent="0.2">
      <c r="A864">
        <v>864</v>
      </c>
      <c r="B86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64" t="str">
        <f>IF(LEFT(TRIM('MSR RAW'!A864),11)="Department:",TRIM('MSR RAW'!A864),C863)</f>
        <v>Department: 36637 - SPECIALTY CONCESSIONS (VENDING)</v>
      </c>
      <c r="D864" t="str">
        <f>IF(LEFT(TRIM('MSR RAW'!B864),9)="Location:",TRIM(MID('MSR RAW'!B864,10,999)),D863)</f>
        <v>FB 155 - SUB ISLAND NOODLES</v>
      </c>
      <c r="E864" t="str">
        <f>IF(AND(ISNUMBER(SEARCH(" - ",TRIM('MSR RAW'!C864))),RIGHT(TRIM('MSR RAW'!C864),6)="Total:"),LEFT(TRIM('MSR RAW'!C864),SEARCH(" - ",TRIM('MSR RAW'!C864))-1),"")</f>
        <v/>
      </c>
      <c r="F864" t="str">
        <f>IF(E864="","",TRIM(MID(TRIM('MSR RAW'!C864),SEARCH(" - ",TRIM('MSR RAW'!C864))+3,LEN(TRIM('MSR RAW'!C864))-SEARCH(" - ",TRIM('MSR RAW'!C864))-9)))</f>
        <v/>
      </c>
      <c r="G864" t="str">
        <f>IF(E864="","",IFERROR(VLOOKUP(E864,'CATEGORY MAP'!$A$2:$B$20,2,FALSE()),"REVIEW"))</f>
        <v/>
      </c>
      <c r="H864" t="str">
        <f>IF(E864="","",IFERROR(VALUE(SUBSTITUTE('MSR RAW'!P864,",","")),0))</f>
        <v/>
      </c>
      <c r="I864" t="str">
        <f>IF(E864="","",IFERROR(VALUE(SUBSTITUTE('MSR RAW'!S864,",","")),0))</f>
        <v/>
      </c>
    </row>
    <row r="865" spans="1:9" ht="68.650000000000006" customHeight="1" x14ac:dyDescent="0.2">
      <c r="A865">
        <v>865</v>
      </c>
      <c r="B86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65" t="str">
        <f>IF(LEFT(TRIM('MSR RAW'!A865),11)="Department:",TRIM('MSR RAW'!A865),C864)</f>
        <v>Department: 36637 - SPECIALTY CONCESSIONS (VENDING)</v>
      </c>
      <c r="D865" t="str">
        <f>IF(LEFT(TRIM('MSR RAW'!B865),9)="Location:",TRIM(MID('MSR RAW'!B865,10,999)),D864)</f>
        <v>FB 155 - SUB ISLAND NOODLES</v>
      </c>
      <c r="E865" t="str">
        <f>IF(AND(ISNUMBER(SEARCH(" - ",TRIM('MSR RAW'!C865))),RIGHT(TRIM('MSR RAW'!C865),6)="Total:"),LEFT(TRIM('MSR RAW'!C865),SEARCH(" - ",TRIM('MSR RAW'!C865))-1),"")</f>
        <v/>
      </c>
      <c r="F865" t="str">
        <f>IF(E865="","",TRIM(MID(TRIM('MSR RAW'!C865),SEARCH(" - ",TRIM('MSR RAW'!C865))+3,LEN(TRIM('MSR RAW'!C865))-SEARCH(" - ",TRIM('MSR RAW'!C865))-9)))</f>
        <v/>
      </c>
      <c r="G865" t="str">
        <f>IF(E865="","",IFERROR(VLOOKUP(E865,'CATEGORY MAP'!$A$2:$B$20,2,FALSE()),"REVIEW"))</f>
        <v/>
      </c>
      <c r="H865" t="str">
        <f>IF(E865="","",IFERROR(VALUE(SUBSTITUTE('MSR RAW'!P865,",","")),0))</f>
        <v/>
      </c>
      <c r="I865" t="str">
        <f>IF(E865="","",IFERROR(VALUE(SUBSTITUTE('MSR RAW'!S865,",","")),0))</f>
        <v/>
      </c>
    </row>
    <row r="866" spans="1:9" ht="68.650000000000006" customHeight="1" x14ac:dyDescent="0.2">
      <c r="A866">
        <v>866</v>
      </c>
      <c r="B86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66" t="str">
        <f>IF(LEFT(TRIM('MSR RAW'!A866),11)="Department:",TRIM('MSR RAW'!A866),C865)</f>
        <v>Department: 36637 - SPECIALTY CONCESSIONS (VENDING)</v>
      </c>
      <c r="D866" t="str">
        <f>IF(LEFT(TRIM('MSR RAW'!B866),9)="Location:",TRIM(MID('MSR RAW'!B866,10,999)),D865)</f>
        <v>FB 155 - SUB ISLAND NOODLES</v>
      </c>
      <c r="E866" t="str">
        <f>IF(AND(ISNUMBER(SEARCH(" - ",TRIM('MSR RAW'!C866))),RIGHT(TRIM('MSR RAW'!C866),6)="Total:"),LEFT(TRIM('MSR RAW'!C866),SEARCH(" - ",TRIM('MSR RAW'!C866))-1),"")</f>
        <v/>
      </c>
      <c r="F866" t="str">
        <f>IF(E866="","",TRIM(MID(TRIM('MSR RAW'!C866),SEARCH(" - ",TRIM('MSR RAW'!C866))+3,LEN(TRIM('MSR RAW'!C866))-SEARCH(" - ",TRIM('MSR RAW'!C866))-9)))</f>
        <v/>
      </c>
      <c r="G866" t="str">
        <f>IF(E866="","",IFERROR(VLOOKUP(E866,'CATEGORY MAP'!$A$2:$B$20,2,FALSE()),"REVIEW"))</f>
        <v/>
      </c>
      <c r="H866" t="str">
        <f>IF(E866="","",IFERROR(VALUE(SUBSTITUTE('MSR RAW'!P866,",","")),0))</f>
        <v/>
      </c>
      <c r="I866" t="str">
        <f>IF(E866="","",IFERROR(VALUE(SUBSTITUTE('MSR RAW'!S866,",","")),0))</f>
        <v/>
      </c>
    </row>
    <row r="867" spans="1:9" ht="68.650000000000006" customHeight="1" x14ac:dyDescent="0.2">
      <c r="A867">
        <v>867</v>
      </c>
      <c r="B86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67" t="str">
        <f>IF(LEFT(TRIM('MSR RAW'!A867),11)="Department:",TRIM('MSR RAW'!A867),C866)</f>
        <v>Department: 36637 - SPECIALTY CONCESSIONS (VENDING)</v>
      </c>
      <c r="D867" t="str">
        <f>IF(LEFT(TRIM('MSR RAW'!B867),9)="Location:",TRIM(MID('MSR RAW'!B867,10,999)),D866)</f>
        <v>FB 155 - SUB ISLAND NOODLES</v>
      </c>
      <c r="E867" t="str">
        <f>IF(AND(ISNUMBER(SEARCH(" - ",TRIM('MSR RAW'!C867))),RIGHT(TRIM('MSR RAW'!C867),6)="Total:"),LEFT(TRIM('MSR RAW'!C867),SEARCH(" - ",TRIM('MSR RAW'!C867))-1),"")</f>
        <v/>
      </c>
      <c r="F867" t="str">
        <f>IF(E867="","",TRIM(MID(TRIM('MSR RAW'!C867),SEARCH(" - ",TRIM('MSR RAW'!C867))+3,LEN(TRIM('MSR RAW'!C867))-SEARCH(" - ",TRIM('MSR RAW'!C867))-9)))</f>
        <v/>
      </c>
      <c r="G867" t="str">
        <f>IF(E867="","",IFERROR(VLOOKUP(E867,'CATEGORY MAP'!$A$2:$B$20,2,FALSE()),"REVIEW"))</f>
        <v/>
      </c>
      <c r="H867" t="str">
        <f>IF(E867="","",IFERROR(VALUE(SUBSTITUTE('MSR RAW'!P867,",","")),0))</f>
        <v/>
      </c>
      <c r="I867" t="str">
        <f>IF(E867="","",IFERROR(VALUE(SUBSTITUTE('MSR RAW'!S867,",","")),0))</f>
        <v/>
      </c>
    </row>
    <row r="868" spans="1:9" ht="68.650000000000006" customHeight="1" x14ac:dyDescent="0.2">
      <c r="A868">
        <v>868</v>
      </c>
      <c r="B86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68" t="str">
        <f>IF(LEFT(TRIM('MSR RAW'!A868),11)="Department:",TRIM('MSR RAW'!A868),C867)</f>
        <v>Department: 36637 - SPECIALTY CONCESSIONS (VENDING)</v>
      </c>
      <c r="D868" t="str">
        <f>IF(LEFT(TRIM('MSR RAW'!B868),9)="Location:",TRIM(MID('MSR RAW'!B868,10,999)),D867)</f>
        <v>FB 155 - SUB ISLAND NOODLES</v>
      </c>
      <c r="E868" t="str">
        <f>IF(AND(ISNUMBER(SEARCH(" - ",TRIM('MSR RAW'!C868))),RIGHT(TRIM('MSR RAW'!C868),6)="Total:"),LEFT(TRIM('MSR RAW'!C868),SEARCH(" - ",TRIM('MSR RAW'!C868))-1),"")</f>
        <v/>
      </c>
      <c r="F868" t="str">
        <f>IF(E868="","",TRIM(MID(TRIM('MSR RAW'!C868),SEARCH(" - ",TRIM('MSR RAW'!C868))+3,LEN(TRIM('MSR RAW'!C868))-SEARCH(" - ",TRIM('MSR RAW'!C868))-9)))</f>
        <v/>
      </c>
      <c r="G868" t="str">
        <f>IF(E868="","",IFERROR(VLOOKUP(E868,'CATEGORY MAP'!$A$2:$B$20,2,FALSE()),"REVIEW"))</f>
        <v/>
      </c>
      <c r="H868" t="str">
        <f>IF(E868="","",IFERROR(VALUE(SUBSTITUTE('MSR RAW'!P868,",","")),0))</f>
        <v/>
      </c>
      <c r="I868" t="str">
        <f>IF(E868="","",IFERROR(VALUE(SUBSTITUTE('MSR RAW'!S868,",","")),0))</f>
        <v/>
      </c>
    </row>
    <row r="869" spans="1:9" ht="68.650000000000006" customHeight="1" x14ac:dyDescent="0.2">
      <c r="A869">
        <v>869</v>
      </c>
      <c r="B86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69" t="str">
        <f>IF(LEFT(TRIM('MSR RAW'!A869),11)="Department:",TRIM('MSR RAW'!A869),C868)</f>
        <v>Department: 36637 - SPECIALTY CONCESSIONS (VENDING)</v>
      </c>
      <c r="D869" t="str">
        <f>IF(LEFT(TRIM('MSR RAW'!B869),9)="Location:",TRIM(MID('MSR RAW'!B869,10,999)),D868)</f>
        <v>FB 155 - SUB ISLAND NOODLES</v>
      </c>
      <c r="E869" t="str">
        <f>IF(AND(ISNUMBER(SEARCH(" - ",TRIM('MSR RAW'!C869))),RIGHT(TRIM('MSR RAW'!C869),6)="Total:"),LEFT(TRIM('MSR RAW'!C869),SEARCH(" - ",TRIM('MSR RAW'!C869))-1),"")</f>
        <v/>
      </c>
      <c r="F869" t="str">
        <f>IF(E869="","",TRIM(MID(TRIM('MSR RAW'!C869),SEARCH(" - ",TRIM('MSR RAW'!C869))+3,LEN(TRIM('MSR RAW'!C869))-SEARCH(" - ",TRIM('MSR RAW'!C869))-9)))</f>
        <v/>
      </c>
      <c r="G869" t="str">
        <f>IF(E869="","",IFERROR(VLOOKUP(E869,'CATEGORY MAP'!$A$2:$B$20,2,FALSE()),"REVIEW"))</f>
        <v/>
      </c>
      <c r="H869" t="str">
        <f>IF(E869="","",IFERROR(VALUE(SUBSTITUTE('MSR RAW'!P869,",","")),0))</f>
        <v/>
      </c>
      <c r="I869" t="str">
        <f>IF(E869="","",IFERROR(VALUE(SUBSTITUTE('MSR RAW'!S869,",","")),0))</f>
        <v/>
      </c>
    </row>
    <row r="870" spans="1:9" ht="68.650000000000006" customHeight="1" x14ac:dyDescent="0.2">
      <c r="A870">
        <v>870</v>
      </c>
      <c r="B87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70" t="str">
        <f>IF(LEFT(TRIM('MSR RAW'!A870),11)="Department:",TRIM('MSR RAW'!A870),C869)</f>
        <v>Department: 36637 - SPECIALTY CONCESSIONS (VENDING)</v>
      </c>
      <c r="D870" t="str">
        <f>IF(LEFT(TRIM('MSR RAW'!B870),9)="Location:",TRIM(MID('MSR RAW'!B870,10,999)),D869)</f>
        <v>FB 155 - SUB ISLAND NOODLES</v>
      </c>
      <c r="E870" t="str">
        <f>IF(AND(ISNUMBER(SEARCH(" - ",TRIM('MSR RAW'!C870))),RIGHT(TRIM('MSR RAW'!C870),6)="Total:"),LEFT(TRIM('MSR RAW'!C870),SEARCH(" - ",TRIM('MSR RAW'!C870))-1),"")</f>
        <v/>
      </c>
      <c r="F870" t="str">
        <f>IF(E870="","",TRIM(MID(TRIM('MSR RAW'!C870),SEARCH(" - ",TRIM('MSR RAW'!C870))+3,LEN(TRIM('MSR RAW'!C870))-SEARCH(" - ",TRIM('MSR RAW'!C870))-9)))</f>
        <v/>
      </c>
      <c r="G870" t="str">
        <f>IF(E870="","",IFERROR(VLOOKUP(E870,'CATEGORY MAP'!$A$2:$B$20,2,FALSE()),"REVIEW"))</f>
        <v/>
      </c>
      <c r="H870" t="str">
        <f>IF(E870="","",IFERROR(VALUE(SUBSTITUTE('MSR RAW'!P870,",","")),0))</f>
        <v/>
      </c>
      <c r="I870" t="str">
        <f>IF(E870="","",IFERROR(VALUE(SUBSTITUTE('MSR RAW'!S870,",","")),0))</f>
        <v/>
      </c>
    </row>
    <row r="871" spans="1:9" ht="68.650000000000006" customHeight="1" x14ac:dyDescent="0.2">
      <c r="A871">
        <v>871</v>
      </c>
      <c r="B87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71" t="str">
        <f>IF(LEFT(TRIM('MSR RAW'!A871),11)="Department:",TRIM('MSR RAW'!A871),C870)</f>
        <v>Department: 36637 - SPECIALTY CONCESSIONS (VENDING)</v>
      </c>
      <c r="D871" t="str">
        <f>IF(LEFT(TRIM('MSR RAW'!B871),9)="Location:",TRIM(MID('MSR RAW'!B871,10,999)),D870)</f>
        <v>FB 155 - SUB ISLAND NOODLES</v>
      </c>
      <c r="E871" t="str">
        <f>IF(AND(ISNUMBER(SEARCH(" - ",TRIM('MSR RAW'!C871))),RIGHT(TRIM('MSR RAW'!C871),6)="Total:"),LEFT(TRIM('MSR RAW'!C871),SEARCH(" - ",TRIM('MSR RAW'!C871))-1),"")</f>
        <v/>
      </c>
      <c r="F871" t="str">
        <f>IF(E871="","",TRIM(MID(TRIM('MSR RAW'!C871),SEARCH(" - ",TRIM('MSR RAW'!C871))+3,LEN(TRIM('MSR RAW'!C871))-SEARCH(" - ",TRIM('MSR RAW'!C871))-9)))</f>
        <v/>
      </c>
      <c r="G871" t="str">
        <f>IF(E871="","",IFERROR(VLOOKUP(E871,'CATEGORY MAP'!$A$2:$B$20,2,FALSE()),"REVIEW"))</f>
        <v/>
      </c>
      <c r="H871" t="str">
        <f>IF(E871="","",IFERROR(VALUE(SUBSTITUTE('MSR RAW'!P871,",","")),0))</f>
        <v/>
      </c>
      <c r="I871" t="str">
        <f>IF(E871="","",IFERROR(VALUE(SUBSTITUTE('MSR RAW'!S871,",","")),0))</f>
        <v/>
      </c>
    </row>
    <row r="872" spans="1:9" ht="68.650000000000006" customHeight="1" x14ac:dyDescent="0.2">
      <c r="A872">
        <v>872</v>
      </c>
      <c r="B87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72" t="str">
        <f>IF(LEFT(TRIM('MSR RAW'!A872),11)="Department:",TRIM('MSR RAW'!A872),C871)</f>
        <v>Department: 36637 - SPECIALTY CONCESSIONS (VENDING)</v>
      </c>
      <c r="D872" t="str">
        <f>IF(LEFT(TRIM('MSR RAW'!B872),9)="Location:",TRIM(MID('MSR RAW'!B872,10,999)),D871)</f>
        <v>FB 155 - SUB ISLAND NOODLES</v>
      </c>
      <c r="E872" t="str">
        <f>IF(AND(ISNUMBER(SEARCH(" - ",TRIM('MSR RAW'!C872))),RIGHT(TRIM('MSR RAW'!C872),6)="Total:"),LEFT(TRIM('MSR RAW'!C872),SEARCH(" - ",TRIM('MSR RAW'!C872))-1),"")</f>
        <v/>
      </c>
      <c r="F872" t="str">
        <f>IF(E872="","",TRIM(MID(TRIM('MSR RAW'!C872),SEARCH(" - ",TRIM('MSR RAW'!C872))+3,LEN(TRIM('MSR RAW'!C872))-SEARCH(" - ",TRIM('MSR RAW'!C872))-9)))</f>
        <v/>
      </c>
      <c r="G872" t="str">
        <f>IF(E872="","",IFERROR(VLOOKUP(E872,'CATEGORY MAP'!$A$2:$B$20,2,FALSE()),"REVIEW"))</f>
        <v/>
      </c>
      <c r="H872" t="str">
        <f>IF(E872="","",IFERROR(VALUE(SUBSTITUTE('MSR RAW'!P872,",","")),0))</f>
        <v/>
      </c>
      <c r="I872" t="str">
        <f>IF(E872="","",IFERROR(VALUE(SUBSTITUTE('MSR RAW'!S872,",","")),0))</f>
        <v/>
      </c>
    </row>
    <row r="873" spans="1:9" ht="68.650000000000006" customHeight="1" x14ac:dyDescent="0.2">
      <c r="A873">
        <v>873</v>
      </c>
      <c r="B87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73" t="str">
        <f>IF(LEFT(TRIM('MSR RAW'!A873),11)="Department:",TRIM('MSR RAW'!A873),C872)</f>
        <v>Department: 36637 - SPECIALTY CONCESSIONS (VENDING)</v>
      </c>
      <c r="D873" t="str">
        <f>IF(LEFT(TRIM('MSR RAW'!B873),9)="Location:",TRIM(MID('MSR RAW'!B873,10,999)),D872)</f>
        <v>FB 155 - SUB ISLAND NOODLES</v>
      </c>
      <c r="E873" t="str">
        <f>IF(AND(ISNUMBER(SEARCH(" - ",TRIM('MSR RAW'!C873))),RIGHT(TRIM('MSR RAW'!C873),6)="Total:"),LEFT(TRIM('MSR RAW'!C873),SEARCH(" - ",TRIM('MSR RAW'!C873))-1),"")</f>
        <v/>
      </c>
      <c r="F873" t="str">
        <f>IF(E873="","",TRIM(MID(TRIM('MSR RAW'!C873),SEARCH(" - ",TRIM('MSR RAW'!C873))+3,LEN(TRIM('MSR RAW'!C873))-SEARCH(" - ",TRIM('MSR RAW'!C873))-9)))</f>
        <v/>
      </c>
      <c r="G873" t="str">
        <f>IF(E873="","",IFERROR(VLOOKUP(E873,'CATEGORY MAP'!$A$2:$B$20,2,FALSE()),"REVIEW"))</f>
        <v/>
      </c>
      <c r="H873" t="str">
        <f>IF(E873="","",IFERROR(VALUE(SUBSTITUTE('MSR RAW'!P873,",","")),0))</f>
        <v/>
      </c>
      <c r="I873" t="str">
        <f>IF(E873="","",IFERROR(VALUE(SUBSTITUTE('MSR RAW'!S873,",","")),0))</f>
        <v/>
      </c>
    </row>
    <row r="874" spans="1:9" ht="68.650000000000006" customHeight="1" x14ac:dyDescent="0.2">
      <c r="A874">
        <v>874</v>
      </c>
      <c r="B87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74" t="str">
        <f>IF(LEFT(TRIM('MSR RAW'!A874),11)="Department:",TRIM('MSR RAW'!A874),C873)</f>
        <v>Department: 36637 - SPECIALTY CONCESSIONS (VENDING)</v>
      </c>
      <c r="D874" t="str">
        <f>IF(LEFT(TRIM('MSR RAW'!B874),9)="Location:",TRIM(MID('MSR RAW'!B874,10,999)),D873)</f>
        <v>FB 155 - SUB ISLAND NOODLES</v>
      </c>
      <c r="E874" t="str">
        <f>IF(AND(ISNUMBER(SEARCH(" - ",TRIM('MSR RAW'!C874))),RIGHT(TRIM('MSR RAW'!C874),6)="Total:"),LEFT(TRIM('MSR RAW'!C874),SEARCH(" - ",TRIM('MSR RAW'!C874))-1),"")</f>
        <v/>
      </c>
      <c r="F874" t="str">
        <f>IF(E874="","",TRIM(MID(TRIM('MSR RAW'!C874),SEARCH(" - ",TRIM('MSR RAW'!C874))+3,LEN(TRIM('MSR RAW'!C874))-SEARCH(" - ",TRIM('MSR RAW'!C874))-9)))</f>
        <v/>
      </c>
      <c r="G874" t="str">
        <f>IF(E874="","",IFERROR(VLOOKUP(E874,'CATEGORY MAP'!$A$2:$B$20,2,FALSE()),"REVIEW"))</f>
        <v/>
      </c>
      <c r="H874" t="str">
        <f>IF(E874="","",IFERROR(VALUE(SUBSTITUTE('MSR RAW'!P874,",","")),0))</f>
        <v/>
      </c>
      <c r="I874" t="str">
        <f>IF(E874="","",IFERROR(VALUE(SUBSTITUTE('MSR RAW'!S874,",","")),0))</f>
        <v/>
      </c>
    </row>
    <row r="875" spans="1:9" ht="68.650000000000006" customHeight="1" x14ac:dyDescent="0.2">
      <c r="A875">
        <v>875</v>
      </c>
      <c r="B87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75" t="str">
        <f>IF(LEFT(TRIM('MSR RAW'!A875),11)="Department:",TRIM('MSR RAW'!A875),C874)</f>
        <v>Department: 36637 - SPECIALTY CONCESSIONS (VENDING)</v>
      </c>
      <c r="D875" t="str">
        <f>IF(LEFT(TRIM('MSR RAW'!B875),9)="Location:",TRIM(MID('MSR RAW'!B875,10,999)),D874)</f>
        <v>FB 155 - SUB ISLAND NOODLES</v>
      </c>
      <c r="E875" t="str">
        <f>IF(AND(ISNUMBER(SEARCH(" - ",TRIM('MSR RAW'!C875))),RIGHT(TRIM('MSR RAW'!C875),6)="Total:"),LEFT(TRIM('MSR RAW'!C875),SEARCH(" - ",TRIM('MSR RAW'!C875))-1),"")</f>
        <v/>
      </c>
      <c r="F875" t="str">
        <f>IF(E875="","",TRIM(MID(TRIM('MSR RAW'!C875),SEARCH(" - ",TRIM('MSR RAW'!C875))+3,LEN(TRIM('MSR RAW'!C875))-SEARCH(" - ",TRIM('MSR RAW'!C875))-9)))</f>
        <v/>
      </c>
      <c r="G875" t="str">
        <f>IF(E875="","",IFERROR(VLOOKUP(E875,'CATEGORY MAP'!$A$2:$B$20,2,FALSE()),"REVIEW"))</f>
        <v/>
      </c>
      <c r="H875" t="str">
        <f>IF(E875="","",IFERROR(VALUE(SUBSTITUTE('MSR RAW'!P875,",","")),0))</f>
        <v/>
      </c>
      <c r="I875" t="str">
        <f>IF(E875="","",IFERROR(VALUE(SUBSTITUTE('MSR RAW'!S875,",","")),0))</f>
        <v/>
      </c>
    </row>
    <row r="876" spans="1:9" ht="68.650000000000006" customHeight="1" x14ac:dyDescent="0.2">
      <c r="A876">
        <v>876</v>
      </c>
      <c r="B87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76" t="str">
        <f>IF(LEFT(TRIM('MSR RAW'!A876),11)="Department:",TRIM('MSR RAW'!A876),C875)</f>
        <v>Department: 36637 - SPECIALTY CONCESSIONS (VENDING)</v>
      </c>
      <c r="D876" t="str">
        <f>IF(LEFT(TRIM('MSR RAW'!B876),9)="Location:",TRIM(MID('MSR RAW'!B876,10,999)),D875)</f>
        <v>FB 155 - SUB ISLAND NOODLES</v>
      </c>
      <c r="E876" t="str">
        <f>IF(AND(ISNUMBER(SEARCH(" - ",TRIM('MSR RAW'!C876))),RIGHT(TRIM('MSR RAW'!C876),6)="Total:"),LEFT(TRIM('MSR RAW'!C876),SEARCH(" - ",TRIM('MSR RAW'!C876))-1),"")</f>
        <v/>
      </c>
      <c r="F876" t="str">
        <f>IF(E876="","",TRIM(MID(TRIM('MSR RAW'!C876),SEARCH(" - ",TRIM('MSR RAW'!C876))+3,LEN(TRIM('MSR RAW'!C876))-SEARCH(" - ",TRIM('MSR RAW'!C876))-9)))</f>
        <v/>
      </c>
      <c r="G876" t="str">
        <f>IF(E876="","",IFERROR(VLOOKUP(E876,'CATEGORY MAP'!$A$2:$B$20,2,FALSE()),"REVIEW"))</f>
        <v/>
      </c>
      <c r="H876" t="str">
        <f>IF(E876="","",IFERROR(VALUE(SUBSTITUTE('MSR RAW'!P876,",","")),0))</f>
        <v/>
      </c>
      <c r="I876" t="str">
        <f>IF(E876="","",IFERROR(VALUE(SUBSTITUTE('MSR RAW'!S876,",","")),0))</f>
        <v/>
      </c>
    </row>
    <row r="877" spans="1:9" ht="68.650000000000006" customHeight="1" x14ac:dyDescent="0.2">
      <c r="A877">
        <v>877</v>
      </c>
      <c r="B87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77" t="str">
        <f>IF(LEFT(TRIM('MSR RAW'!A877),11)="Department:",TRIM('MSR RAW'!A877),C876)</f>
        <v>Department: 36637 - SPECIALTY CONCESSIONS (VENDING)</v>
      </c>
      <c r="D877" t="str">
        <f>IF(LEFT(TRIM('MSR RAW'!B877),9)="Location:",TRIM(MID('MSR RAW'!B877,10,999)),D876)</f>
        <v>FB 155 - SUB ISLAND NOODLES</v>
      </c>
      <c r="E877" t="str">
        <f>IF(AND(ISNUMBER(SEARCH(" - ",TRIM('MSR RAW'!C877))),RIGHT(TRIM('MSR RAW'!C877),6)="Total:"),LEFT(TRIM('MSR RAW'!C877),SEARCH(" - ",TRIM('MSR RAW'!C877))-1),"")</f>
        <v/>
      </c>
      <c r="F877" t="str">
        <f>IF(E877="","",TRIM(MID(TRIM('MSR RAW'!C877),SEARCH(" - ",TRIM('MSR RAW'!C877))+3,LEN(TRIM('MSR RAW'!C877))-SEARCH(" - ",TRIM('MSR RAW'!C877))-9)))</f>
        <v/>
      </c>
      <c r="G877" t="str">
        <f>IF(E877="","",IFERROR(VLOOKUP(E877,'CATEGORY MAP'!$A$2:$B$20,2,FALSE()),"REVIEW"))</f>
        <v/>
      </c>
      <c r="H877" t="str">
        <f>IF(E877="","",IFERROR(VALUE(SUBSTITUTE('MSR RAW'!P877,",","")),0))</f>
        <v/>
      </c>
      <c r="I877" t="str">
        <f>IF(E877="","",IFERROR(VALUE(SUBSTITUTE('MSR RAW'!S877,",","")),0))</f>
        <v/>
      </c>
    </row>
    <row r="878" spans="1:9" ht="68.650000000000006" customHeight="1" x14ac:dyDescent="0.2">
      <c r="A878">
        <v>878</v>
      </c>
      <c r="B87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78" t="str">
        <f>IF(LEFT(TRIM('MSR RAW'!A878),11)="Department:",TRIM('MSR RAW'!A878),C877)</f>
        <v>Department: 36637 - SPECIALTY CONCESSIONS (VENDING)</v>
      </c>
      <c r="D878" t="str">
        <f>IF(LEFT(TRIM('MSR RAW'!B878),9)="Location:",TRIM(MID('MSR RAW'!B878,10,999)),D877)</f>
        <v>FB 155 - SUB ISLAND NOODLES</v>
      </c>
      <c r="E878" t="str">
        <f>IF(AND(ISNUMBER(SEARCH(" - ",TRIM('MSR RAW'!C878))),RIGHT(TRIM('MSR RAW'!C878),6)="Total:"),LEFT(TRIM('MSR RAW'!C878),SEARCH(" - ",TRIM('MSR RAW'!C878))-1),"")</f>
        <v/>
      </c>
      <c r="F878" t="str">
        <f>IF(E878="","",TRIM(MID(TRIM('MSR RAW'!C878),SEARCH(" - ",TRIM('MSR RAW'!C878))+3,LEN(TRIM('MSR RAW'!C878))-SEARCH(" - ",TRIM('MSR RAW'!C878))-9)))</f>
        <v/>
      </c>
      <c r="G878" t="str">
        <f>IF(E878="","",IFERROR(VLOOKUP(E878,'CATEGORY MAP'!$A$2:$B$20,2,FALSE()),"REVIEW"))</f>
        <v/>
      </c>
      <c r="H878" t="str">
        <f>IF(E878="","",IFERROR(VALUE(SUBSTITUTE('MSR RAW'!P878,",","")),0))</f>
        <v/>
      </c>
      <c r="I878" t="str">
        <f>IF(E878="","",IFERROR(VALUE(SUBSTITUTE('MSR RAW'!S878,",","")),0))</f>
        <v/>
      </c>
    </row>
    <row r="879" spans="1:9" ht="68.650000000000006" customHeight="1" x14ac:dyDescent="0.2">
      <c r="A879">
        <v>879</v>
      </c>
      <c r="B87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79" t="str">
        <f>IF(LEFT(TRIM('MSR RAW'!A879),11)="Department:",TRIM('MSR RAW'!A879),C878)</f>
        <v>Department: 36637 - SPECIALTY CONCESSIONS (VENDING)</v>
      </c>
      <c r="D879" t="str">
        <f>IF(LEFT(TRIM('MSR RAW'!B879),9)="Location:",TRIM(MID('MSR RAW'!B879,10,999)),D878)</f>
        <v>FB 155 - SUB ISLAND NOODLES</v>
      </c>
      <c r="E879" t="str">
        <f>IF(AND(ISNUMBER(SEARCH(" - ",TRIM('MSR RAW'!C879))),RIGHT(TRIM('MSR RAW'!C879),6)="Total:"),LEFT(TRIM('MSR RAW'!C879),SEARCH(" - ",TRIM('MSR RAW'!C879))-1),"")</f>
        <v/>
      </c>
      <c r="F879" t="str">
        <f>IF(E879="","",TRIM(MID(TRIM('MSR RAW'!C879),SEARCH(" - ",TRIM('MSR RAW'!C879))+3,LEN(TRIM('MSR RAW'!C879))-SEARCH(" - ",TRIM('MSR RAW'!C879))-9)))</f>
        <v/>
      </c>
      <c r="G879" t="str">
        <f>IF(E879="","",IFERROR(VLOOKUP(E879,'CATEGORY MAP'!$A$2:$B$20,2,FALSE()),"REVIEW"))</f>
        <v/>
      </c>
      <c r="H879" t="str">
        <f>IF(E879="","",IFERROR(VALUE(SUBSTITUTE('MSR RAW'!P879,",","")),0))</f>
        <v/>
      </c>
      <c r="I879" t="str">
        <f>IF(E879="","",IFERROR(VALUE(SUBSTITUTE('MSR RAW'!S879,",","")),0))</f>
        <v/>
      </c>
    </row>
    <row r="880" spans="1:9" ht="68.650000000000006" customHeight="1" x14ac:dyDescent="0.2">
      <c r="A880">
        <v>880</v>
      </c>
      <c r="B88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80" t="str">
        <f>IF(LEFT(TRIM('MSR RAW'!A880),11)="Department:",TRIM('MSR RAW'!A880),C879)</f>
        <v>Department: 36637 - SPECIALTY CONCESSIONS (VENDING)</v>
      </c>
      <c r="D880" t="str">
        <f>IF(LEFT(TRIM('MSR RAW'!B880),9)="Location:",TRIM(MID('MSR RAW'!B880,10,999)),D879)</f>
        <v>FB 155 - SUB ISLAND NOODLES</v>
      </c>
      <c r="E880" t="str">
        <f>IF(AND(ISNUMBER(SEARCH(" - ",TRIM('MSR RAW'!C880))),RIGHT(TRIM('MSR RAW'!C880),6)="Total:"),LEFT(TRIM('MSR RAW'!C880),SEARCH(" - ",TRIM('MSR RAW'!C880))-1),"")</f>
        <v/>
      </c>
      <c r="F880" t="str">
        <f>IF(E880="","",TRIM(MID(TRIM('MSR RAW'!C880),SEARCH(" - ",TRIM('MSR RAW'!C880))+3,LEN(TRIM('MSR RAW'!C880))-SEARCH(" - ",TRIM('MSR RAW'!C880))-9)))</f>
        <v/>
      </c>
      <c r="G880" t="str">
        <f>IF(E880="","",IFERROR(VLOOKUP(E880,'CATEGORY MAP'!$A$2:$B$20,2,FALSE()),"REVIEW"))</f>
        <v/>
      </c>
      <c r="H880" t="str">
        <f>IF(E880="","",IFERROR(VALUE(SUBSTITUTE('MSR RAW'!P880,",","")),0))</f>
        <v/>
      </c>
      <c r="I880" t="str">
        <f>IF(E880="","",IFERROR(VALUE(SUBSTITUTE('MSR RAW'!S880,",","")),0))</f>
        <v/>
      </c>
    </row>
    <row r="881" spans="1:9" ht="68.650000000000006" customHeight="1" x14ac:dyDescent="0.2">
      <c r="A881">
        <v>881</v>
      </c>
      <c r="B88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81" t="str">
        <f>IF(LEFT(TRIM('MSR RAW'!A881),11)="Department:",TRIM('MSR RAW'!A881),C880)</f>
        <v>Department: 36637 - SPECIALTY CONCESSIONS (VENDING)</v>
      </c>
      <c r="D881" t="str">
        <f>IF(LEFT(TRIM('MSR RAW'!B881),9)="Location:",TRIM(MID('MSR RAW'!B881,10,999)),D880)</f>
        <v>FB 155 - SUB ISLAND NOODLES</v>
      </c>
      <c r="E881" t="str">
        <f>IF(AND(ISNUMBER(SEARCH(" - ",TRIM('MSR RAW'!C881))),RIGHT(TRIM('MSR RAW'!C881),6)="Total:"),LEFT(TRIM('MSR RAW'!C881),SEARCH(" - ",TRIM('MSR RAW'!C881))-1),"")</f>
        <v/>
      </c>
      <c r="F881" t="str">
        <f>IF(E881="","",TRIM(MID(TRIM('MSR RAW'!C881),SEARCH(" - ",TRIM('MSR RAW'!C881))+3,LEN(TRIM('MSR RAW'!C881))-SEARCH(" - ",TRIM('MSR RAW'!C881))-9)))</f>
        <v/>
      </c>
      <c r="G881" t="str">
        <f>IF(E881="","",IFERROR(VLOOKUP(E881,'CATEGORY MAP'!$A$2:$B$20,2,FALSE()),"REVIEW"))</f>
        <v/>
      </c>
      <c r="H881" t="str">
        <f>IF(E881="","",IFERROR(VALUE(SUBSTITUTE('MSR RAW'!P881,",","")),0))</f>
        <v/>
      </c>
      <c r="I881" t="str">
        <f>IF(E881="","",IFERROR(VALUE(SUBSTITUTE('MSR RAW'!S881,",","")),0))</f>
        <v/>
      </c>
    </row>
    <row r="882" spans="1:9" ht="68.650000000000006" customHeight="1" x14ac:dyDescent="0.2">
      <c r="A882">
        <v>882</v>
      </c>
      <c r="B88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82" t="str">
        <f>IF(LEFT(TRIM('MSR RAW'!A882),11)="Department:",TRIM('MSR RAW'!A882),C881)</f>
        <v>Department: 36637 - SPECIALTY CONCESSIONS (VENDING)</v>
      </c>
      <c r="D882" t="str">
        <f>IF(LEFT(TRIM('MSR RAW'!B882),9)="Location:",TRIM(MID('MSR RAW'!B882,10,999)),D881)</f>
        <v>FB 155 - SUB ISLAND NOODLES</v>
      </c>
      <c r="E882" t="str">
        <f>IF(AND(ISNUMBER(SEARCH(" - ",TRIM('MSR RAW'!C882))),RIGHT(TRIM('MSR RAW'!C882),6)="Total:"),LEFT(TRIM('MSR RAW'!C882),SEARCH(" - ",TRIM('MSR RAW'!C882))-1),"")</f>
        <v/>
      </c>
      <c r="F882" t="str">
        <f>IF(E882="","",TRIM(MID(TRIM('MSR RAW'!C882),SEARCH(" - ",TRIM('MSR RAW'!C882))+3,LEN(TRIM('MSR RAW'!C882))-SEARCH(" - ",TRIM('MSR RAW'!C882))-9)))</f>
        <v/>
      </c>
      <c r="G882" t="str">
        <f>IF(E882="","",IFERROR(VLOOKUP(E882,'CATEGORY MAP'!$A$2:$B$20,2,FALSE()),"REVIEW"))</f>
        <v/>
      </c>
      <c r="H882" t="str">
        <f>IF(E882="","",IFERROR(VALUE(SUBSTITUTE('MSR RAW'!P882,",","")),0))</f>
        <v/>
      </c>
      <c r="I882" t="str">
        <f>IF(E882="","",IFERROR(VALUE(SUBSTITUTE('MSR RAW'!S882,",","")),0))</f>
        <v/>
      </c>
    </row>
    <row r="883" spans="1:9" ht="68.650000000000006" customHeight="1" x14ac:dyDescent="0.2">
      <c r="A883">
        <v>883</v>
      </c>
      <c r="B88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83" t="str">
        <f>IF(LEFT(TRIM('MSR RAW'!A883),11)="Department:",TRIM('MSR RAW'!A883),C882)</f>
        <v>Department: 36637 - SPECIALTY CONCESSIONS (VENDING)</v>
      </c>
      <c r="D883" t="str">
        <f>IF(LEFT(TRIM('MSR RAW'!B883),9)="Location:",TRIM(MID('MSR RAW'!B883,10,999)),D882)</f>
        <v>FB 155 - SUB ISLAND NOODLES</v>
      </c>
      <c r="E883" t="str">
        <f>IF(AND(ISNUMBER(SEARCH(" - ",TRIM('MSR RAW'!C883))),RIGHT(TRIM('MSR RAW'!C883),6)="Total:"),LEFT(TRIM('MSR RAW'!C883),SEARCH(" - ",TRIM('MSR RAW'!C883))-1),"")</f>
        <v/>
      </c>
      <c r="F883" t="str">
        <f>IF(E883="","",TRIM(MID(TRIM('MSR RAW'!C883),SEARCH(" - ",TRIM('MSR RAW'!C883))+3,LEN(TRIM('MSR RAW'!C883))-SEARCH(" - ",TRIM('MSR RAW'!C883))-9)))</f>
        <v/>
      </c>
      <c r="G883" t="str">
        <f>IF(E883="","",IFERROR(VLOOKUP(E883,'CATEGORY MAP'!$A$2:$B$20,2,FALSE()),"REVIEW"))</f>
        <v/>
      </c>
      <c r="H883" t="str">
        <f>IF(E883="","",IFERROR(VALUE(SUBSTITUTE('MSR RAW'!P883,",","")),0))</f>
        <v/>
      </c>
      <c r="I883" t="str">
        <f>IF(E883="","",IFERROR(VALUE(SUBSTITUTE('MSR RAW'!S883,",","")),0))</f>
        <v/>
      </c>
    </row>
    <row r="884" spans="1:9" ht="68.650000000000006" customHeight="1" x14ac:dyDescent="0.2">
      <c r="A884">
        <v>884</v>
      </c>
      <c r="B88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84" t="str">
        <f>IF(LEFT(TRIM('MSR RAW'!A884),11)="Department:",TRIM('MSR RAW'!A884),C883)</f>
        <v>Department: 36637 - SPECIALTY CONCESSIONS (VENDING)</v>
      </c>
      <c r="D884" t="str">
        <f>IF(LEFT(TRIM('MSR RAW'!B884),9)="Location:",TRIM(MID('MSR RAW'!B884,10,999)),D883)</f>
        <v>FB 155 - SUB ISLAND NOODLES</v>
      </c>
      <c r="E884" t="str">
        <f>IF(AND(ISNUMBER(SEARCH(" - ",TRIM('MSR RAW'!C884))),RIGHT(TRIM('MSR RAW'!C884),6)="Total:"),LEFT(TRIM('MSR RAW'!C884),SEARCH(" - ",TRIM('MSR RAW'!C884))-1),"")</f>
        <v/>
      </c>
      <c r="F884" t="str">
        <f>IF(E884="","",TRIM(MID(TRIM('MSR RAW'!C884),SEARCH(" - ",TRIM('MSR RAW'!C884))+3,LEN(TRIM('MSR RAW'!C884))-SEARCH(" - ",TRIM('MSR RAW'!C884))-9)))</f>
        <v/>
      </c>
      <c r="G884" t="str">
        <f>IF(E884="","",IFERROR(VLOOKUP(E884,'CATEGORY MAP'!$A$2:$B$20,2,FALSE()),"REVIEW"))</f>
        <v/>
      </c>
      <c r="H884" t="str">
        <f>IF(E884="","",IFERROR(VALUE(SUBSTITUTE('MSR RAW'!P884,",","")),0))</f>
        <v/>
      </c>
      <c r="I884" t="str">
        <f>IF(E884="","",IFERROR(VALUE(SUBSTITUTE('MSR RAW'!S884,",","")),0))</f>
        <v/>
      </c>
    </row>
    <row r="885" spans="1:9" ht="68.650000000000006" customHeight="1" x14ac:dyDescent="0.2">
      <c r="A885">
        <v>885</v>
      </c>
      <c r="B88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85" t="str">
        <f>IF(LEFT(TRIM('MSR RAW'!A885),11)="Department:",TRIM('MSR RAW'!A885),C884)</f>
        <v>Department: 36637 - SPECIALTY CONCESSIONS (VENDING)</v>
      </c>
      <c r="D885" t="str">
        <f>IF(LEFT(TRIM('MSR RAW'!B885),9)="Location:",TRIM(MID('MSR RAW'!B885,10,999)),D884)</f>
        <v>FB 155 - SUB ISLAND NOODLES</v>
      </c>
      <c r="E885" t="str">
        <f>IF(AND(ISNUMBER(SEARCH(" - ",TRIM('MSR RAW'!C885))),RIGHT(TRIM('MSR RAW'!C885),6)="Total:"),LEFT(TRIM('MSR RAW'!C885),SEARCH(" - ",TRIM('MSR RAW'!C885))-1),"")</f>
        <v/>
      </c>
      <c r="F885" t="str">
        <f>IF(E885="","",TRIM(MID(TRIM('MSR RAW'!C885),SEARCH(" - ",TRIM('MSR RAW'!C885))+3,LEN(TRIM('MSR RAW'!C885))-SEARCH(" - ",TRIM('MSR RAW'!C885))-9)))</f>
        <v/>
      </c>
      <c r="G885" t="str">
        <f>IF(E885="","",IFERROR(VLOOKUP(E885,'CATEGORY MAP'!$A$2:$B$20,2,FALSE()),"REVIEW"))</f>
        <v/>
      </c>
      <c r="H885" t="str">
        <f>IF(E885="","",IFERROR(VALUE(SUBSTITUTE('MSR RAW'!P885,",","")),0))</f>
        <v/>
      </c>
      <c r="I885" t="str">
        <f>IF(E885="","",IFERROR(VALUE(SUBSTITUTE('MSR RAW'!S885,",","")),0))</f>
        <v/>
      </c>
    </row>
    <row r="886" spans="1:9" ht="68.650000000000006" customHeight="1" x14ac:dyDescent="0.2">
      <c r="A886">
        <v>886</v>
      </c>
      <c r="B88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86" t="str">
        <f>IF(LEFT(TRIM('MSR RAW'!A886),11)="Department:",TRIM('MSR RAW'!A886),C885)</f>
        <v>Department: 36637 - SPECIALTY CONCESSIONS (VENDING)</v>
      </c>
      <c r="D886" t="str">
        <f>IF(LEFT(TRIM('MSR RAW'!B886),9)="Location:",TRIM(MID('MSR RAW'!B886,10,999)),D885)</f>
        <v>FB 155 - SUB ISLAND NOODLES</v>
      </c>
      <c r="E886" t="str">
        <f>IF(AND(ISNUMBER(SEARCH(" - ",TRIM('MSR RAW'!C886))),RIGHT(TRIM('MSR RAW'!C886),6)="Total:"),LEFT(TRIM('MSR RAW'!C886),SEARCH(" - ",TRIM('MSR RAW'!C886))-1),"")</f>
        <v/>
      </c>
      <c r="F886" t="str">
        <f>IF(E886="","",TRIM(MID(TRIM('MSR RAW'!C886),SEARCH(" - ",TRIM('MSR RAW'!C886))+3,LEN(TRIM('MSR RAW'!C886))-SEARCH(" - ",TRIM('MSR RAW'!C886))-9)))</f>
        <v/>
      </c>
      <c r="G886" t="str">
        <f>IF(E886="","",IFERROR(VLOOKUP(E886,'CATEGORY MAP'!$A$2:$B$20,2,FALSE()),"REVIEW"))</f>
        <v/>
      </c>
      <c r="H886" t="str">
        <f>IF(E886="","",IFERROR(VALUE(SUBSTITUTE('MSR RAW'!P886,",","")),0))</f>
        <v/>
      </c>
      <c r="I886" t="str">
        <f>IF(E886="","",IFERROR(VALUE(SUBSTITUTE('MSR RAW'!S886,",","")),0))</f>
        <v/>
      </c>
    </row>
    <row r="887" spans="1:9" ht="68.650000000000006" customHeight="1" x14ac:dyDescent="0.2">
      <c r="A887">
        <v>887</v>
      </c>
      <c r="B88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87" t="str">
        <f>IF(LEFT(TRIM('MSR RAW'!A887),11)="Department:",TRIM('MSR RAW'!A887),C886)</f>
        <v>Department: 36637 - SPECIALTY CONCESSIONS (VENDING)</v>
      </c>
      <c r="D887" t="str">
        <f>IF(LEFT(TRIM('MSR RAW'!B887),9)="Location:",TRIM(MID('MSR RAW'!B887,10,999)),D886)</f>
        <v>FB 155 - SUB ISLAND NOODLES</v>
      </c>
      <c r="E887" t="str">
        <f>IF(AND(ISNUMBER(SEARCH(" - ",TRIM('MSR RAW'!C887))),RIGHT(TRIM('MSR RAW'!C887),6)="Total:"),LEFT(TRIM('MSR RAW'!C887),SEARCH(" - ",TRIM('MSR RAW'!C887))-1),"")</f>
        <v/>
      </c>
      <c r="F887" t="str">
        <f>IF(E887="","",TRIM(MID(TRIM('MSR RAW'!C887),SEARCH(" - ",TRIM('MSR RAW'!C887))+3,LEN(TRIM('MSR RAW'!C887))-SEARCH(" - ",TRIM('MSR RAW'!C887))-9)))</f>
        <v/>
      </c>
      <c r="G887" t="str">
        <f>IF(E887="","",IFERROR(VLOOKUP(E887,'CATEGORY MAP'!$A$2:$B$20,2,FALSE()),"REVIEW"))</f>
        <v/>
      </c>
      <c r="H887" t="str">
        <f>IF(E887="","",IFERROR(VALUE(SUBSTITUTE('MSR RAW'!P887,",","")),0))</f>
        <v/>
      </c>
      <c r="I887" t="str">
        <f>IF(E887="","",IFERROR(VALUE(SUBSTITUTE('MSR RAW'!S887,",","")),0))</f>
        <v/>
      </c>
    </row>
    <row r="888" spans="1:9" ht="68.650000000000006" customHeight="1" x14ac:dyDescent="0.2">
      <c r="A888">
        <v>888</v>
      </c>
      <c r="B88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88" t="str">
        <f>IF(LEFT(TRIM('MSR RAW'!A888),11)="Department:",TRIM('MSR RAW'!A888),C887)</f>
        <v>Department: 36637 - SPECIALTY CONCESSIONS (VENDING)</v>
      </c>
      <c r="D888" t="str">
        <f>IF(LEFT(TRIM('MSR RAW'!B888),9)="Location:",TRIM(MID('MSR RAW'!B888,10,999)),D887)</f>
        <v>FB 155 - SUB ISLAND NOODLES</v>
      </c>
      <c r="E888" t="str">
        <f>IF(AND(ISNUMBER(SEARCH(" - ",TRIM('MSR RAW'!C888))),RIGHT(TRIM('MSR RAW'!C888),6)="Total:"),LEFT(TRIM('MSR RAW'!C888),SEARCH(" - ",TRIM('MSR RAW'!C888))-1),"")</f>
        <v/>
      </c>
      <c r="F888" t="str">
        <f>IF(E888="","",TRIM(MID(TRIM('MSR RAW'!C888),SEARCH(" - ",TRIM('MSR RAW'!C888))+3,LEN(TRIM('MSR RAW'!C888))-SEARCH(" - ",TRIM('MSR RAW'!C888))-9)))</f>
        <v/>
      </c>
      <c r="G888" t="str">
        <f>IF(E888="","",IFERROR(VLOOKUP(E888,'CATEGORY MAP'!$A$2:$B$20,2,FALSE()),"REVIEW"))</f>
        <v/>
      </c>
      <c r="H888" t="str">
        <f>IF(E888="","",IFERROR(VALUE(SUBSTITUTE('MSR RAW'!P888,",","")),0))</f>
        <v/>
      </c>
      <c r="I888" t="str">
        <f>IF(E888="","",IFERROR(VALUE(SUBSTITUTE('MSR RAW'!S888,",","")),0))</f>
        <v/>
      </c>
    </row>
    <row r="889" spans="1:9" ht="68.650000000000006" customHeight="1" x14ac:dyDescent="0.2">
      <c r="A889">
        <v>889</v>
      </c>
      <c r="B88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89" t="str">
        <f>IF(LEFT(TRIM('MSR RAW'!A889),11)="Department:",TRIM('MSR RAW'!A889),C888)</f>
        <v>Department: 36637 - SPECIALTY CONCESSIONS (VENDING)</v>
      </c>
      <c r="D889" t="str">
        <f>IF(LEFT(TRIM('MSR RAW'!B889),9)="Location:",TRIM(MID('MSR RAW'!B889,10,999)),D888)</f>
        <v>FB 155 - SUB ISLAND NOODLES</v>
      </c>
      <c r="E889" t="str">
        <f>IF(AND(ISNUMBER(SEARCH(" - ",TRIM('MSR RAW'!C889))),RIGHT(TRIM('MSR RAW'!C889),6)="Total:"),LEFT(TRIM('MSR RAW'!C889),SEARCH(" - ",TRIM('MSR RAW'!C889))-1),"")</f>
        <v/>
      </c>
      <c r="F889" t="str">
        <f>IF(E889="","",TRIM(MID(TRIM('MSR RAW'!C889),SEARCH(" - ",TRIM('MSR RAW'!C889))+3,LEN(TRIM('MSR RAW'!C889))-SEARCH(" - ",TRIM('MSR RAW'!C889))-9)))</f>
        <v/>
      </c>
      <c r="G889" t="str">
        <f>IF(E889="","",IFERROR(VLOOKUP(E889,'CATEGORY MAP'!$A$2:$B$20,2,FALSE()),"REVIEW"))</f>
        <v/>
      </c>
      <c r="H889" t="str">
        <f>IF(E889="","",IFERROR(VALUE(SUBSTITUTE('MSR RAW'!P889,",","")),0))</f>
        <v/>
      </c>
      <c r="I889" t="str">
        <f>IF(E889="","",IFERROR(VALUE(SUBSTITUTE('MSR RAW'!S889,",","")),0))</f>
        <v/>
      </c>
    </row>
    <row r="890" spans="1:9" ht="68.650000000000006" customHeight="1" x14ac:dyDescent="0.2">
      <c r="A890">
        <v>890</v>
      </c>
      <c r="B89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90" t="str">
        <f>IF(LEFT(TRIM('MSR RAW'!A890),11)="Department:",TRIM('MSR RAW'!A890),C889)</f>
        <v>Department: 36637 - SPECIALTY CONCESSIONS (VENDING)</v>
      </c>
      <c r="D890" t="str">
        <f>IF(LEFT(TRIM('MSR RAW'!B890),9)="Location:",TRIM(MID('MSR RAW'!B890,10,999)),D889)</f>
        <v>FB 155 - SUB ISLAND NOODLES</v>
      </c>
      <c r="E890" t="str">
        <f>IF(AND(ISNUMBER(SEARCH(" - ",TRIM('MSR RAW'!C890))),RIGHT(TRIM('MSR RAW'!C890),6)="Total:"),LEFT(TRIM('MSR RAW'!C890),SEARCH(" - ",TRIM('MSR RAW'!C890))-1),"")</f>
        <v/>
      </c>
      <c r="F890" t="str">
        <f>IF(E890="","",TRIM(MID(TRIM('MSR RAW'!C890),SEARCH(" - ",TRIM('MSR RAW'!C890))+3,LEN(TRIM('MSR RAW'!C890))-SEARCH(" - ",TRIM('MSR RAW'!C890))-9)))</f>
        <v/>
      </c>
      <c r="G890" t="str">
        <f>IF(E890="","",IFERROR(VLOOKUP(E890,'CATEGORY MAP'!$A$2:$B$20,2,FALSE()),"REVIEW"))</f>
        <v/>
      </c>
      <c r="H890" t="str">
        <f>IF(E890="","",IFERROR(VALUE(SUBSTITUTE('MSR RAW'!P890,",","")),0))</f>
        <v/>
      </c>
      <c r="I890" t="str">
        <f>IF(E890="","",IFERROR(VALUE(SUBSTITUTE('MSR RAW'!S890,",","")),0))</f>
        <v/>
      </c>
    </row>
    <row r="891" spans="1:9" ht="68.650000000000006" customHeight="1" x14ac:dyDescent="0.2">
      <c r="A891">
        <v>891</v>
      </c>
      <c r="B89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91" t="str">
        <f>IF(LEFT(TRIM('MSR RAW'!A891),11)="Department:",TRIM('MSR RAW'!A891),C890)</f>
        <v>Department: 36637 - SPECIALTY CONCESSIONS (VENDING)</v>
      </c>
      <c r="D891" t="str">
        <f>IF(LEFT(TRIM('MSR RAW'!B891),9)="Location:",TRIM(MID('MSR RAW'!B891,10,999)),D890)</f>
        <v>FB 155 - SUB ISLAND NOODLES</v>
      </c>
      <c r="E891" t="str">
        <f>IF(AND(ISNUMBER(SEARCH(" - ",TRIM('MSR RAW'!C891))),RIGHT(TRIM('MSR RAW'!C891),6)="Total:"),LEFT(TRIM('MSR RAW'!C891),SEARCH(" - ",TRIM('MSR RAW'!C891))-1),"")</f>
        <v/>
      </c>
      <c r="F891" t="str">
        <f>IF(E891="","",TRIM(MID(TRIM('MSR RAW'!C891),SEARCH(" - ",TRIM('MSR RAW'!C891))+3,LEN(TRIM('MSR RAW'!C891))-SEARCH(" - ",TRIM('MSR RAW'!C891))-9)))</f>
        <v/>
      </c>
      <c r="G891" t="str">
        <f>IF(E891="","",IFERROR(VLOOKUP(E891,'CATEGORY MAP'!$A$2:$B$20,2,FALSE()),"REVIEW"))</f>
        <v/>
      </c>
      <c r="H891" t="str">
        <f>IF(E891="","",IFERROR(VALUE(SUBSTITUTE('MSR RAW'!P891,",","")),0))</f>
        <v/>
      </c>
      <c r="I891" t="str">
        <f>IF(E891="","",IFERROR(VALUE(SUBSTITUTE('MSR RAW'!S891,",","")),0))</f>
        <v/>
      </c>
    </row>
    <row r="892" spans="1:9" ht="68.650000000000006" customHeight="1" x14ac:dyDescent="0.2">
      <c r="A892">
        <v>892</v>
      </c>
      <c r="B89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92" t="str">
        <f>IF(LEFT(TRIM('MSR RAW'!A892),11)="Department:",TRIM('MSR RAW'!A892),C891)</f>
        <v>Department: 36637 - SPECIALTY CONCESSIONS (VENDING)</v>
      </c>
      <c r="D892" t="str">
        <f>IF(LEFT(TRIM('MSR RAW'!B892),9)="Location:",TRIM(MID('MSR RAW'!B892,10,999)),D891)</f>
        <v>FB 155 - SUB ISLAND NOODLES</v>
      </c>
      <c r="E892" t="str">
        <f>IF(AND(ISNUMBER(SEARCH(" - ",TRIM('MSR RAW'!C892))),RIGHT(TRIM('MSR RAW'!C892),6)="Total:"),LEFT(TRIM('MSR RAW'!C892),SEARCH(" - ",TRIM('MSR RAW'!C892))-1),"")</f>
        <v/>
      </c>
      <c r="F892" t="str">
        <f>IF(E892="","",TRIM(MID(TRIM('MSR RAW'!C892),SEARCH(" - ",TRIM('MSR RAW'!C892))+3,LEN(TRIM('MSR RAW'!C892))-SEARCH(" - ",TRIM('MSR RAW'!C892))-9)))</f>
        <v/>
      </c>
      <c r="G892" t="str">
        <f>IF(E892="","",IFERROR(VLOOKUP(E892,'CATEGORY MAP'!$A$2:$B$20,2,FALSE()),"REVIEW"))</f>
        <v/>
      </c>
      <c r="H892" t="str">
        <f>IF(E892="","",IFERROR(VALUE(SUBSTITUTE('MSR RAW'!P892,",","")),0))</f>
        <v/>
      </c>
      <c r="I892" t="str">
        <f>IF(E892="","",IFERROR(VALUE(SUBSTITUTE('MSR RAW'!S892,",","")),0))</f>
        <v/>
      </c>
    </row>
    <row r="893" spans="1:9" ht="68.650000000000006" customHeight="1" x14ac:dyDescent="0.2">
      <c r="A893">
        <v>893</v>
      </c>
      <c r="B89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93" t="str">
        <f>IF(LEFT(TRIM('MSR RAW'!A893),11)="Department:",TRIM('MSR RAW'!A893),C892)</f>
        <v>Department: 36637 - SPECIALTY CONCESSIONS (VENDING)</v>
      </c>
      <c r="D893" t="str">
        <f>IF(LEFT(TRIM('MSR RAW'!B893),9)="Location:",TRIM(MID('MSR RAW'!B893,10,999)),D892)</f>
        <v>FB 155 - SUB ISLAND NOODLES</v>
      </c>
      <c r="E893" t="str">
        <f>IF(AND(ISNUMBER(SEARCH(" - ",TRIM('MSR RAW'!C893))),RIGHT(TRIM('MSR RAW'!C893),6)="Total:"),LEFT(TRIM('MSR RAW'!C893),SEARCH(" - ",TRIM('MSR RAW'!C893))-1),"")</f>
        <v/>
      </c>
      <c r="F893" t="str">
        <f>IF(E893="","",TRIM(MID(TRIM('MSR RAW'!C893),SEARCH(" - ",TRIM('MSR RAW'!C893))+3,LEN(TRIM('MSR RAW'!C893))-SEARCH(" - ",TRIM('MSR RAW'!C893))-9)))</f>
        <v/>
      </c>
      <c r="G893" t="str">
        <f>IF(E893="","",IFERROR(VLOOKUP(E893,'CATEGORY MAP'!$A$2:$B$20,2,FALSE()),"REVIEW"))</f>
        <v/>
      </c>
      <c r="H893" t="str">
        <f>IF(E893="","",IFERROR(VALUE(SUBSTITUTE('MSR RAW'!P893,",","")),0))</f>
        <v/>
      </c>
      <c r="I893" t="str">
        <f>IF(E893="","",IFERROR(VALUE(SUBSTITUTE('MSR RAW'!S893,",","")),0))</f>
        <v/>
      </c>
    </row>
    <row r="894" spans="1:9" ht="68.650000000000006" customHeight="1" x14ac:dyDescent="0.2">
      <c r="A894">
        <v>894</v>
      </c>
      <c r="B89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94" t="str">
        <f>IF(LEFT(TRIM('MSR RAW'!A894),11)="Department:",TRIM('MSR RAW'!A894),C893)</f>
        <v>Department: 36637 - SPECIALTY CONCESSIONS (VENDING)</v>
      </c>
      <c r="D894" t="str">
        <f>IF(LEFT(TRIM('MSR RAW'!B894),9)="Location:",TRIM(MID('MSR RAW'!B894,10,999)),D893)</f>
        <v>FB 155 - SUB ISLAND NOODLES</v>
      </c>
      <c r="E894" t="str">
        <f>IF(AND(ISNUMBER(SEARCH(" - ",TRIM('MSR RAW'!C894))),RIGHT(TRIM('MSR RAW'!C894),6)="Total:"),LEFT(TRIM('MSR RAW'!C894),SEARCH(" - ",TRIM('MSR RAW'!C894))-1),"")</f>
        <v/>
      </c>
      <c r="F894" t="str">
        <f>IF(E894="","",TRIM(MID(TRIM('MSR RAW'!C894),SEARCH(" - ",TRIM('MSR RAW'!C894))+3,LEN(TRIM('MSR RAW'!C894))-SEARCH(" - ",TRIM('MSR RAW'!C894))-9)))</f>
        <v/>
      </c>
      <c r="G894" t="str">
        <f>IF(E894="","",IFERROR(VLOOKUP(E894,'CATEGORY MAP'!$A$2:$B$20,2,FALSE()),"REVIEW"))</f>
        <v/>
      </c>
      <c r="H894" t="str">
        <f>IF(E894="","",IFERROR(VALUE(SUBSTITUTE('MSR RAW'!P894,",","")),0))</f>
        <v/>
      </c>
      <c r="I894" t="str">
        <f>IF(E894="","",IFERROR(VALUE(SUBSTITUTE('MSR RAW'!S894,",","")),0))</f>
        <v/>
      </c>
    </row>
    <row r="895" spans="1:9" ht="68.650000000000006" customHeight="1" x14ac:dyDescent="0.2">
      <c r="A895">
        <v>895</v>
      </c>
      <c r="B89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95" t="str">
        <f>IF(LEFT(TRIM('MSR RAW'!A895),11)="Department:",TRIM('MSR RAW'!A895),C894)</f>
        <v>Department: 36637 - SPECIALTY CONCESSIONS (VENDING)</v>
      </c>
      <c r="D895" t="str">
        <f>IF(LEFT(TRIM('MSR RAW'!B895),9)="Location:",TRIM(MID('MSR RAW'!B895,10,999)),D894)</f>
        <v>FB 155 - SUB ISLAND NOODLES</v>
      </c>
      <c r="E895" t="str">
        <f>IF(AND(ISNUMBER(SEARCH(" - ",TRIM('MSR RAW'!C895))),RIGHT(TRIM('MSR RAW'!C895),6)="Total:"),LEFT(TRIM('MSR RAW'!C895),SEARCH(" - ",TRIM('MSR RAW'!C895))-1),"")</f>
        <v/>
      </c>
      <c r="F895" t="str">
        <f>IF(E895="","",TRIM(MID(TRIM('MSR RAW'!C895),SEARCH(" - ",TRIM('MSR RAW'!C895))+3,LEN(TRIM('MSR RAW'!C895))-SEARCH(" - ",TRIM('MSR RAW'!C895))-9)))</f>
        <v/>
      </c>
      <c r="G895" t="str">
        <f>IF(E895="","",IFERROR(VLOOKUP(E895,'CATEGORY MAP'!$A$2:$B$20,2,FALSE()),"REVIEW"))</f>
        <v/>
      </c>
      <c r="H895" t="str">
        <f>IF(E895="","",IFERROR(VALUE(SUBSTITUTE('MSR RAW'!P895,",","")),0))</f>
        <v/>
      </c>
      <c r="I895" t="str">
        <f>IF(E895="","",IFERROR(VALUE(SUBSTITUTE('MSR RAW'!S895,",","")),0))</f>
        <v/>
      </c>
    </row>
    <row r="896" spans="1:9" ht="68.650000000000006" customHeight="1" x14ac:dyDescent="0.2">
      <c r="A896">
        <v>896</v>
      </c>
      <c r="B89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96" t="str">
        <f>IF(LEFT(TRIM('MSR RAW'!A896),11)="Department:",TRIM('MSR RAW'!A896),C895)</f>
        <v>Department: 36637 - SPECIALTY CONCESSIONS (VENDING)</v>
      </c>
      <c r="D896" t="str">
        <f>IF(LEFT(TRIM('MSR RAW'!B896),9)="Location:",TRIM(MID('MSR RAW'!B896,10,999)),D895)</f>
        <v>FB 155 - SUB ISLAND NOODLES</v>
      </c>
      <c r="E896" t="str">
        <f>IF(AND(ISNUMBER(SEARCH(" - ",TRIM('MSR RAW'!C896))),RIGHT(TRIM('MSR RAW'!C896),6)="Total:"),LEFT(TRIM('MSR RAW'!C896),SEARCH(" - ",TRIM('MSR RAW'!C896))-1),"")</f>
        <v/>
      </c>
      <c r="F896" t="str">
        <f>IF(E896="","",TRIM(MID(TRIM('MSR RAW'!C896),SEARCH(" - ",TRIM('MSR RAW'!C896))+3,LEN(TRIM('MSR RAW'!C896))-SEARCH(" - ",TRIM('MSR RAW'!C896))-9)))</f>
        <v/>
      </c>
      <c r="G896" t="str">
        <f>IF(E896="","",IFERROR(VLOOKUP(E896,'CATEGORY MAP'!$A$2:$B$20,2,FALSE()),"REVIEW"))</f>
        <v/>
      </c>
      <c r="H896" t="str">
        <f>IF(E896="","",IFERROR(VALUE(SUBSTITUTE('MSR RAW'!P896,",","")),0))</f>
        <v/>
      </c>
      <c r="I896" t="str">
        <f>IF(E896="","",IFERROR(VALUE(SUBSTITUTE('MSR RAW'!S896,",","")),0))</f>
        <v/>
      </c>
    </row>
    <row r="897" spans="1:9" ht="68.650000000000006" customHeight="1" x14ac:dyDescent="0.2">
      <c r="A897">
        <v>897</v>
      </c>
      <c r="B89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97" t="str">
        <f>IF(LEFT(TRIM('MSR RAW'!A897),11)="Department:",TRIM('MSR RAW'!A897),C896)</f>
        <v>Department: 36637 - SPECIALTY CONCESSIONS (VENDING)</v>
      </c>
      <c r="D897" t="str">
        <f>IF(LEFT(TRIM('MSR RAW'!B897),9)="Location:",TRIM(MID('MSR RAW'!B897,10,999)),D896)</f>
        <v>FB 155 - SUB ISLAND NOODLES</v>
      </c>
      <c r="E897" t="str">
        <f>IF(AND(ISNUMBER(SEARCH(" - ",TRIM('MSR RAW'!C897))),RIGHT(TRIM('MSR RAW'!C897),6)="Total:"),LEFT(TRIM('MSR RAW'!C897),SEARCH(" - ",TRIM('MSR RAW'!C897))-1),"")</f>
        <v/>
      </c>
      <c r="F897" t="str">
        <f>IF(E897="","",TRIM(MID(TRIM('MSR RAW'!C897),SEARCH(" - ",TRIM('MSR RAW'!C897))+3,LEN(TRIM('MSR RAW'!C897))-SEARCH(" - ",TRIM('MSR RAW'!C897))-9)))</f>
        <v/>
      </c>
      <c r="G897" t="str">
        <f>IF(E897="","",IFERROR(VLOOKUP(E897,'CATEGORY MAP'!$A$2:$B$20,2,FALSE()),"REVIEW"))</f>
        <v/>
      </c>
      <c r="H897" t="str">
        <f>IF(E897="","",IFERROR(VALUE(SUBSTITUTE('MSR RAW'!P897,",","")),0))</f>
        <v/>
      </c>
      <c r="I897" t="str">
        <f>IF(E897="","",IFERROR(VALUE(SUBSTITUTE('MSR RAW'!S897,",","")),0))</f>
        <v/>
      </c>
    </row>
    <row r="898" spans="1:9" ht="68.650000000000006" customHeight="1" x14ac:dyDescent="0.2">
      <c r="A898">
        <v>898</v>
      </c>
      <c r="B89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98" t="str">
        <f>IF(LEFT(TRIM('MSR RAW'!A898),11)="Department:",TRIM('MSR RAW'!A898),C897)</f>
        <v>Department: 36637 - SPECIALTY CONCESSIONS (VENDING)</v>
      </c>
      <c r="D898" t="str">
        <f>IF(LEFT(TRIM('MSR RAW'!B898),9)="Location:",TRIM(MID('MSR RAW'!B898,10,999)),D897)</f>
        <v>FB 155 - SUB ISLAND NOODLES</v>
      </c>
      <c r="E898" t="str">
        <f>IF(AND(ISNUMBER(SEARCH(" - ",TRIM('MSR RAW'!C898))),RIGHT(TRIM('MSR RAW'!C898),6)="Total:"),LEFT(TRIM('MSR RAW'!C898),SEARCH(" - ",TRIM('MSR RAW'!C898))-1),"")</f>
        <v/>
      </c>
      <c r="F898" t="str">
        <f>IF(E898="","",TRIM(MID(TRIM('MSR RAW'!C898),SEARCH(" - ",TRIM('MSR RAW'!C898))+3,LEN(TRIM('MSR RAW'!C898))-SEARCH(" - ",TRIM('MSR RAW'!C898))-9)))</f>
        <v/>
      </c>
      <c r="G898" t="str">
        <f>IF(E898="","",IFERROR(VLOOKUP(E898,'CATEGORY MAP'!$A$2:$B$20,2,FALSE()),"REVIEW"))</f>
        <v/>
      </c>
      <c r="H898" t="str">
        <f>IF(E898="","",IFERROR(VALUE(SUBSTITUTE('MSR RAW'!P898,",","")),0))</f>
        <v/>
      </c>
      <c r="I898" t="str">
        <f>IF(E898="","",IFERROR(VALUE(SUBSTITUTE('MSR RAW'!S898,",","")),0))</f>
        <v/>
      </c>
    </row>
    <row r="899" spans="1:9" ht="68.650000000000006" customHeight="1" x14ac:dyDescent="0.2">
      <c r="A899">
        <v>899</v>
      </c>
      <c r="B89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99" t="str">
        <f>IF(LEFT(TRIM('MSR RAW'!A899),11)="Department:",TRIM('MSR RAW'!A899),C898)</f>
        <v>Department: 36637 - SPECIALTY CONCESSIONS (VENDING)</v>
      </c>
      <c r="D899" t="str">
        <f>IF(LEFT(TRIM('MSR RAW'!B899),9)="Location:",TRIM(MID('MSR RAW'!B899,10,999)),D898)</f>
        <v>FB 155 - SUB ISLAND NOODLES</v>
      </c>
      <c r="E899" t="str">
        <f>IF(AND(ISNUMBER(SEARCH(" - ",TRIM('MSR RAW'!C899))),RIGHT(TRIM('MSR RAW'!C899),6)="Total:"),LEFT(TRIM('MSR RAW'!C899),SEARCH(" - ",TRIM('MSR RAW'!C899))-1),"")</f>
        <v/>
      </c>
      <c r="F899" t="str">
        <f>IF(E899="","",TRIM(MID(TRIM('MSR RAW'!C899),SEARCH(" - ",TRIM('MSR RAW'!C899))+3,LEN(TRIM('MSR RAW'!C899))-SEARCH(" - ",TRIM('MSR RAW'!C899))-9)))</f>
        <v/>
      </c>
      <c r="G899" t="str">
        <f>IF(E899="","",IFERROR(VLOOKUP(E899,'CATEGORY MAP'!$A$2:$B$20,2,FALSE()),"REVIEW"))</f>
        <v/>
      </c>
      <c r="H899" t="str">
        <f>IF(E899="","",IFERROR(VALUE(SUBSTITUTE('MSR RAW'!P899,",","")),0))</f>
        <v/>
      </c>
      <c r="I899" t="str">
        <f>IF(E899="","",IFERROR(VALUE(SUBSTITUTE('MSR RAW'!S899,",","")),0))</f>
        <v/>
      </c>
    </row>
    <row r="900" spans="1:9" ht="68.650000000000006" customHeight="1" x14ac:dyDescent="0.2">
      <c r="A900">
        <v>900</v>
      </c>
      <c r="B90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00" t="str">
        <f>IF(LEFT(TRIM('MSR RAW'!A900),11)="Department:",TRIM('MSR RAW'!A900),C899)</f>
        <v>Department: 36637 - SPECIALTY CONCESSIONS (VENDING)</v>
      </c>
      <c r="D900" t="str">
        <f>IF(LEFT(TRIM('MSR RAW'!B900),9)="Location:",TRIM(MID('MSR RAW'!B900,10,999)),D899)</f>
        <v>FB 155 - SUB ISLAND NOODLES</v>
      </c>
      <c r="E900" t="str">
        <f>IF(AND(ISNUMBER(SEARCH(" - ",TRIM('MSR RAW'!C900))),RIGHT(TRIM('MSR RAW'!C900),6)="Total:"),LEFT(TRIM('MSR RAW'!C900),SEARCH(" - ",TRIM('MSR RAW'!C900))-1),"")</f>
        <v/>
      </c>
      <c r="F900" t="str">
        <f>IF(E900="","",TRIM(MID(TRIM('MSR RAW'!C900),SEARCH(" - ",TRIM('MSR RAW'!C900))+3,LEN(TRIM('MSR RAW'!C900))-SEARCH(" - ",TRIM('MSR RAW'!C900))-9)))</f>
        <v/>
      </c>
      <c r="G900" t="str">
        <f>IF(E900="","",IFERROR(VLOOKUP(E900,'CATEGORY MAP'!$A$2:$B$20,2,FALSE()),"REVIEW"))</f>
        <v/>
      </c>
      <c r="H900" t="str">
        <f>IF(E900="","",IFERROR(VALUE(SUBSTITUTE('MSR RAW'!P900,",","")),0))</f>
        <v/>
      </c>
      <c r="I900" t="str">
        <f>IF(E900="","",IFERROR(VALUE(SUBSTITUTE('MSR RAW'!S900,",","")),0))</f>
        <v/>
      </c>
    </row>
    <row r="901" spans="1:9" ht="68.650000000000006" customHeight="1" x14ac:dyDescent="0.2">
      <c r="A901">
        <v>901</v>
      </c>
      <c r="B90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01" t="str">
        <f>IF(LEFT(TRIM('MSR RAW'!A901),11)="Department:",TRIM('MSR RAW'!A901),C900)</f>
        <v>Department: 36637 - SPECIALTY CONCESSIONS (VENDING)</v>
      </c>
      <c r="D901" t="str">
        <f>IF(LEFT(TRIM('MSR RAW'!B901),9)="Location:",TRIM(MID('MSR RAW'!B901,10,999)),D900)</f>
        <v>FB 155 - SUB ISLAND NOODLES</v>
      </c>
      <c r="E901" t="str">
        <f>IF(AND(ISNUMBER(SEARCH(" - ",TRIM('MSR RAW'!C901))),RIGHT(TRIM('MSR RAW'!C901),6)="Total:"),LEFT(TRIM('MSR RAW'!C901),SEARCH(" - ",TRIM('MSR RAW'!C901))-1),"")</f>
        <v/>
      </c>
      <c r="F901" t="str">
        <f>IF(E901="","",TRIM(MID(TRIM('MSR RAW'!C901),SEARCH(" - ",TRIM('MSR RAW'!C901))+3,LEN(TRIM('MSR RAW'!C901))-SEARCH(" - ",TRIM('MSR RAW'!C901))-9)))</f>
        <v/>
      </c>
      <c r="G901" t="str">
        <f>IF(E901="","",IFERROR(VLOOKUP(E901,'CATEGORY MAP'!$A$2:$B$20,2,FALSE()),"REVIEW"))</f>
        <v/>
      </c>
      <c r="H901" t="str">
        <f>IF(E901="","",IFERROR(VALUE(SUBSTITUTE('MSR RAW'!P901,",","")),0))</f>
        <v/>
      </c>
      <c r="I901" t="str">
        <f>IF(E901="","",IFERROR(VALUE(SUBSTITUTE('MSR RAW'!S901,",","")),0))</f>
        <v/>
      </c>
    </row>
    <row r="902" spans="1:9" ht="68.650000000000006" customHeight="1" x14ac:dyDescent="0.2">
      <c r="A902">
        <v>902</v>
      </c>
      <c r="B90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02" t="str">
        <f>IF(LEFT(TRIM('MSR RAW'!A902),11)="Department:",TRIM('MSR RAW'!A902),C901)</f>
        <v>Department: 36637 - SPECIALTY CONCESSIONS (VENDING)</v>
      </c>
      <c r="D902" t="str">
        <f>IF(LEFT(TRIM('MSR RAW'!B902),9)="Location:",TRIM(MID('MSR RAW'!B902,10,999)),D901)</f>
        <v>FB 155 - SUB ISLAND NOODLES</v>
      </c>
      <c r="E902" t="str">
        <f>IF(AND(ISNUMBER(SEARCH(" - ",TRIM('MSR RAW'!C902))),RIGHT(TRIM('MSR RAW'!C902),6)="Total:"),LEFT(TRIM('MSR RAW'!C902),SEARCH(" - ",TRIM('MSR RAW'!C902))-1),"")</f>
        <v/>
      </c>
      <c r="F902" t="str">
        <f>IF(E902="","",TRIM(MID(TRIM('MSR RAW'!C902),SEARCH(" - ",TRIM('MSR RAW'!C902))+3,LEN(TRIM('MSR RAW'!C902))-SEARCH(" - ",TRIM('MSR RAW'!C902))-9)))</f>
        <v/>
      </c>
      <c r="G902" t="str">
        <f>IF(E902="","",IFERROR(VLOOKUP(E902,'CATEGORY MAP'!$A$2:$B$20,2,FALSE()),"REVIEW"))</f>
        <v/>
      </c>
      <c r="H902" t="str">
        <f>IF(E902="","",IFERROR(VALUE(SUBSTITUTE('MSR RAW'!P902,",","")),0))</f>
        <v/>
      </c>
      <c r="I902" t="str">
        <f>IF(E902="","",IFERROR(VALUE(SUBSTITUTE('MSR RAW'!S902,",","")),0))</f>
        <v/>
      </c>
    </row>
    <row r="903" spans="1:9" ht="68.650000000000006" customHeight="1" x14ac:dyDescent="0.2">
      <c r="A903">
        <v>903</v>
      </c>
      <c r="B90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03" t="str">
        <f>IF(LEFT(TRIM('MSR RAW'!A903),11)="Department:",TRIM('MSR RAW'!A903),C902)</f>
        <v>Department: 36637 - SPECIALTY CONCESSIONS (VENDING)</v>
      </c>
      <c r="D903" t="str">
        <f>IF(LEFT(TRIM('MSR RAW'!B903),9)="Location:",TRIM(MID('MSR RAW'!B903,10,999)),D902)</f>
        <v>FB 155 - SUB ISLAND NOODLES</v>
      </c>
      <c r="E903" t="str">
        <f>IF(AND(ISNUMBER(SEARCH(" - ",TRIM('MSR RAW'!C903))),RIGHT(TRIM('MSR RAW'!C903),6)="Total:"),LEFT(TRIM('MSR RAW'!C903),SEARCH(" - ",TRIM('MSR RAW'!C903))-1),"")</f>
        <v/>
      </c>
      <c r="F903" t="str">
        <f>IF(E903="","",TRIM(MID(TRIM('MSR RAW'!C903),SEARCH(" - ",TRIM('MSR RAW'!C903))+3,LEN(TRIM('MSR RAW'!C903))-SEARCH(" - ",TRIM('MSR RAW'!C903))-9)))</f>
        <v/>
      </c>
      <c r="G903" t="str">
        <f>IF(E903="","",IFERROR(VLOOKUP(E903,'CATEGORY MAP'!$A$2:$B$20,2,FALSE()),"REVIEW"))</f>
        <v/>
      </c>
      <c r="H903" t="str">
        <f>IF(E903="","",IFERROR(VALUE(SUBSTITUTE('MSR RAW'!P903,",","")),0))</f>
        <v/>
      </c>
      <c r="I903" t="str">
        <f>IF(E903="","",IFERROR(VALUE(SUBSTITUTE('MSR RAW'!S903,",","")),0))</f>
        <v/>
      </c>
    </row>
    <row r="904" spans="1:9" ht="68.650000000000006" customHeight="1" x14ac:dyDescent="0.2">
      <c r="A904">
        <v>904</v>
      </c>
      <c r="B90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04" t="str">
        <f>IF(LEFT(TRIM('MSR RAW'!A904),11)="Department:",TRIM('MSR RAW'!A904),C903)</f>
        <v>Department: 36637 - SPECIALTY CONCESSIONS (VENDING)</v>
      </c>
      <c r="D904" t="str">
        <f>IF(LEFT(TRIM('MSR RAW'!B904),9)="Location:",TRIM(MID('MSR RAW'!B904,10,999)),D903)</f>
        <v>FB 155 - SUB ISLAND NOODLES</v>
      </c>
      <c r="E904" t="str">
        <f>IF(AND(ISNUMBER(SEARCH(" - ",TRIM('MSR RAW'!C904))),RIGHT(TRIM('MSR RAW'!C904),6)="Total:"),LEFT(TRIM('MSR RAW'!C904),SEARCH(" - ",TRIM('MSR RAW'!C904))-1),"")</f>
        <v/>
      </c>
      <c r="F904" t="str">
        <f>IF(E904="","",TRIM(MID(TRIM('MSR RAW'!C904),SEARCH(" - ",TRIM('MSR RAW'!C904))+3,LEN(TRIM('MSR RAW'!C904))-SEARCH(" - ",TRIM('MSR RAW'!C904))-9)))</f>
        <v/>
      </c>
      <c r="G904" t="str">
        <f>IF(E904="","",IFERROR(VLOOKUP(E904,'CATEGORY MAP'!$A$2:$B$20,2,FALSE()),"REVIEW"))</f>
        <v/>
      </c>
      <c r="H904" t="str">
        <f>IF(E904="","",IFERROR(VALUE(SUBSTITUTE('MSR RAW'!P904,",","")),0))</f>
        <v/>
      </c>
      <c r="I904" t="str">
        <f>IF(E904="","",IFERROR(VALUE(SUBSTITUTE('MSR RAW'!S904,",","")),0))</f>
        <v/>
      </c>
    </row>
    <row r="905" spans="1:9" ht="68.650000000000006" customHeight="1" x14ac:dyDescent="0.2">
      <c r="A905">
        <v>905</v>
      </c>
      <c r="B90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05" t="str">
        <f>IF(LEFT(TRIM('MSR RAW'!A905),11)="Department:",TRIM('MSR RAW'!A905),C904)</f>
        <v>Department: 36637 - SPECIALTY CONCESSIONS (VENDING)</v>
      </c>
      <c r="D905" t="str">
        <f>IF(LEFT(TRIM('MSR RAW'!B905),9)="Location:",TRIM(MID('MSR RAW'!B905,10,999)),D904)</f>
        <v>FB 155 - SUB ISLAND NOODLES</v>
      </c>
      <c r="E905" t="str">
        <f>IF(AND(ISNUMBER(SEARCH(" - ",TRIM('MSR RAW'!C905))),RIGHT(TRIM('MSR RAW'!C905),6)="Total:"),LEFT(TRIM('MSR RAW'!C905),SEARCH(" - ",TRIM('MSR RAW'!C905))-1),"")</f>
        <v/>
      </c>
      <c r="F905" t="str">
        <f>IF(E905="","",TRIM(MID(TRIM('MSR RAW'!C905),SEARCH(" - ",TRIM('MSR RAW'!C905))+3,LEN(TRIM('MSR RAW'!C905))-SEARCH(" - ",TRIM('MSR RAW'!C905))-9)))</f>
        <v/>
      </c>
      <c r="G905" t="str">
        <f>IF(E905="","",IFERROR(VLOOKUP(E905,'CATEGORY MAP'!$A$2:$B$20,2,FALSE()),"REVIEW"))</f>
        <v/>
      </c>
      <c r="H905" t="str">
        <f>IF(E905="","",IFERROR(VALUE(SUBSTITUTE('MSR RAW'!P905,",","")),0))</f>
        <v/>
      </c>
      <c r="I905" t="str">
        <f>IF(E905="","",IFERROR(VALUE(SUBSTITUTE('MSR RAW'!S905,",","")),0))</f>
        <v/>
      </c>
    </row>
    <row r="906" spans="1:9" ht="68.650000000000006" customHeight="1" x14ac:dyDescent="0.2">
      <c r="A906">
        <v>906</v>
      </c>
      <c r="B90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06" t="str">
        <f>IF(LEFT(TRIM('MSR RAW'!A906),11)="Department:",TRIM('MSR RAW'!A906),C905)</f>
        <v>Department: 36637 - SPECIALTY CONCESSIONS (VENDING)</v>
      </c>
      <c r="D906" t="str">
        <f>IF(LEFT(TRIM('MSR RAW'!B906),9)="Location:",TRIM(MID('MSR RAW'!B906,10,999)),D905)</f>
        <v>FB 155 - SUB ISLAND NOODLES</v>
      </c>
      <c r="E906" t="str">
        <f>IF(AND(ISNUMBER(SEARCH(" - ",TRIM('MSR RAW'!C906))),RIGHT(TRIM('MSR RAW'!C906),6)="Total:"),LEFT(TRIM('MSR RAW'!C906),SEARCH(" - ",TRIM('MSR RAW'!C906))-1),"")</f>
        <v/>
      </c>
      <c r="F906" t="str">
        <f>IF(E906="","",TRIM(MID(TRIM('MSR RAW'!C906),SEARCH(" - ",TRIM('MSR RAW'!C906))+3,LEN(TRIM('MSR RAW'!C906))-SEARCH(" - ",TRIM('MSR RAW'!C906))-9)))</f>
        <v/>
      </c>
      <c r="G906" t="str">
        <f>IF(E906="","",IFERROR(VLOOKUP(E906,'CATEGORY MAP'!$A$2:$B$20,2,FALSE()),"REVIEW"))</f>
        <v/>
      </c>
      <c r="H906" t="str">
        <f>IF(E906="","",IFERROR(VALUE(SUBSTITUTE('MSR RAW'!P906,",","")),0))</f>
        <v/>
      </c>
      <c r="I906" t="str">
        <f>IF(E906="","",IFERROR(VALUE(SUBSTITUTE('MSR RAW'!S906,",","")),0))</f>
        <v/>
      </c>
    </row>
    <row r="907" spans="1:9" ht="68.650000000000006" customHeight="1" x14ac:dyDescent="0.2">
      <c r="A907">
        <v>907</v>
      </c>
      <c r="B90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07" t="str">
        <f>IF(LEFT(TRIM('MSR RAW'!A907),11)="Department:",TRIM('MSR RAW'!A907),C906)</f>
        <v>Department: 36637 - SPECIALTY CONCESSIONS (VENDING)</v>
      </c>
      <c r="D907" t="str">
        <f>IF(LEFT(TRIM('MSR RAW'!B907),9)="Location:",TRIM(MID('MSR RAW'!B907,10,999)),D906)</f>
        <v>FB 155 - SUB ISLAND NOODLES</v>
      </c>
      <c r="E907" t="str">
        <f>IF(AND(ISNUMBER(SEARCH(" - ",TRIM('MSR RAW'!C907))),RIGHT(TRIM('MSR RAW'!C907),6)="Total:"),LEFT(TRIM('MSR RAW'!C907),SEARCH(" - ",TRIM('MSR RAW'!C907))-1),"")</f>
        <v/>
      </c>
      <c r="F907" t="str">
        <f>IF(E907="","",TRIM(MID(TRIM('MSR RAW'!C907),SEARCH(" - ",TRIM('MSR RAW'!C907))+3,LEN(TRIM('MSR RAW'!C907))-SEARCH(" - ",TRIM('MSR RAW'!C907))-9)))</f>
        <v/>
      </c>
      <c r="G907" t="str">
        <f>IF(E907="","",IFERROR(VLOOKUP(E907,'CATEGORY MAP'!$A$2:$B$20,2,FALSE()),"REVIEW"))</f>
        <v/>
      </c>
      <c r="H907" t="str">
        <f>IF(E907="","",IFERROR(VALUE(SUBSTITUTE('MSR RAW'!P907,",","")),0))</f>
        <v/>
      </c>
      <c r="I907" t="str">
        <f>IF(E907="","",IFERROR(VALUE(SUBSTITUTE('MSR RAW'!S907,",","")),0))</f>
        <v/>
      </c>
    </row>
    <row r="908" spans="1:9" ht="68.650000000000006" customHeight="1" x14ac:dyDescent="0.2">
      <c r="A908">
        <v>908</v>
      </c>
      <c r="B90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08" t="str">
        <f>IF(LEFT(TRIM('MSR RAW'!A908),11)="Department:",TRIM('MSR RAW'!A908),C907)</f>
        <v>Department: 36637 - SPECIALTY CONCESSIONS (VENDING)</v>
      </c>
      <c r="D908" t="str">
        <f>IF(LEFT(TRIM('MSR RAW'!B908),9)="Location:",TRIM(MID('MSR RAW'!B908,10,999)),D907)</f>
        <v>FB 155 - SUB ISLAND NOODLES</v>
      </c>
      <c r="E908" t="str">
        <f>IF(AND(ISNUMBER(SEARCH(" - ",TRIM('MSR RAW'!C908))),RIGHT(TRIM('MSR RAW'!C908),6)="Total:"),LEFT(TRIM('MSR RAW'!C908),SEARCH(" - ",TRIM('MSR RAW'!C908))-1),"")</f>
        <v/>
      </c>
      <c r="F908" t="str">
        <f>IF(E908="","",TRIM(MID(TRIM('MSR RAW'!C908),SEARCH(" - ",TRIM('MSR RAW'!C908))+3,LEN(TRIM('MSR RAW'!C908))-SEARCH(" - ",TRIM('MSR RAW'!C908))-9)))</f>
        <v/>
      </c>
      <c r="G908" t="str">
        <f>IF(E908="","",IFERROR(VLOOKUP(E908,'CATEGORY MAP'!$A$2:$B$20,2,FALSE()),"REVIEW"))</f>
        <v/>
      </c>
      <c r="H908" t="str">
        <f>IF(E908="","",IFERROR(VALUE(SUBSTITUTE('MSR RAW'!P908,",","")),0))</f>
        <v/>
      </c>
      <c r="I908" t="str">
        <f>IF(E908="","",IFERROR(VALUE(SUBSTITUTE('MSR RAW'!S908,",","")),0))</f>
        <v/>
      </c>
    </row>
    <row r="909" spans="1:9" ht="68.650000000000006" customHeight="1" x14ac:dyDescent="0.2">
      <c r="A909">
        <v>909</v>
      </c>
      <c r="B90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09" t="str">
        <f>IF(LEFT(TRIM('MSR RAW'!A909),11)="Department:",TRIM('MSR RAW'!A909),C908)</f>
        <v>Department: 36637 - SPECIALTY CONCESSIONS (VENDING)</v>
      </c>
      <c r="D909" t="str">
        <f>IF(LEFT(TRIM('MSR RAW'!B909),9)="Location:",TRIM(MID('MSR RAW'!B909,10,999)),D908)</f>
        <v>FB 155 - SUB ISLAND NOODLES</v>
      </c>
      <c r="E909" t="str">
        <f>IF(AND(ISNUMBER(SEARCH(" - ",TRIM('MSR RAW'!C909))),RIGHT(TRIM('MSR RAW'!C909),6)="Total:"),LEFT(TRIM('MSR RAW'!C909),SEARCH(" - ",TRIM('MSR RAW'!C909))-1),"")</f>
        <v/>
      </c>
      <c r="F909" t="str">
        <f>IF(E909="","",TRIM(MID(TRIM('MSR RAW'!C909),SEARCH(" - ",TRIM('MSR RAW'!C909))+3,LEN(TRIM('MSR RAW'!C909))-SEARCH(" - ",TRIM('MSR RAW'!C909))-9)))</f>
        <v/>
      </c>
      <c r="G909" t="str">
        <f>IF(E909="","",IFERROR(VLOOKUP(E909,'CATEGORY MAP'!$A$2:$B$20,2,FALSE()),"REVIEW"))</f>
        <v/>
      </c>
      <c r="H909" t="str">
        <f>IF(E909="","",IFERROR(VALUE(SUBSTITUTE('MSR RAW'!P909,",","")),0))</f>
        <v/>
      </c>
      <c r="I909" t="str">
        <f>IF(E909="","",IFERROR(VALUE(SUBSTITUTE('MSR RAW'!S909,",","")),0))</f>
        <v/>
      </c>
    </row>
    <row r="910" spans="1:9" ht="68.650000000000006" customHeight="1" x14ac:dyDescent="0.2">
      <c r="A910">
        <v>910</v>
      </c>
      <c r="B91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10" t="str">
        <f>IF(LEFT(TRIM('MSR RAW'!A910),11)="Department:",TRIM('MSR RAW'!A910),C909)</f>
        <v>Department: 36637 - SPECIALTY CONCESSIONS (VENDING)</v>
      </c>
      <c r="D910" t="str">
        <f>IF(LEFT(TRIM('MSR RAW'!B910),9)="Location:",TRIM(MID('MSR RAW'!B910,10,999)),D909)</f>
        <v>FB 155 - SUB ISLAND NOODLES</v>
      </c>
      <c r="E910" t="str">
        <f>IF(AND(ISNUMBER(SEARCH(" - ",TRIM('MSR RAW'!C910))),RIGHT(TRIM('MSR RAW'!C910),6)="Total:"),LEFT(TRIM('MSR RAW'!C910),SEARCH(" - ",TRIM('MSR RAW'!C910))-1),"")</f>
        <v/>
      </c>
      <c r="F910" t="str">
        <f>IF(E910="","",TRIM(MID(TRIM('MSR RAW'!C910),SEARCH(" - ",TRIM('MSR RAW'!C910))+3,LEN(TRIM('MSR RAW'!C910))-SEARCH(" - ",TRIM('MSR RAW'!C910))-9)))</f>
        <v/>
      </c>
      <c r="G910" t="str">
        <f>IF(E910="","",IFERROR(VLOOKUP(E910,'CATEGORY MAP'!$A$2:$B$20,2,FALSE()),"REVIEW"))</f>
        <v/>
      </c>
      <c r="H910" t="str">
        <f>IF(E910="","",IFERROR(VALUE(SUBSTITUTE('MSR RAW'!P910,",","")),0))</f>
        <v/>
      </c>
      <c r="I910" t="str">
        <f>IF(E910="","",IFERROR(VALUE(SUBSTITUTE('MSR RAW'!S910,",","")),0))</f>
        <v/>
      </c>
    </row>
    <row r="911" spans="1:9" ht="68.650000000000006" customHeight="1" x14ac:dyDescent="0.2">
      <c r="A911">
        <v>911</v>
      </c>
      <c r="B91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11" t="str">
        <f>IF(LEFT(TRIM('MSR RAW'!A911),11)="Department:",TRIM('MSR RAW'!A911),C910)</f>
        <v>Department: 36637 - SPECIALTY CONCESSIONS (VENDING)</v>
      </c>
      <c r="D911" t="str">
        <f>IF(LEFT(TRIM('MSR RAW'!B911),9)="Location:",TRIM(MID('MSR RAW'!B911,10,999)),D910)</f>
        <v>FB 155 - SUB ISLAND NOODLES</v>
      </c>
      <c r="E911" t="str">
        <f>IF(AND(ISNUMBER(SEARCH(" - ",TRIM('MSR RAW'!C911))),RIGHT(TRIM('MSR RAW'!C911),6)="Total:"),LEFT(TRIM('MSR RAW'!C911),SEARCH(" - ",TRIM('MSR RAW'!C911))-1),"")</f>
        <v/>
      </c>
      <c r="F911" t="str">
        <f>IF(E911="","",TRIM(MID(TRIM('MSR RAW'!C911),SEARCH(" - ",TRIM('MSR RAW'!C911))+3,LEN(TRIM('MSR RAW'!C911))-SEARCH(" - ",TRIM('MSR RAW'!C911))-9)))</f>
        <v/>
      </c>
      <c r="G911" t="str">
        <f>IF(E911="","",IFERROR(VLOOKUP(E911,'CATEGORY MAP'!$A$2:$B$20,2,FALSE()),"REVIEW"))</f>
        <v/>
      </c>
      <c r="H911" t="str">
        <f>IF(E911="","",IFERROR(VALUE(SUBSTITUTE('MSR RAW'!P911,",","")),0))</f>
        <v/>
      </c>
      <c r="I911" t="str">
        <f>IF(E911="","",IFERROR(VALUE(SUBSTITUTE('MSR RAW'!S911,",","")),0))</f>
        <v/>
      </c>
    </row>
    <row r="912" spans="1:9" ht="68.650000000000006" customHeight="1" x14ac:dyDescent="0.2">
      <c r="A912">
        <v>912</v>
      </c>
      <c r="B91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12" t="str">
        <f>IF(LEFT(TRIM('MSR RAW'!A912),11)="Department:",TRIM('MSR RAW'!A912),C911)</f>
        <v>Department: 36637 - SPECIALTY CONCESSIONS (VENDING)</v>
      </c>
      <c r="D912" t="str">
        <f>IF(LEFT(TRIM('MSR RAW'!B912),9)="Location:",TRIM(MID('MSR RAW'!B912,10,999)),D911)</f>
        <v>FB 155 - SUB ISLAND NOODLES</v>
      </c>
      <c r="E912" t="str">
        <f>IF(AND(ISNUMBER(SEARCH(" - ",TRIM('MSR RAW'!C912))),RIGHT(TRIM('MSR RAW'!C912),6)="Total:"),LEFT(TRIM('MSR RAW'!C912),SEARCH(" - ",TRIM('MSR RAW'!C912))-1),"")</f>
        <v/>
      </c>
      <c r="F912" t="str">
        <f>IF(E912="","",TRIM(MID(TRIM('MSR RAW'!C912),SEARCH(" - ",TRIM('MSR RAW'!C912))+3,LEN(TRIM('MSR RAW'!C912))-SEARCH(" - ",TRIM('MSR RAW'!C912))-9)))</f>
        <v/>
      </c>
      <c r="G912" t="str">
        <f>IF(E912="","",IFERROR(VLOOKUP(E912,'CATEGORY MAP'!$A$2:$B$20,2,FALSE()),"REVIEW"))</f>
        <v/>
      </c>
      <c r="H912" t="str">
        <f>IF(E912="","",IFERROR(VALUE(SUBSTITUTE('MSR RAW'!P912,",","")),0))</f>
        <v/>
      </c>
      <c r="I912" t="str">
        <f>IF(E912="","",IFERROR(VALUE(SUBSTITUTE('MSR RAW'!S912,",","")),0))</f>
        <v/>
      </c>
    </row>
    <row r="913" spans="1:9" ht="68.650000000000006" customHeight="1" x14ac:dyDescent="0.2">
      <c r="A913">
        <v>913</v>
      </c>
      <c r="B91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13" t="str">
        <f>IF(LEFT(TRIM('MSR RAW'!A913),11)="Department:",TRIM('MSR RAW'!A913),C912)</f>
        <v>Department: 36637 - SPECIALTY CONCESSIONS (VENDING)</v>
      </c>
      <c r="D913" t="str">
        <f>IF(LEFT(TRIM('MSR RAW'!B913),9)="Location:",TRIM(MID('MSR RAW'!B913,10,999)),D912)</f>
        <v>FB 155 - SUB ISLAND NOODLES</v>
      </c>
      <c r="E913" t="str">
        <f>IF(AND(ISNUMBER(SEARCH(" - ",TRIM('MSR RAW'!C913))),RIGHT(TRIM('MSR RAW'!C913),6)="Total:"),LEFT(TRIM('MSR RAW'!C913),SEARCH(" - ",TRIM('MSR RAW'!C913))-1),"")</f>
        <v/>
      </c>
      <c r="F913" t="str">
        <f>IF(E913="","",TRIM(MID(TRIM('MSR RAW'!C913),SEARCH(" - ",TRIM('MSR RAW'!C913))+3,LEN(TRIM('MSR RAW'!C913))-SEARCH(" - ",TRIM('MSR RAW'!C913))-9)))</f>
        <v/>
      </c>
      <c r="G913" t="str">
        <f>IF(E913="","",IFERROR(VLOOKUP(E913,'CATEGORY MAP'!$A$2:$B$20,2,FALSE()),"REVIEW"))</f>
        <v/>
      </c>
      <c r="H913" t="str">
        <f>IF(E913="","",IFERROR(VALUE(SUBSTITUTE('MSR RAW'!P913,",","")),0))</f>
        <v/>
      </c>
      <c r="I913" t="str">
        <f>IF(E913="","",IFERROR(VALUE(SUBSTITUTE('MSR RAW'!S913,",","")),0))</f>
        <v/>
      </c>
    </row>
    <row r="914" spans="1:9" ht="68.650000000000006" customHeight="1" x14ac:dyDescent="0.2">
      <c r="A914">
        <v>914</v>
      </c>
      <c r="B91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14" t="str">
        <f>IF(LEFT(TRIM('MSR RAW'!A914),11)="Department:",TRIM('MSR RAW'!A914),C913)</f>
        <v>Department: 36637 - SPECIALTY CONCESSIONS (VENDING)</v>
      </c>
      <c r="D914" t="str">
        <f>IF(LEFT(TRIM('MSR RAW'!B914),9)="Location:",TRIM(MID('MSR RAW'!B914,10,999)),D913)</f>
        <v>FB 155 - SUB ISLAND NOODLES</v>
      </c>
      <c r="E914" t="str">
        <f>IF(AND(ISNUMBER(SEARCH(" - ",TRIM('MSR RAW'!C914))),RIGHT(TRIM('MSR RAW'!C914),6)="Total:"),LEFT(TRIM('MSR RAW'!C914),SEARCH(" - ",TRIM('MSR RAW'!C914))-1),"")</f>
        <v/>
      </c>
      <c r="F914" t="str">
        <f>IF(E914="","",TRIM(MID(TRIM('MSR RAW'!C914),SEARCH(" - ",TRIM('MSR RAW'!C914))+3,LEN(TRIM('MSR RAW'!C914))-SEARCH(" - ",TRIM('MSR RAW'!C914))-9)))</f>
        <v/>
      </c>
      <c r="G914" t="str">
        <f>IF(E914="","",IFERROR(VLOOKUP(E914,'CATEGORY MAP'!$A$2:$B$20,2,FALSE()),"REVIEW"))</f>
        <v/>
      </c>
      <c r="H914" t="str">
        <f>IF(E914="","",IFERROR(VALUE(SUBSTITUTE('MSR RAW'!P914,",","")),0))</f>
        <v/>
      </c>
      <c r="I914" t="str">
        <f>IF(E914="","",IFERROR(VALUE(SUBSTITUTE('MSR RAW'!S914,",","")),0))</f>
        <v/>
      </c>
    </row>
    <row r="915" spans="1:9" ht="68.650000000000006" customHeight="1" x14ac:dyDescent="0.2">
      <c r="A915">
        <v>915</v>
      </c>
      <c r="B91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15" t="str">
        <f>IF(LEFT(TRIM('MSR RAW'!A915),11)="Department:",TRIM('MSR RAW'!A915),C914)</f>
        <v>Department: 36637 - SPECIALTY CONCESSIONS (VENDING)</v>
      </c>
      <c r="D915" t="str">
        <f>IF(LEFT(TRIM('MSR RAW'!B915),9)="Location:",TRIM(MID('MSR RAW'!B915,10,999)),D914)</f>
        <v>FB 155 - SUB ISLAND NOODLES</v>
      </c>
      <c r="E915" t="str">
        <f>IF(AND(ISNUMBER(SEARCH(" - ",TRIM('MSR RAW'!C915))),RIGHT(TRIM('MSR RAW'!C915),6)="Total:"),LEFT(TRIM('MSR RAW'!C915),SEARCH(" - ",TRIM('MSR RAW'!C915))-1),"")</f>
        <v/>
      </c>
      <c r="F915" t="str">
        <f>IF(E915="","",TRIM(MID(TRIM('MSR RAW'!C915),SEARCH(" - ",TRIM('MSR RAW'!C915))+3,LEN(TRIM('MSR RAW'!C915))-SEARCH(" - ",TRIM('MSR RAW'!C915))-9)))</f>
        <v/>
      </c>
      <c r="G915" t="str">
        <f>IF(E915="","",IFERROR(VLOOKUP(E915,'CATEGORY MAP'!$A$2:$B$20,2,FALSE()),"REVIEW"))</f>
        <v/>
      </c>
      <c r="H915" t="str">
        <f>IF(E915="","",IFERROR(VALUE(SUBSTITUTE('MSR RAW'!P915,",","")),0))</f>
        <v/>
      </c>
      <c r="I915" t="str">
        <f>IF(E915="","",IFERROR(VALUE(SUBSTITUTE('MSR RAW'!S915,",","")),0))</f>
        <v/>
      </c>
    </row>
    <row r="916" spans="1:9" ht="68.650000000000006" customHeight="1" x14ac:dyDescent="0.2">
      <c r="A916">
        <v>916</v>
      </c>
      <c r="B91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16" t="str">
        <f>IF(LEFT(TRIM('MSR RAW'!A916),11)="Department:",TRIM('MSR RAW'!A916),C915)</f>
        <v>Department: 36637 - SPECIALTY CONCESSIONS (VENDING)</v>
      </c>
      <c r="D916" t="str">
        <f>IF(LEFT(TRIM('MSR RAW'!B916),9)="Location:",TRIM(MID('MSR RAW'!B916,10,999)),D915)</f>
        <v>FB 155 - SUB ISLAND NOODLES</v>
      </c>
      <c r="E916" t="str">
        <f>IF(AND(ISNUMBER(SEARCH(" - ",TRIM('MSR RAW'!C916))),RIGHT(TRIM('MSR RAW'!C916),6)="Total:"),LEFT(TRIM('MSR RAW'!C916),SEARCH(" - ",TRIM('MSR RAW'!C916))-1),"")</f>
        <v/>
      </c>
      <c r="F916" t="str">
        <f>IF(E916="","",TRIM(MID(TRIM('MSR RAW'!C916),SEARCH(" - ",TRIM('MSR RAW'!C916))+3,LEN(TRIM('MSR RAW'!C916))-SEARCH(" - ",TRIM('MSR RAW'!C916))-9)))</f>
        <v/>
      </c>
      <c r="G916" t="str">
        <f>IF(E916="","",IFERROR(VLOOKUP(E916,'CATEGORY MAP'!$A$2:$B$20,2,FALSE()),"REVIEW"))</f>
        <v/>
      </c>
      <c r="H916" t="str">
        <f>IF(E916="","",IFERROR(VALUE(SUBSTITUTE('MSR RAW'!P916,",","")),0))</f>
        <v/>
      </c>
      <c r="I916" t="str">
        <f>IF(E916="","",IFERROR(VALUE(SUBSTITUTE('MSR RAW'!S916,",","")),0))</f>
        <v/>
      </c>
    </row>
    <row r="917" spans="1:9" ht="68.650000000000006" customHeight="1" x14ac:dyDescent="0.2">
      <c r="A917">
        <v>917</v>
      </c>
      <c r="B91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17" t="str">
        <f>IF(LEFT(TRIM('MSR RAW'!A917),11)="Department:",TRIM('MSR RAW'!A917),C916)</f>
        <v>Department: 36637 - SPECIALTY CONCESSIONS (VENDING)</v>
      </c>
      <c r="D917" t="str">
        <f>IF(LEFT(TRIM('MSR RAW'!B917),9)="Location:",TRIM(MID('MSR RAW'!B917,10,999)),D916)</f>
        <v>FB 155 - SUB ISLAND NOODLES</v>
      </c>
      <c r="E917" t="str">
        <f>IF(AND(ISNUMBER(SEARCH(" - ",TRIM('MSR RAW'!C917))),RIGHT(TRIM('MSR RAW'!C917),6)="Total:"),LEFT(TRIM('MSR RAW'!C917),SEARCH(" - ",TRIM('MSR RAW'!C917))-1),"")</f>
        <v/>
      </c>
      <c r="F917" t="str">
        <f>IF(E917="","",TRIM(MID(TRIM('MSR RAW'!C917),SEARCH(" - ",TRIM('MSR RAW'!C917))+3,LEN(TRIM('MSR RAW'!C917))-SEARCH(" - ",TRIM('MSR RAW'!C917))-9)))</f>
        <v/>
      </c>
      <c r="G917" t="str">
        <f>IF(E917="","",IFERROR(VLOOKUP(E917,'CATEGORY MAP'!$A$2:$B$20,2,FALSE()),"REVIEW"))</f>
        <v/>
      </c>
      <c r="H917" t="str">
        <f>IF(E917="","",IFERROR(VALUE(SUBSTITUTE('MSR RAW'!P917,",","")),0))</f>
        <v/>
      </c>
      <c r="I917" t="str">
        <f>IF(E917="","",IFERROR(VALUE(SUBSTITUTE('MSR RAW'!S917,",","")),0))</f>
        <v/>
      </c>
    </row>
    <row r="918" spans="1:9" ht="68.650000000000006" customHeight="1" x14ac:dyDescent="0.2">
      <c r="A918">
        <v>918</v>
      </c>
      <c r="B91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18" t="str">
        <f>IF(LEFT(TRIM('MSR RAW'!A918),11)="Department:",TRIM('MSR RAW'!A918),C917)</f>
        <v>Department: 36637 - SPECIALTY CONCESSIONS (VENDING)</v>
      </c>
      <c r="D918" t="str">
        <f>IF(LEFT(TRIM('MSR RAW'!B918),9)="Location:",TRIM(MID('MSR RAW'!B918,10,999)),D917)</f>
        <v>FB 155 - SUB ISLAND NOODLES</v>
      </c>
      <c r="E918" t="str">
        <f>IF(AND(ISNUMBER(SEARCH(" - ",TRIM('MSR RAW'!C918))),RIGHT(TRIM('MSR RAW'!C918),6)="Total:"),LEFT(TRIM('MSR RAW'!C918),SEARCH(" - ",TRIM('MSR RAW'!C918))-1),"")</f>
        <v/>
      </c>
      <c r="F918" t="str">
        <f>IF(E918="","",TRIM(MID(TRIM('MSR RAW'!C918),SEARCH(" - ",TRIM('MSR RAW'!C918))+3,LEN(TRIM('MSR RAW'!C918))-SEARCH(" - ",TRIM('MSR RAW'!C918))-9)))</f>
        <v/>
      </c>
      <c r="G918" t="str">
        <f>IF(E918="","",IFERROR(VLOOKUP(E918,'CATEGORY MAP'!$A$2:$B$20,2,FALSE()),"REVIEW"))</f>
        <v/>
      </c>
      <c r="H918" t="str">
        <f>IF(E918="","",IFERROR(VALUE(SUBSTITUTE('MSR RAW'!P918,",","")),0))</f>
        <v/>
      </c>
      <c r="I918" t="str">
        <f>IF(E918="","",IFERROR(VALUE(SUBSTITUTE('MSR RAW'!S918,",","")),0))</f>
        <v/>
      </c>
    </row>
    <row r="919" spans="1:9" ht="68.650000000000006" customHeight="1" x14ac:dyDescent="0.2">
      <c r="A919">
        <v>919</v>
      </c>
      <c r="B91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19" t="str">
        <f>IF(LEFT(TRIM('MSR RAW'!A919),11)="Department:",TRIM('MSR RAW'!A919),C918)</f>
        <v>Department: 36637 - SPECIALTY CONCESSIONS (VENDING)</v>
      </c>
      <c r="D919" t="str">
        <f>IF(LEFT(TRIM('MSR RAW'!B919),9)="Location:",TRIM(MID('MSR RAW'!B919,10,999)),D918)</f>
        <v>FB 155 - SUB ISLAND NOODLES</v>
      </c>
      <c r="E919" t="str">
        <f>IF(AND(ISNUMBER(SEARCH(" - ",TRIM('MSR RAW'!C919))),RIGHT(TRIM('MSR RAW'!C919),6)="Total:"),LEFT(TRIM('MSR RAW'!C919),SEARCH(" - ",TRIM('MSR RAW'!C919))-1),"")</f>
        <v/>
      </c>
      <c r="F919" t="str">
        <f>IF(E919="","",TRIM(MID(TRIM('MSR RAW'!C919),SEARCH(" - ",TRIM('MSR RAW'!C919))+3,LEN(TRIM('MSR RAW'!C919))-SEARCH(" - ",TRIM('MSR RAW'!C919))-9)))</f>
        <v/>
      </c>
      <c r="G919" t="str">
        <f>IF(E919="","",IFERROR(VLOOKUP(E919,'CATEGORY MAP'!$A$2:$B$20,2,FALSE()),"REVIEW"))</f>
        <v/>
      </c>
      <c r="H919" t="str">
        <f>IF(E919="","",IFERROR(VALUE(SUBSTITUTE('MSR RAW'!P919,",","")),0))</f>
        <v/>
      </c>
      <c r="I919" t="str">
        <f>IF(E919="","",IFERROR(VALUE(SUBSTITUTE('MSR RAW'!S919,",","")),0))</f>
        <v/>
      </c>
    </row>
    <row r="920" spans="1:9" ht="68.650000000000006" customHeight="1" x14ac:dyDescent="0.2">
      <c r="A920">
        <v>920</v>
      </c>
      <c r="B92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20" t="str">
        <f>IF(LEFT(TRIM('MSR RAW'!A920),11)="Department:",TRIM('MSR RAW'!A920),C919)</f>
        <v>Department: 36637 - SPECIALTY CONCESSIONS (VENDING)</v>
      </c>
      <c r="D920" t="str">
        <f>IF(LEFT(TRIM('MSR RAW'!B920),9)="Location:",TRIM(MID('MSR RAW'!B920,10,999)),D919)</f>
        <v>FB 155 - SUB ISLAND NOODLES</v>
      </c>
      <c r="E920" t="str">
        <f>IF(AND(ISNUMBER(SEARCH(" - ",TRIM('MSR RAW'!C920))),RIGHT(TRIM('MSR RAW'!C920),6)="Total:"),LEFT(TRIM('MSR RAW'!C920),SEARCH(" - ",TRIM('MSR RAW'!C920))-1),"")</f>
        <v/>
      </c>
      <c r="F920" t="str">
        <f>IF(E920="","",TRIM(MID(TRIM('MSR RAW'!C920),SEARCH(" - ",TRIM('MSR RAW'!C920))+3,LEN(TRIM('MSR RAW'!C920))-SEARCH(" - ",TRIM('MSR RAW'!C920))-9)))</f>
        <v/>
      </c>
      <c r="G920" t="str">
        <f>IF(E920="","",IFERROR(VLOOKUP(E920,'CATEGORY MAP'!$A$2:$B$20,2,FALSE()),"REVIEW"))</f>
        <v/>
      </c>
      <c r="H920" t="str">
        <f>IF(E920="","",IFERROR(VALUE(SUBSTITUTE('MSR RAW'!P920,",","")),0))</f>
        <v/>
      </c>
      <c r="I920" t="str">
        <f>IF(E920="","",IFERROR(VALUE(SUBSTITUTE('MSR RAW'!S920,",","")),0))</f>
        <v/>
      </c>
    </row>
    <row r="921" spans="1:9" ht="68.650000000000006" customHeight="1" x14ac:dyDescent="0.2">
      <c r="A921">
        <v>921</v>
      </c>
      <c r="B92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21" t="str">
        <f>IF(LEFT(TRIM('MSR RAW'!A921),11)="Department:",TRIM('MSR RAW'!A921),C920)</f>
        <v>Department: 36637 - SPECIALTY CONCESSIONS (VENDING)</v>
      </c>
      <c r="D921" t="str">
        <f>IF(LEFT(TRIM('MSR RAW'!B921),9)="Location:",TRIM(MID('MSR RAW'!B921,10,999)),D920)</f>
        <v>FB 155 - SUB ISLAND NOODLES</v>
      </c>
      <c r="E921" t="str">
        <f>IF(AND(ISNUMBER(SEARCH(" - ",TRIM('MSR RAW'!C921))),RIGHT(TRIM('MSR RAW'!C921),6)="Total:"),LEFT(TRIM('MSR RAW'!C921),SEARCH(" - ",TRIM('MSR RAW'!C921))-1),"")</f>
        <v/>
      </c>
      <c r="F921" t="str">
        <f>IF(E921="","",TRIM(MID(TRIM('MSR RAW'!C921),SEARCH(" - ",TRIM('MSR RAW'!C921))+3,LEN(TRIM('MSR RAW'!C921))-SEARCH(" - ",TRIM('MSR RAW'!C921))-9)))</f>
        <v/>
      </c>
      <c r="G921" t="str">
        <f>IF(E921="","",IFERROR(VLOOKUP(E921,'CATEGORY MAP'!$A$2:$B$20,2,FALSE()),"REVIEW"))</f>
        <v/>
      </c>
      <c r="H921" t="str">
        <f>IF(E921="","",IFERROR(VALUE(SUBSTITUTE('MSR RAW'!P921,",","")),0))</f>
        <v/>
      </c>
      <c r="I921" t="str">
        <f>IF(E921="","",IFERROR(VALUE(SUBSTITUTE('MSR RAW'!S921,",","")),0))</f>
        <v/>
      </c>
    </row>
    <row r="922" spans="1:9" ht="68.650000000000006" customHeight="1" x14ac:dyDescent="0.2">
      <c r="A922">
        <v>922</v>
      </c>
      <c r="B92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22" t="str">
        <f>IF(LEFT(TRIM('MSR RAW'!A922),11)="Department:",TRIM('MSR RAW'!A922),C921)</f>
        <v>Department: 36637 - SPECIALTY CONCESSIONS (VENDING)</v>
      </c>
      <c r="D922" t="str">
        <f>IF(LEFT(TRIM('MSR RAW'!B922),9)="Location:",TRIM(MID('MSR RAW'!B922,10,999)),D921)</f>
        <v>FB 155 - SUB ISLAND NOODLES</v>
      </c>
      <c r="E922" t="str">
        <f>IF(AND(ISNUMBER(SEARCH(" - ",TRIM('MSR RAW'!C922))),RIGHT(TRIM('MSR RAW'!C922),6)="Total:"),LEFT(TRIM('MSR RAW'!C922),SEARCH(" - ",TRIM('MSR RAW'!C922))-1),"")</f>
        <v/>
      </c>
      <c r="F922" t="str">
        <f>IF(E922="","",TRIM(MID(TRIM('MSR RAW'!C922),SEARCH(" - ",TRIM('MSR RAW'!C922))+3,LEN(TRIM('MSR RAW'!C922))-SEARCH(" - ",TRIM('MSR RAW'!C922))-9)))</f>
        <v/>
      </c>
      <c r="G922" t="str">
        <f>IF(E922="","",IFERROR(VLOOKUP(E922,'CATEGORY MAP'!$A$2:$B$20,2,FALSE()),"REVIEW"))</f>
        <v/>
      </c>
      <c r="H922" t="str">
        <f>IF(E922="","",IFERROR(VALUE(SUBSTITUTE('MSR RAW'!P922,",","")),0))</f>
        <v/>
      </c>
      <c r="I922" t="str">
        <f>IF(E922="","",IFERROR(VALUE(SUBSTITUTE('MSR RAW'!S922,",","")),0))</f>
        <v/>
      </c>
    </row>
    <row r="923" spans="1:9" ht="68.650000000000006" customHeight="1" x14ac:dyDescent="0.2">
      <c r="A923">
        <v>923</v>
      </c>
      <c r="B92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23" t="str">
        <f>IF(LEFT(TRIM('MSR RAW'!A923),11)="Department:",TRIM('MSR RAW'!A923),C922)</f>
        <v>Department: 36637 - SPECIALTY CONCESSIONS (VENDING)</v>
      </c>
      <c r="D923" t="str">
        <f>IF(LEFT(TRIM('MSR RAW'!B923),9)="Location:",TRIM(MID('MSR RAW'!B923,10,999)),D922)</f>
        <v>FB 155 - SUB ISLAND NOODLES</v>
      </c>
      <c r="E923" t="str">
        <f>IF(AND(ISNUMBER(SEARCH(" - ",TRIM('MSR RAW'!C923))),RIGHT(TRIM('MSR RAW'!C923),6)="Total:"),LEFT(TRIM('MSR RAW'!C923),SEARCH(" - ",TRIM('MSR RAW'!C923))-1),"")</f>
        <v/>
      </c>
      <c r="F923" t="str">
        <f>IF(E923="","",TRIM(MID(TRIM('MSR RAW'!C923),SEARCH(" - ",TRIM('MSR RAW'!C923))+3,LEN(TRIM('MSR RAW'!C923))-SEARCH(" - ",TRIM('MSR RAW'!C923))-9)))</f>
        <v/>
      </c>
      <c r="G923" t="str">
        <f>IF(E923="","",IFERROR(VLOOKUP(E923,'CATEGORY MAP'!$A$2:$B$20,2,FALSE()),"REVIEW"))</f>
        <v/>
      </c>
      <c r="H923" t="str">
        <f>IF(E923="","",IFERROR(VALUE(SUBSTITUTE('MSR RAW'!P923,",","")),0))</f>
        <v/>
      </c>
      <c r="I923" t="str">
        <f>IF(E923="","",IFERROR(VALUE(SUBSTITUTE('MSR RAW'!S923,",","")),0))</f>
        <v/>
      </c>
    </row>
    <row r="924" spans="1:9" ht="68.650000000000006" customHeight="1" x14ac:dyDescent="0.2">
      <c r="A924">
        <v>924</v>
      </c>
      <c r="B92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24" t="str">
        <f>IF(LEFT(TRIM('MSR RAW'!A924),11)="Department:",TRIM('MSR RAW'!A924),C923)</f>
        <v>Department: 36637 - SPECIALTY CONCESSIONS (VENDING)</v>
      </c>
      <c r="D924" t="str">
        <f>IF(LEFT(TRIM('MSR RAW'!B924),9)="Location:",TRIM(MID('MSR RAW'!B924,10,999)),D923)</f>
        <v>FB 155 - SUB ISLAND NOODLES</v>
      </c>
      <c r="E924" t="str">
        <f>IF(AND(ISNUMBER(SEARCH(" - ",TRIM('MSR RAW'!C924))),RIGHT(TRIM('MSR RAW'!C924),6)="Total:"),LEFT(TRIM('MSR RAW'!C924),SEARCH(" - ",TRIM('MSR RAW'!C924))-1),"")</f>
        <v/>
      </c>
      <c r="F924" t="str">
        <f>IF(E924="","",TRIM(MID(TRIM('MSR RAW'!C924),SEARCH(" - ",TRIM('MSR RAW'!C924))+3,LEN(TRIM('MSR RAW'!C924))-SEARCH(" - ",TRIM('MSR RAW'!C924))-9)))</f>
        <v/>
      </c>
      <c r="G924" t="str">
        <f>IF(E924="","",IFERROR(VLOOKUP(E924,'CATEGORY MAP'!$A$2:$B$20,2,FALSE()),"REVIEW"))</f>
        <v/>
      </c>
      <c r="H924" t="str">
        <f>IF(E924="","",IFERROR(VALUE(SUBSTITUTE('MSR RAW'!P924,",","")),0))</f>
        <v/>
      </c>
      <c r="I924" t="str">
        <f>IF(E924="","",IFERROR(VALUE(SUBSTITUTE('MSR RAW'!S924,",","")),0))</f>
        <v/>
      </c>
    </row>
    <row r="925" spans="1:9" ht="68.650000000000006" customHeight="1" x14ac:dyDescent="0.2">
      <c r="A925">
        <v>925</v>
      </c>
      <c r="B92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25" t="str">
        <f>IF(LEFT(TRIM('MSR RAW'!A925),11)="Department:",TRIM('MSR RAW'!A925),C924)</f>
        <v>Department: 36637 - SPECIALTY CONCESSIONS (VENDING)</v>
      </c>
      <c r="D925" t="str">
        <f>IF(LEFT(TRIM('MSR RAW'!B925),9)="Location:",TRIM(MID('MSR RAW'!B925,10,999)),D924)</f>
        <v>FB 155 - SUB ISLAND NOODLES</v>
      </c>
      <c r="E925" t="str">
        <f>IF(AND(ISNUMBER(SEARCH(" - ",TRIM('MSR RAW'!C925))),RIGHT(TRIM('MSR RAW'!C925),6)="Total:"),LEFT(TRIM('MSR RAW'!C925),SEARCH(" - ",TRIM('MSR RAW'!C925))-1),"")</f>
        <v/>
      </c>
      <c r="F925" t="str">
        <f>IF(E925="","",TRIM(MID(TRIM('MSR RAW'!C925),SEARCH(" - ",TRIM('MSR RAW'!C925))+3,LEN(TRIM('MSR RAW'!C925))-SEARCH(" - ",TRIM('MSR RAW'!C925))-9)))</f>
        <v/>
      </c>
      <c r="G925" t="str">
        <f>IF(E925="","",IFERROR(VLOOKUP(E925,'CATEGORY MAP'!$A$2:$B$20,2,FALSE()),"REVIEW"))</f>
        <v/>
      </c>
      <c r="H925" t="str">
        <f>IF(E925="","",IFERROR(VALUE(SUBSTITUTE('MSR RAW'!P925,",","")),0))</f>
        <v/>
      </c>
      <c r="I925" t="str">
        <f>IF(E925="","",IFERROR(VALUE(SUBSTITUTE('MSR RAW'!S925,",","")),0))</f>
        <v/>
      </c>
    </row>
    <row r="926" spans="1:9" ht="68.650000000000006" customHeight="1" x14ac:dyDescent="0.2">
      <c r="A926">
        <v>926</v>
      </c>
      <c r="B92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26" t="str">
        <f>IF(LEFT(TRIM('MSR RAW'!A926),11)="Department:",TRIM('MSR RAW'!A926),C925)</f>
        <v>Department: 36637 - SPECIALTY CONCESSIONS (VENDING)</v>
      </c>
      <c r="D926" t="str">
        <f>IF(LEFT(TRIM('MSR RAW'!B926),9)="Location:",TRIM(MID('MSR RAW'!B926,10,999)),D925)</f>
        <v>FB 155 - SUB ISLAND NOODLES</v>
      </c>
      <c r="E926" t="str">
        <f>IF(AND(ISNUMBER(SEARCH(" - ",TRIM('MSR RAW'!C926))),RIGHT(TRIM('MSR RAW'!C926),6)="Total:"),LEFT(TRIM('MSR RAW'!C926),SEARCH(" - ",TRIM('MSR RAW'!C926))-1),"")</f>
        <v/>
      </c>
      <c r="F926" t="str">
        <f>IF(E926="","",TRIM(MID(TRIM('MSR RAW'!C926),SEARCH(" - ",TRIM('MSR RAW'!C926))+3,LEN(TRIM('MSR RAW'!C926))-SEARCH(" - ",TRIM('MSR RAW'!C926))-9)))</f>
        <v/>
      </c>
      <c r="G926" t="str">
        <f>IF(E926="","",IFERROR(VLOOKUP(E926,'CATEGORY MAP'!$A$2:$B$20,2,FALSE()),"REVIEW"))</f>
        <v/>
      </c>
      <c r="H926" t="str">
        <f>IF(E926="","",IFERROR(VALUE(SUBSTITUTE('MSR RAW'!P926,",","")),0))</f>
        <v/>
      </c>
      <c r="I926" t="str">
        <f>IF(E926="","",IFERROR(VALUE(SUBSTITUTE('MSR RAW'!S926,",","")),0))</f>
        <v/>
      </c>
    </row>
    <row r="927" spans="1:9" ht="68.650000000000006" customHeight="1" x14ac:dyDescent="0.2">
      <c r="A927">
        <v>927</v>
      </c>
      <c r="B92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27" t="str">
        <f>IF(LEFT(TRIM('MSR RAW'!A927),11)="Department:",TRIM('MSR RAW'!A927),C926)</f>
        <v>Department: 36637 - SPECIALTY CONCESSIONS (VENDING)</v>
      </c>
      <c r="D927" t="str">
        <f>IF(LEFT(TRIM('MSR RAW'!B927),9)="Location:",TRIM(MID('MSR RAW'!B927,10,999)),D926)</f>
        <v>FB 155 - SUB ISLAND NOODLES</v>
      </c>
      <c r="E927" t="str">
        <f>IF(AND(ISNUMBER(SEARCH(" - ",TRIM('MSR RAW'!C927))),RIGHT(TRIM('MSR RAW'!C927),6)="Total:"),LEFT(TRIM('MSR RAW'!C927),SEARCH(" - ",TRIM('MSR RAW'!C927))-1),"")</f>
        <v/>
      </c>
      <c r="F927" t="str">
        <f>IF(E927="","",TRIM(MID(TRIM('MSR RAW'!C927),SEARCH(" - ",TRIM('MSR RAW'!C927))+3,LEN(TRIM('MSR RAW'!C927))-SEARCH(" - ",TRIM('MSR RAW'!C927))-9)))</f>
        <v/>
      </c>
      <c r="G927" t="str">
        <f>IF(E927="","",IFERROR(VLOOKUP(E927,'CATEGORY MAP'!$A$2:$B$20,2,FALSE()),"REVIEW"))</f>
        <v/>
      </c>
      <c r="H927" t="str">
        <f>IF(E927="","",IFERROR(VALUE(SUBSTITUTE('MSR RAW'!P927,",","")),0))</f>
        <v/>
      </c>
      <c r="I927" t="str">
        <f>IF(E927="","",IFERROR(VALUE(SUBSTITUTE('MSR RAW'!S927,",","")),0))</f>
        <v/>
      </c>
    </row>
    <row r="928" spans="1:9" ht="68.650000000000006" customHeight="1" x14ac:dyDescent="0.2">
      <c r="A928">
        <v>928</v>
      </c>
      <c r="B92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28" t="str">
        <f>IF(LEFT(TRIM('MSR RAW'!A928),11)="Department:",TRIM('MSR RAW'!A928),C927)</f>
        <v>Department: 36637 - SPECIALTY CONCESSIONS (VENDING)</v>
      </c>
      <c r="D928" t="str">
        <f>IF(LEFT(TRIM('MSR RAW'!B928),9)="Location:",TRIM(MID('MSR RAW'!B928,10,999)),D927)</f>
        <v>FB 155 - SUB ISLAND NOODLES</v>
      </c>
      <c r="E928" t="str">
        <f>IF(AND(ISNUMBER(SEARCH(" - ",TRIM('MSR RAW'!C928))),RIGHT(TRIM('MSR RAW'!C928),6)="Total:"),LEFT(TRIM('MSR RAW'!C928),SEARCH(" - ",TRIM('MSR RAW'!C928))-1),"")</f>
        <v/>
      </c>
      <c r="F928" t="str">
        <f>IF(E928="","",TRIM(MID(TRIM('MSR RAW'!C928),SEARCH(" - ",TRIM('MSR RAW'!C928))+3,LEN(TRIM('MSR RAW'!C928))-SEARCH(" - ",TRIM('MSR RAW'!C928))-9)))</f>
        <v/>
      </c>
      <c r="G928" t="str">
        <f>IF(E928="","",IFERROR(VLOOKUP(E928,'CATEGORY MAP'!$A$2:$B$20,2,FALSE()),"REVIEW"))</f>
        <v/>
      </c>
      <c r="H928" t="str">
        <f>IF(E928="","",IFERROR(VALUE(SUBSTITUTE('MSR RAW'!P928,",","")),0))</f>
        <v/>
      </c>
      <c r="I928" t="str">
        <f>IF(E928="","",IFERROR(VALUE(SUBSTITUTE('MSR RAW'!S928,",","")),0))</f>
        <v/>
      </c>
    </row>
    <row r="929" spans="1:9" ht="68.650000000000006" customHeight="1" x14ac:dyDescent="0.2">
      <c r="A929">
        <v>929</v>
      </c>
      <c r="B92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29" t="str">
        <f>IF(LEFT(TRIM('MSR RAW'!A929),11)="Department:",TRIM('MSR RAW'!A929),C928)</f>
        <v>Department: 36637 - SPECIALTY CONCESSIONS (VENDING)</v>
      </c>
      <c r="D929" t="str">
        <f>IF(LEFT(TRIM('MSR RAW'!B929),9)="Location:",TRIM(MID('MSR RAW'!B929,10,999)),D928)</f>
        <v>FB 155 - SUB ISLAND NOODLES</v>
      </c>
      <c r="E929" t="str">
        <f>IF(AND(ISNUMBER(SEARCH(" - ",TRIM('MSR RAW'!C929))),RIGHT(TRIM('MSR RAW'!C929),6)="Total:"),LEFT(TRIM('MSR RAW'!C929),SEARCH(" - ",TRIM('MSR RAW'!C929))-1),"")</f>
        <v/>
      </c>
      <c r="F929" t="str">
        <f>IF(E929="","",TRIM(MID(TRIM('MSR RAW'!C929),SEARCH(" - ",TRIM('MSR RAW'!C929))+3,LEN(TRIM('MSR RAW'!C929))-SEARCH(" - ",TRIM('MSR RAW'!C929))-9)))</f>
        <v/>
      </c>
      <c r="G929" t="str">
        <f>IF(E929="","",IFERROR(VLOOKUP(E929,'CATEGORY MAP'!$A$2:$B$20,2,FALSE()),"REVIEW"))</f>
        <v/>
      </c>
      <c r="H929" t="str">
        <f>IF(E929="","",IFERROR(VALUE(SUBSTITUTE('MSR RAW'!P929,",","")),0))</f>
        <v/>
      </c>
      <c r="I929" t="str">
        <f>IF(E929="","",IFERROR(VALUE(SUBSTITUTE('MSR RAW'!S929,",","")),0))</f>
        <v/>
      </c>
    </row>
    <row r="930" spans="1:9" ht="68.650000000000006" customHeight="1" x14ac:dyDescent="0.2">
      <c r="A930">
        <v>930</v>
      </c>
      <c r="B93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30" t="str">
        <f>IF(LEFT(TRIM('MSR RAW'!A930),11)="Department:",TRIM('MSR RAW'!A930),C929)</f>
        <v>Department: 36637 - SPECIALTY CONCESSIONS (VENDING)</v>
      </c>
      <c r="D930" t="str">
        <f>IF(LEFT(TRIM('MSR RAW'!B930),9)="Location:",TRIM(MID('MSR RAW'!B930,10,999)),D929)</f>
        <v>FB 155 - SUB ISLAND NOODLES</v>
      </c>
      <c r="E930" t="str">
        <f>IF(AND(ISNUMBER(SEARCH(" - ",TRIM('MSR RAW'!C930))),RIGHT(TRIM('MSR RAW'!C930),6)="Total:"),LEFT(TRIM('MSR RAW'!C930),SEARCH(" - ",TRIM('MSR RAW'!C930))-1),"")</f>
        <v/>
      </c>
      <c r="F930" t="str">
        <f>IF(E930="","",TRIM(MID(TRIM('MSR RAW'!C930),SEARCH(" - ",TRIM('MSR RAW'!C930))+3,LEN(TRIM('MSR RAW'!C930))-SEARCH(" - ",TRIM('MSR RAW'!C930))-9)))</f>
        <v/>
      </c>
      <c r="G930" t="str">
        <f>IF(E930="","",IFERROR(VLOOKUP(E930,'CATEGORY MAP'!$A$2:$B$20,2,FALSE()),"REVIEW"))</f>
        <v/>
      </c>
      <c r="H930" t="str">
        <f>IF(E930="","",IFERROR(VALUE(SUBSTITUTE('MSR RAW'!P930,",","")),0))</f>
        <v/>
      </c>
      <c r="I930" t="str">
        <f>IF(E930="","",IFERROR(VALUE(SUBSTITUTE('MSR RAW'!S930,",","")),0))</f>
        <v/>
      </c>
    </row>
    <row r="931" spans="1:9" ht="68.650000000000006" customHeight="1" x14ac:dyDescent="0.2">
      <c r="A931">
        <v>931</v>
      </c>
      <c r="B93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31" t="str">
        <f>IF(LEFT(TRIM('MSR RAW'!A931),11)="Department:",TRIM('MSR RAW'!A931),C930)</f>
        <v>Department: 36637 - SPECIALTY CONCESSIONS (VENDING)</v>
      </c>
      <c r="D931" t="str">
        <f>IF(LEFT(TRIM('MSR RAW'!B931),9)="Location:",TRIM(MID('MSR RAW'!B931,10,999)),D930)</f>
        <v>FB 155 - SUB ISLAND NOODLES</v>
      </c>
      <c r="E931" t="str">
        <f>IF(AND(ISNUMBER(SEARCH(" - ",TRIM('MSR RAW'!C931))),RIGHT(TRIM('MSR RAW'!C931),6)="Total:"),LEFT(TRIM('MSR RAW'!C931),SEARCH(" - ",TRIM('MSR RAW'!C931))-1),"")</f>
        <v/>
      </c>
      <c r="F931" t="str">
        <f>IF(E931="","",TRIM(MID(TRIM('MSR RAW'!C931),SEARCH(" - ",TRIM('MSR RAW'!C931))+3,LEN(TRIM('MSR RAW'!C931))-SEARCH(" - ",TRIM('MSR RAW'!C931))-9)))</f>
        <v/>
      </c>
      <c r="G931" t="str">
        <f>IF(E931="","",IFERROR(VLOOKUP(E931,'CATEGORY MAP'!$A$2:$B$20,2,FALSE()),"REVIEW"))</f>
        <v/>
      </c>
      <c r="H931" t="str">
        <f>IF(E931="","",IFERROR(VALUE(SUBSTITUTE('MSR RAW'!P931,",","")),0))</f>
        <v/>
      </c>
      <c r="I931" t="str">
        <f>IF(E931="","",IFERROR(VALUE(SUBSTITUTE('MSR RAW'!S931,",","")),0))</f>
        <v/>
      </c>
    </row>
    <row r="932" spans="1:9" ht="68.650000000000006" customHeight="1" x14ac:dyDescent="0.2">
      <c r="A932">
        <v>932</v>
      </c>
      <c r="B93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32" t="str">
        <f>IF(LEFT(TRIM('MSR RAW'!A932),11)="Department:",TRIM('MSR RAW'!A932),C931)</f>
        <v>Department: 36637 - SPECIALTY CONCESSIONS (VENDING)</v>
      </c>
      <c r="D932" t="str">
        <f>IF(LEFT(TRIM('MSR RAW'!B932),9)="Location:",TRIM(MID('MSR RAW'!B932,10,999)),D931)</f>
        <v>FB 155 - SUB ISLAND NOODLES</v>
      </c>
      <c r="E932" t="str">
        <f>IF(AND(ISNUMBER(SEARCH(" - ",TRIM('MSR RAW'!C932))),RIGHT(TRIM('MSR RAW'!C932),6)="Total:"),LEFT(TRIM('MSR RAW'!C932),SEARCH(" - ",TRIM('MSR RAW'!C932))-1),"")</f>
        <v/>
      </c>
      <c r="F932" t="str">
        <f>IF(E932="","",TRIM(MID(TRIM('MSR RAW'!C932),SEARCH(" - ",TRIM('MSR RAW'!C932))+3,LEN(TRIM('MSR RAW'!C932))-SEARCH(" - ",TRIM('MSR RAW'!C932))-9)))</f>
        <v/>
      </c>
      <c r="G932" t="str">
        <f>IF(E932="","",IFERROR(VLOOKUP(E932,'CATEGORY MAP'!$A$2:$B$20,2,FALSE()),"REVIEW"))</f>
        <v/>
      </c>
      <c r="H932" t="str">
        <f>IF(E932="","",IFERROR(VALUE(SUBSTITUTE('MSR RAW'!P932,",","")),0))</f>
        <v/>
      </c>
      <c r="I932" t="str">
        <f>IF(E932="","",IFERROR(VALUE(SUBSTITUTE('MSR RAW'!S932,",","")),0))</f>
        <v/>
      </c>
    </row>
    <row r="933" spans="1:9" ht="68.650000000000006" customHeight="1" x14ac:dyDescent="0.2">
      <c r="A933">
        <v>933</v>
      </c>
      <c r="B93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33" t="str">
        <f>IF(LEFT(TRIM('MSR RAW'!A933),11)="Department:",TRIM('MSR RAW'!A933),C932)</f>
        <v>Department: 36637 - SPECIALTY CONCESSIONS (VENDING)</v>
      </c>
      <c r="D933" t="str">
        <f>IF(LEFT(TRIM('MSR RAW'!B933),9)="Location:",TRIM(MID('MSR RAW'!B933,10,999)),D932)</f>
        <v>FB 155 - SUB ISLAND NOODLES</v>
      </c>
      <c r="E933" t="str">
        <f>IF(AND(ISNUMBER(SEARCH(" - ",TRIM('MSR RAW'!C933))),RIGHT(TRIM('MSR RAW'!C933),6)="Total:"),LEFT(TRIM('MSR RAW'!C933),SEARCH(" - ",TRIM('MSR RAW'!C933))-1),"")</f>
        <v/>
      </c>
      <c r="F933" t="str">
        <f>IF(E933="","",TRIM(MID(TRIM('MSR RAW'!C933),SEARCH(" - ",TRIM('MSR RAW'!C933))+3,LEN(TRIM('MSR RAW'!C933))-SEARCH(" - ",TRIM('MSR RAW'!C933))-9)))</f>
        <v/>
      </c>
      <c r="G933" t="str">
        <f>IF(E933="","",IFERROR(VLOOKUP(E933,'CATEGORY MAP'!$A$2:$B$20,2,FALSE()),"REVIEW"))</f>
        <v/>
      </c>
      <c r="H933" t="str">
        <f>IF(E933="","",IFERROR(VALUE(SUBSTITUTE('MSR RAW'!P933,",","")),0))</f>
        <v/>
      </c>
      <c r="I933" t="str">
        <f>IF(E933="","",IFERROR(VALUE(SUBSTITUTE('MSR RAW'!S933,",","")),0))</f>
        <v/>
      </c>
    </row>
    <row r="934" spans="1:9" ht="68.650000000000006" customHeight="1" x14ac:dyDescent="0.2">
      <c r="A934">
        <v>934</v>
      </c>
      <c r="B93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34" t="str">
        <f>IF(LEFT(TRIM('MSR RAW'!A934),11)="Department:",TRIM('MSR RAW'!A934),C933)</f>
        <v>Department: 36637 - SPECIALTY CONCESSIONS (VENDING)</v>
      </c>
      <c r="D934" t="str">
        <f>IF(LEFT(TRIM('MSR RAW'!B934),9)="Location:",TRIM(MID('MSR RAW'!B934,10,999)),D933)</f>
        <v>FB 155 - SUB ISLAND NOODLES</v>
      </c>
      <c r="E934" t="str">
        <f>IF(AND(ISNUMBER(SEARCH(" - ",TRIM('MSR RAW'!C934))),RIGHT(TRIM('MSR RAW'!C934),6)="Total:"),LEFT(TRIM('MSR RAW'!C934),SEARCH(" - ",TRIM('MSR RAW'!C934))-1),"")</f>
        <v/>
      </c>
      <c r="F934" t="str">
        <f>IF(E934="","",TRIM(MID(TRIM('MSR RAW'!C934),SEARCH(" - ",TRIM('MSR RAW'!C934))+3,LEN(TRIM('MSR RAW'!C934))-SEARCH(" - ",TRIM('MSR RAW'!C934))-9)))</f>
        <v/>
      </c>
      <c r="G934" t="str">
        <f>IF(E934="","",IFERROR(VLOOKUP(E934,'CATEGORY MAP'!$A$2:$B$20,2,FALSE()),"REVIEW"))</f>
        <v/>
      </c>
      <c r="H934" t="str">
        <f>IF(E934="","",IFERROR(VALUE(SUBSTITUTE('MSR RAW'!P934,",","")),0))</f>
        <v/>
      </c>
      <c r="I934" t="str">
        <f>IF(E934="","",IFERROR(VALUE(SUBSTITUTE('MSR RAW'!S934,",","")),0))</f>
        <v/>
      </c>
    </row>
    <row r="935" spans="1:9" ht="68.650000000000006" customHeight="1" x14ac:dyDescent="0.2">
      <c r="A935">
        <v>935</v>
      </c>
      <c r="B93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35" t="str">
        <f>IF(LEFT(TRIM('MSR RAW'!A935),11)="Department:",TRIM('MSR RAW'!A935),C934)</f>
        <v>Department: 36637 - SPECIALTY CONCESSIONS (VENDING)</v>
      </c>
      <c r="D935" t="str">
        <f>IF(LEFT(TRIM('MSR RAW'!B935),9)="Location:",TRIM(MID('MSR RAW'!B935,10,999)),D934)</f>
        <v>FB 155 - SUB ISLAND NOODLES</v>
      </c>
      <c r="E935" t="str">
        <f>IF(AND(ISNUMBER(SEARCH(" - ",TRIM('MSR RAW'!C935))),RIGHT(TRIM('MSR RAW'!C935),6)="Total:"),LEFT(TRIM('MSR RAW'!C935),SEARCH(" - ",TRIM('MSR RAW'!C935))-1),"")</f>
        <v/>
      </c>
      <c r="F935" t="str">
        <f>IF(E935="","",TRIM(MID(TRIM('MSR RAW'!C935),SEARCH(" - ",TRIM('MSR RAW'!C935))+3,LEN(TRIM('MSR RAW'!C935))-SEARCH(" - ",TRIM('MSR RAW'!C935))-9)))</f>
        <v/>
      </c>
      <c r="G935" t="str">
        <f>IF(E935="","",IFERROR(VLOOKUP(E935,'CATEGORY MAP'!$A$2:$B$20,2,FALSE()),"REVIEW"))</f>
        <v/>
      </c>
      <c r="H935" t="str">
        <f>IF(E935="","",IFERROR(VALUE(SUBSTITUTE('MSR RAW'!P935,",","")),0))</f>
        <v/>
      </c>
      <c r="I935" t="str">
        <f>IF(E935="","",IFERROR(VALUE(SUBSTITUTE('MSR RAW'!S935,",","")),0))</f>
        <v/>
      </c>
    </row>
    <row r="936" spans="1:9" ht="68.650000000000006" customHeight="1" x14ac:dyDescent="0.2">
      <c r="A936">
        <v>936</v>
      </c>
      <c r="B93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36" t="str">
        <f>IF(LEFT(TRIM('MSR RAW'!A936),11)="Department:",TRIM('MSR RAW'!A936),C935)</f>
        <v>Department: 36637 - SPECIALTY CONCESSIONS (VENDING)</v>
      </c>
      <c r="D936" t="str">
        <f>IF(LEFT(TRIM('MSR RAW'!B936),9)="Location:",TRIM(MID('MSR RAW'!B936,10,999)),D935)</f>
        <v>FB 155 - SUB ISLAND NOODLES</v>
      </c>
      <c r="E936" t="str">
        <f>IF(AND(ISNUMBER(SEARCH(" - ",TRIM('MSR RAW'!C936))),RIGHT(TRIM('MSR RAW'!C936),6)="Total:"),LEFT(TRIM('MSR RAW'!C936),SEARCH(" - ",TRIM('MSR RAW'!C936))-1),"")</f>
        <v/>
      </c>
      <c r="F936" t="str">
        <f>IF(E936="","",TRIM(MID(TRIM('MSR RAW'!C936),SEARCH(" - ",TRIM('MSR RAW'!C936))+3,LEN(TRIM('MSR RAW'!C936))-SEARCH(" - ",TRIM('MSR RAW'!C936))-9)))</f>
        <v/>
      </c>
      <c r="G936" t="str">
        <f>IF(E936="","",IFERROR(VLOOKUP(E936,'CATEGORY MAP'!$A$2:$B$20,2,FALSE()),"REVIEW"))</f>
        <v/>
      </c>
      <c r="H936" t="str">
        <f>IF(E936="","",IFERROR(VALUE(SUBSTITUTE('MSR RAW'!P936,",","")),0))</f>
        <v/>
      </c>
      <c r="I936" t="str">
        <f>IF(E936="","",IFERROR(VALUE(SUBSTITUTE('MSR RAW'!S936,",","")),0))</f>
        <v/>
      </c>
    </row>
    <row r="937" spans="1:9" ht="68.650000000000006" customHeight="1" x14ac:dyDescent="0.2">
      <c r="A937">
        <v>937</v>
      </c>
      <c r="B93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37" t="str">
        <f>IF(LEFT(TRIM('MSR RAW'!A937),11)="Department:",TRIM('MSR RAW'!A937),C936)</f>
        <v>Department: 36637 - SPECIALTY CONCESSIONS (VENDING)</v>
      </c>
      <c r="D937" t="str">
        <f>IF(LEFT(TRIM('MSR RAW'!B937),9)="Location:",TRIM(MID('MSR RAW'!B937,10,999)),D936)</f>
        <v>FB 155 - SUB ISLAND NOODLES</v>
      </c>
      <c r="E937" t="str">
        <f>IF(AND(ISNUMBER(SEARCH(" - ",TRIM('MSR RAW'!C937))),RIGHT(TRIM('MSR RAW'!C937),6)="Total:"),LEFT(TRIM('MSR RAW'!C937),SEARCH(" - ",TRIM('MSR RAW'!C937))-1),"")</f>
        <v/>
      </c>
      <c r="F937" t="str">
        <f>IF(E937="","",TRIM(MID(TRIM('MSR RAW'!C937),SEARCH(" - ",TRIM('MSR RAW'!C937))+3,LEN(TRIM('MSR RAW'!C937))-SEARCH(" - ",TRIM('MSR RAW'!C937))-9)))</f>
        <v/>
      </c>
      <c r="G937" t="str">
        <f>IF(E937="","",IFERROR(VLOOKUP(E937,'CATEGORY MAP'!$A$2:$B$20,2,FALSE()),"REVIEW"))</f>
        <v/>
      </c>
      <c r="H937" t="str">
        <f>IF(E937="","",IFERROR(VALUE(SUBSTITUTE('MSR RAW'!P937,",","")),0))</f>
        <v/>
      </c>
      <c r="I937" t="str">
        <f>IF(E937="","",IFERROR(VALUE(SUBSTITUTE('MSR RAW'!S937,",","")),0))</f>
        <v/>
      </c>
    </row>
    <row r="938" spans="1:9" ht="68.650000000000006" customHeight="1" x14ac:dyDescent="0.2">
      <c r="A938">
        <v>938</v>
      </c>
      <c r="B93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38" t="str">
        <f>IF(LEFT(TRIM('MSR RAW'!A938),11)="Department:",TRIM('MSR RAW'!A938),C937)</f>
        <v>Department: 36637 - SPECIALTY CONCESSIONS (VENDING)</v>
      </c>
      <c r="D938" t="str">
        <f>IF(LEFT(TRIM('MSR RAW'!B938),9)="Location:",TRIM(MID('MSR RAW'!B938,10,999)),D937)</f>
        <v>FB 155 - SUB ISLAND NOODLES</v>
      </c>
      <c r="E938" t="str">
        <f>IF(AND(ISNUMBER(SEARCH(" - ",TRIM('MSR RAW'!C938))),RIGHT(TRIM('MSR RAW'!C938),6)="Total:"),LEFT(TRIM('MSR RAW'!C938),SEARCH(" - ",TRIM('MSR RAW'!C938))-1),"")</f>
        <v/>
      </c>
      <c r="F938" t="str">
        <f>IF(E938="","",TRIM(MID(TRIM('MSR RAW'!C938),SEARCH(" - ",TRIM('MSR RAW'!C938))+3,LEN(TRIM('MSR RAW'!C938))-SEARCH(" - ",TRIM('MSR RAW'!C938))-9)))</f>
        <v/>
      </c>
      <c r="G938" t="str">
        <f>IF(E938="","",IFERROR(VLOOKUP(E938,'CATEGORY MAP'!$A$2:$B$20,2,FALSE()),"REVIEW"))</f>
        <v/>
      </c>
      <c r="H938" t="str">
        <f>IF(E938="","",IFERROR(VALUE(SUBSTITUTE('MSR RAW'!P938,",","")),0))</f>
        <v/>
      </c>
      <c r="I938" t="str">
        <f>IF(E938="","",IFERROR(VALUE(SUBSTITUTE('MSR RAW'!S938,",","")),0))</f>
        <v/>
      </c>
    </row>
    <row r="939" spans="1:9" ht="68.650000000000006" customHeight="1" x14ac:dyDescent="0.2">
      <c r="A939">
        <v>939</v>
      </c>
      <c r="B93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39" t="str">
        <f>IF(LEFT(TRIM('MSR RAW'!A939),11)="Department:",TRIM('MSR RAW'!A939),C938)</f>
        <v>Department: 36637 - SPECIALTY CONCESSIONS (VENDING)</v>
      </c>
      <c r="D939" t="str">
        <f>IF(LEFT(TRIM('MSR RAW'!B939),9)="Location:",TRIM(MID('MSR RAW'!B939,10,999)),D938)</f>
        <v>FB 155 - SUB ISLAND NOODLES</v>
      </c>
      <c r="E939" t="str">
        <f>IF(AND(ISNUMBER(SEARCH(" - ",TRIM('MSR RAW'!C939))),RIGHT(TRIM('MSR RAW'!C939),6)="Total:"),LEFT(TRIM('MSR RAW'!C939),SEARCH(" - ",TRIM('MSR RAW'!C939))-1),"")</f>
        <v/>
      </c>
      <c r="F939" t="str">
        <f>IF(E939="","",TRIM(MID(TRIM('MSR RAW'!C939),SEARCH(" - ",TRIM('MSR RAW'!C939))+3,LEN(TRIM('MSR RAW'!C939))-SEARCH(" - ",TRIM('MSR RAW'!C939))-9)))</f>
        <v/>
      </c>
      <c r="G939" t="str">
        <f>IF(E939="","",IFERROR(VLOOKUP(E939,'CATEGORY MAP'!$A$2:$B$20,2,FALSE()),"REVIEW"))</f>
        <v/>
      </c>
      <c r="H939" t="str">
        <f>IF(E939="","",IFERROR(VALUE(SUBSTITUTE('MSR RAW'!P939,",","")),0))</f>
        <v/>
      </c>
      <c r="I939" t="str">
        <f>IF(E939="","",IFERROR(VALUE(SUBSTITUTE('MSR RAW'!S939,",","")),0))</f>
        <v/>
      </c>
    </row>
    <row r="940" spans="1:9" ht="68.650000000000006" customHeight="1" x14ac:dyDescent="0.2">
      <c r="A940">
        <v>940</v>
      </c>
      <c r="B94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40" t="str">
        <f>IF(LEFT(TRIM('MSR RAW'!A940),11)="Department:",TRIM('MSR RAW'!A940),C939)</f>
        <v>Department: 36637 - SPECIALTY CONCESSIONS (VENDING)</v>
      </c>
      <c r="D940" t="str">
        <f>IF(LEFT(TRIM('MSR RAW'!B940),9)="Location:",TRIM(MID('MSR RAW'!B940,10,999)),D939)</f>
        <v>FB 155 - SUB ISLAND NOODLES</v>
      </c>
      <c r="E940" t="str">
        <f>IF(AND(ISNUMBER(SEARCH(" - ",TRIM('MSR RAW'!C940))),RIGHT(TRIM('MSR RAW'!C940),6)="Total:"),LEFT(TRIM('MSR RAW'!C940),SEARCH(" - ",TRIM('MSR RAW'!C940))-1),"")</f>
        <v/>
      </c>
      <c r="F940" t="str">
        <f>IF(E940="","",TRIM(MID(TRIM('MSR RAW'!C940),SEARCH(" - ",TRIM('MSR RAW'!C940))+3,LEN(TRIM('MSR RAW'!C940))-SEARCH(" - ",TRIM('MSR RAW'!C940))-9)))</f>
        <v/>
      </c>
      <c r="G940" t="str">
        <f>IF(E940="","",IFERROR(VLOOKUP(E940,'CATEGORY MAP'!$A$2:$B$20,2,FALSE()),"REVIEW"))</f>
        <v/>
      </c>
      <c r="H940" t="str">
        <f>IF(E940="","",IFERROR(VALUE(SUBSTITUTE('MSR RAW'!P940,",","")),0))</f>
        <v/>
      </c>
      <c r="I940" t="str">
        <f>IF(E940="","",IFERROR(VALUE(SUBSTITUTE('MSR RAW'!S940,",","")),0))</f>
        <v/>
      </c>
    </row>
    <row r="941" spans="1:9" ht="68.650000000000006" customHeight="1" x14ac:dyDescent="0.2">
      <c r="A941">
        <v>941</v>
      </c>
      <c r="B94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41" t="str">
        <f>IF(LEFT(TRIM('MSR RAW'!A941),11)="Department:",TRIM('MSR RAW'!A941),C940)</f>
        <v>Department: 36637 - SPECIALTY CONCESSIONS (VENDING)</v>
      </c>
      <c r="D941" t="str">
        <f>IF(LEFT(TRIM('MSR RAW'!B941),9)="Location:",TRIM(MID('MSR RAW'!B941,10,999)),D940)</f>
        <v>FB 155 - SUB ISLAND NOODLES</v>
      </c>
      <c r="E941" t="str">
        <f>IF(AND(ISNUMBER(SEARCH(" - ",TRIM('MSR RAW'!C941))),RIGHT(TRIM('MSR RAW'!C941),6)="Total:"),LEFT(TRIM('MSR RAW'!C941),SEARCH(" - ",TRIM('MSR RAW'!C941))-1),"")</f>
        <v/>
      </c>
      <c r="F941" t="str">
        <f>IF(E941="","",TRIM(MID(TRIM('MSR RAW'!C941),SEARCH(" - ",TRIM('MSR RAW'!C941))+3,LEN(TRIM('MSR RAW'!C941))-SEARCH(" - ",TRIM('MSR RAW'!C941))-9)))</f>
        <v/>
      </c>
      <c r="G941" t="str">
        <f>IF(E941="","",IFERROR(VLOOKUP(E941,'CATEGORY MAP'!$A$2:$B$20,2,FALSE()),"REVIEW"))</f>
        <v/>
      </c>
      <c r="H941" t="str">
        <f>IF(E941="","",IFERROR(VALUE(SUBSTITUTE('MSR RAW'!P941,",","")),0))</f>
        <v/>
      </c>
      <c r="I941" t="str">
        <f>IF(E941="","",IFERROR(VALUE(SUBSTITUTE('MSR RAW'!S941,",","")),0))</f>
        <v/>
      </c>
    </row>
    <row r="942" spans="1:9" ht="68.650000000000006" customHeight="1" x14ac:dyDescent="0.2">
      <c r="A942">
        <v>942</v>
      </c>
      <c r="B94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42" t="str">
        <f>IF(LEFT(TRIM('MSR RAW'!A942),11)="Department:",TRIM('MSR RAW'!A942),C941)</f>
        <v>Department: 36637 - SPECIALTY CONCESSIONS (VENDING)</v>
      </c>
      <c r="D942" t="str">
        <f>IF(LEFT(TRIM('MSR RAW'!B942),9)="Location:",TRIM(MID('MSR RAW'!B942,10,999)),D941)</f>
        <v>FB 155 - SUB ISLAND NOODLES</v>
      </c>
      <c r="E942" t="str">
        <f>IF(AND(ISNUMBER(SEARCH(" - ",TRIM('MSR RAW'!C942))),RIGHT(TRIM('MSR RAW'!C942),6)="Total:"),LEFT(TRIM('MSR RAW'!C942),SEARCH(" - ",TRIM('MSR RAW'!C942))-1),"")</f>
        <v/>
      </c>
      <c r="F942" t="str">
        <f>IF(E942="","",TRIM(MID(TRIM('MSR RAW'!C942),SEARCH(" - ",TRIM('MSR RAW'!C942))+3,LEN(TRIM('MSR RAW'!C942))-SEARCH(" - ",TRIM('MSR RAW'!C942))-9)))</f>
        <v/>
      </c>
      <c r="G942" t="str">
        <f>IF(E942="","",IFERROR(VLOOKUP(E942,'CATEGORY MAP'!$A$2:$B$20,2,FALSE()),"REVIEW"))</f>
        <v/>
      </c>
      <c r="H942" t="str">
        <f>IF(E942="","",IFERROR(VALUE(SUBSTITUTE('MSR RAW'!P942,",","")),0))</f>
        <v/>
      </c>
      <c r="I942" t="str">
        <f>IF(E942="","",IFERROR(VALUE(SUBSTITUTE('MSR RAW'!S942,",","")),0))</f>
        <v/>
      </c>
    </row>
    <row r="943" spans="1:9" ht="68.650000000000006" customHeight="1" x14ac:dyDescent="0.2">
      <c r="A943">
        <v>943</v>
      </c>
      <c r="B94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43" t="str">
        <f>IF(LEFT(TRIM('MSR RAW'!A943),11)="Department:",TRIM('MSR RAW'!A943),C942)</f>
        <v>Department: 36637 - SPECIALTY CONCESSIONS (VENDING)</v>
      </c>
      <c r="D943" t="str">
        <f>IF(LEFT(TRIM('MSR RAW'!B943),9)="Location:",TRIM(MID('MSR RAW'!B943,10,999)),D942)</f>
        <v>FB 155 - SUB ISLAND NOODLES</v>
      </c>
      <c r="E943" t="str">
        <f>IF(AND(ISNUMBER(SEARCH(" - ",TRIM('MSR RAW'!C943))),RIGHT(TRIM('MSR RAW'!C943),6)="Total:"),LEFT(TRIM('MSR RAW'!C943),SEARCH(" - ",TRIM('MSR RAW'!C943))-1),"")</f>
        <v/>
      </c>
      <c r="F943" t="str">
        <f>IF(E943="","",TRIM(MID(TRIM('MSR RAW'!C943),SEARCH(" - ",TRIM('MSR RAW'!C943))+3,LEN(TRIM('MSR RAW'!C943))-SEARCH(" - ",TRIM('MSR RAW'!C943))-9)))</f>
        <v/>
      </c>
      <c r="G943" t="str">
        <f>IF(E943="","",IFERROR(VLOOKUP(E943,'CATEGORY MAP'!$A$2:$B$20,2,FALSE()),"REVIEW"))</f>
        <v/>
      </c>
      <c r="H943" t="str">
        <f>IF(E943="","",IFERROR(VALUE(SUBSTITUTE('MSR RAW'!P943,",","")),0))</f>
        <v/>
      </c>
      <c r="I943" t="str">
        <f>IF(E943="","",IFERROR(VALUE(SUBSTITUTE('MSR RAW'!S943,",","")),0))</f>
        <v/>
      </c>
    </row>
    <row r="944" spans="1:9" ht="68.650000000000006" customHeight="1" x14ac:dyDescent="0.2">
      <c r="A944">
        <v>944</v>
      </c>
      <c r="B94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44" t="str">
        <f>IF(LEFT(TRIM('MSR RAW'!A944),11)="Department:",TRIM('MSR RAW'!A944),C943)</f>
        <v>Department: 36637 - SPECIALTY CONCESSIONS (VENDING)</v>
      </c>
      <c r="D944" t="str">
        <f>IF(LEFT(TRIM('MSR RAW'!B944),9)="Location:",TRIM(MID('MSR RAW'!B944,10,999)),D943)</f>
        <v>FB 155 - SUB ISLAND NOODLES</v>
      </c>
      <c r="E944" t="str">
        <f>IF(AND(ISNUMBER(SEARCH(" - ",TRIM('MSR RAW'!C944))),RIGHT(TRIM('MSR RAW'!C944),6)="Total:"),LEFT(TRIM('MSR RAW'!C944),SEARCH(" - ",TRIM('MSR RAW'!C944))-1),"")</f>
        <v/>
      </c>
      <c r="F944" t="str">
        <f>IF(E944="","",TRIM(MID(TRIM('MSR RAW'!C944),SEARCH(" - ",TRIM('MSR RAW'!C944))+3,LEN(TRIM('MSR RAW'!C944))-SEARCH(" - ",TRIM('MSR RAW'!C944))-9)))</f>
        <v/>
      </c>
      <c r="G944" t="str">
        <f>IF(E944="","",IFERROR(VLOOKUP(E944,'CATEGORY MAP'!$A$2:$B$20,2,FALSE()),"REVIEW"))</f>
        <v/>
      </c>
      <c r="H944" t="str">
        <f>IF(E944="","",IFERROR(VALUE(SUBSTITUTE('MSR RAW'!P944,",","")),0))</f>
        <v/>
      </c>
      <c r="I944" t="str">
        <f>IF(E944="","",IFERROR(VALUE(SUBSTITUTE('MSR RAW'!S944,",","")),0))</f>
        <v/>
      </c>
    </row>
    <row r="945" spans="1:9" ht="68.650000000000006" customHeight="1" x14ac:dyDescent="0.2">
      <c r="A945">
        <v>945</v>
      </c>
      <c r="B94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45" t="str">
        <f>IF(LEFT(TRIM('MSR RAW'!A945),11)="Department:",TRIM('MSR RAW'!A945),C944)</f>
        <v>Department: 36637 - SPECIALTY CONCESSIONS (VENDING)</v>
      </c>
      <c r="D945" t="str">
        <f>IF(LEFT(TRIM('MSR RAW'!B945),9)="Location:",TRIM(MID('MSR RAW'!B945,10,999)),D944)</f>
        <v>FB 155 - SUB ISLAND NOODLES</v>
      </c>
      <c r="E945" t="str">
        <f>IF(AND(ISNUMBER(SEARCH(" - ",TRIM('MSR RAW'!C945))),RIGHT(TRIM('MSR RAW'!C945),6)="Total:"),LEFT(TRIM('MSR RAW'!C945),SEARCH(" - ",TRIM('MSR RAW'!C945))-1),"")</f>
        <v/>
      </c>
      <c r="F945" t="str">
        <f>IF(E945="","",TRIM(MID(TRIM('MSR RAW'!C945),SEARCH(" - ",TRIM('MSR RAW'!C945))+3,LEN(TRIM('MSR RAW'!C945))-SEARCH(" - ",TRIM('MSR RAW'!C945))-9)))</f>
        <v/>
      </c>
      <c r="G945" t="str">
        <f>IF(E945="","",IFERROR(VLOOKUP(E945,'CATEGORY MAP'!$A$2:$B$20,2,FALSE()),"REVIEW"))</f>
        <v/>
      </c>
      <c r="H945" t="str">
        <f>IF(E945="","",IFERROR(VALUE(SUBSTITUTE('MSR RAW'!P945,",","")),0))</f>
        <v/>
      </c>
      <c r="I945" t="str">
        <f>IF(E945="","",IFERROR(VALUE(SUBSTITUTE('MSR RAW'!S945,",","")),0))</f>
        <v/>
      </c>
    </row>
    <row r="946" spans="1:9" ht="68.650000000000006" customHeight="1" x14ac:dyDescent="0.2">
      <c r="A946">
        <v>946</v>
      </c>
      <c r="B94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46" t="str">
        <f>IF(LEFT(TRIM('MSR RAW'!A946),11)="Department:",TRIM('MSR RAW'!A946),C945)</f>
        <v>Department: 36637 - SPECIALTY CONCESSIONS (VENDING)</v>
      </c>
      <c r="D946" t="str">
        <f>IF(LEFT(TRIM('MSR RAW'!B946),9)="Location:",TRIM(MID('MSR RAW'!B946,10,999)),D945)</f>
        <v>FB 155 - SUB ISLAND NOODLES</v>
      </c>
      <c r="E946" t="str">
        <f>IF(AND(ISNUMBER(SEARCH(" - ",TRIM('MSR RAW'!C946))),RIGHT(TRIM('MSR RAW'!C946),6)="Total:"),LEFT(TRIM('MSR RAW'!C946),SEARCH(" - ",TRIM('MSR RAW'!C946))-1),"")</f>
        <v/>
      </c>
      <c r="F946" t="str">
        <f>IF(E946="","",TRIM(MID(TRIM('MSR RAW'!C946),SEARCH(" - ",TRIM('MSR RAW'!C946))+3,LEN(TRIM('MSR RAW'!C946))-SEARCH(" - ",TRIM('MSR RAW'!C946))-9)))</f>
        <v/>
      </c>
      <c r="G946" t="str">
        <f>IF(E946="","",IFERROR(VLOOKUP(E946,'CATEGORY MAP'!$A$2:$B$20,2,FALSE()),"REVIEW"))</f>
        <v/>
      </c>
      <c r="H946" t="str">
        <f>IF(E946="","",IFERROR(VALUE(SUBSTITUTE('MSR RAW'!P946,",","")),0))</f>
        <v/>
      </c>
      <c r="I946" t="str">
        <f>IF(E946="","",IFERROR(VALUE(SUBSTITUTE('MSR RAW'!S946,",","")),0))</f>
        <v/>
      </c>
    </row>
    <row r="947" spans="1:9" ht="68.650000000000006" customHeight="1" x14ac:dyDescent="0.2">
      <c r="A947">
        <v>947</v>
      </c>
      <c r="B94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47" t="str">
        <f>IF(LEFT(TRIM('MSR RAW'!A947),11)="Department:",TRIM('MSR RAW'!A947),C946)</f>
        <v>Department: 36637 - SPECIALTY CONCESSIONS (VENDING)</v>
      </c>
      <c r="D947" t="str">
        <f>IF(LEFT(TRIM('MSR RAW'!B947),9)="Location:",TRIM(MID('MSR RAW'!B947,10,999)),D946)</f>
        <v>FB 155 - SUB ISLAND NOODLES</v>
      </c>
      <c r="E947" t="str">
        <f>IF(AND(ISNUMBER(SEARCH(" - ",TRIM('MSR RAW'!C947))),RIGHT(TRIM('MSR RAW'!C947),6)="Total:"),LEFT(TRIM('MSR RAW'!C947),SEARCH(" - ",TRIM('MSR RAW'!C947))-1),"")</f>
        <v/>
      </c>
      <c r="F947" t="str">
        <f>IF(E947="","",TRIM(MID(TRIM('MSR RAW'!C947),SEARCH(" - ",TRIM('MSR RAW'!C947))+3,LEN(TRIM('MSR RAW'!C947))-SEARCH(" - ",TRIM('MSR RAW'!C947))-9)))</f>
        <v/>
      </c>
      <c r="G947" t="str">
        <f>IF(E947="","",IFERROR(VLOOKUP(E947,'CATEGORY MAP'!$A$2:$B$20,2,FALSE()),"REVIEW"))</f>
        <v/>
      </c>
      <c r="H947" t="str">
        <f>IF(E947="","",IFERROR(VALUE(SUBSTITUTE('MSR RAW'!P947,",","")),0))</f>
        <v/>
      </c>
      <c r="I947" t="str">
        <f>IF(E947="","",IFERROR(VALUE(SUBSTITUTE('MSR RAW'!S947,",","")),0))</f>
        <v/>
      </c>
    </row>
    <row r="948" spans="1:9" ht="68.650000000000006" customHeight="1" x14ac:dyDescent="0.2">
      <c r="A948">
        <v>948</v>
      </c>
      <c r="B94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48" t="str">
        <f>IF(LEFT(TRIM('MSR RAW'!A948),11)="Department:",TRIM('MSR RAW'!A948),C947)</f>
        <v>Department: 36637 - SPECIALTY CONCESSIONS (VENDING)</v>
      </c>
      <c r="D948" t="str">
        <f>IF(LEFT(TRIM('MSR RAW'!B948),9)="Location:",TRIM(MID('MSR RAW'!B948,10,999)),D947)</f>
        <v>FB 155 - SUB ISLAND NOODLES</v>
      </c>
      <c r="E948" t="str">
        <f>IF(AND(ISNUMBER(SEARCH(" - ",TRIM('MSR RAW'!C948))),RIGHT(TRIM('MSR RAW'!C948),6)="Total:"),LEFT(TRIM('MSR RAW'!C948),SEARCH(" - ",TRIM('MSR RAW'!C948))-1),"")</f>
        <v/>
      </c>
      <c r="F948" t="str">
        <f>IF(E948="","",TRIM(MID(TRIM('MSR RAW'!C948),SEARCH(" - ",TRIM('MSR RAW'!C948))+3,LEN(TRIM('MSR RAW'!C948))-SEARCH(" - ",TRIM('MSR RAW'!C948))-9)))</f>
        <v/>
      </c>
      <c r="G948" t="str">
        <f>IF(E948="","",IFERROR(VLOOKUP(E948,'CATEGORY MAP'!$A$2:$B$20,2,FALSE()),"REVIEW"))</f>
        <v/>
      </c>
      <c r="H948" t="str">
        <f>IF(E948="","",IFERROR(VALUE(SUBSTITUTE('MSR RAW'!P948,",","")),0))</f>
        <v/>
      </c>
      <c r="I948" t="str">
        <f>IF(E948="","",IFERROR(VALUE(SUBSTITUTE('MSR RAW'!S948,",","")),0))</f>
        <v/>
      </c>
    </row>
    <row r="949" spans="1:9" ht="68.650000000000006" customHeight="1" x14ac:dyDescent="0.2">
      <c r="A949">
        <v>949</v>
      </c>
      <c r="B94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49" t="str">
        <f>IF(LEFT(TRIM('MSR RAW'!A949),11)="Department:",TRIM('MSR RAW'!A949),C948)</f>
        <v>Department: 36637 - SPECIALTY CONCESSIONS (VENDING)</v>
      </c>
      <c r="D949" t="str">
        <f>IF(LEFT(TRIM('MSR RAW'!B949),9)="Location:",TRIM(MID('MSR RAW'!B949,10,999)),D948)</f>
        <v>FB 155 - SUB ISLAND NOODLES</v>
      </c>
      <c r="E949" t="str">
        <f>IF(AND(ISNUMBER(SEARCH(" - ",TRIM('MSR RAW'!C949))),RIGHT(TRIM('MSR RAW'!C949),6)="Total:"),LEFT(TRIM('MSR RAW'!C949),SEARCH(" - ",TRIM('MSR RAW'!C949))-1),"")</f>
        <v/>
      </c>
      <c r="F949" t="str">
        <f>IF(E949="","",TRIM(MID(TRIM('MSR RAW'!C949),SEARCH(" - ",TRIM('MSR RAW'!C949))+3,LEN(TRIM('MSR RAW'!C949))-SEARCH(" - ",TRIM('MSR RAW'!C949))-9)))</f>
        <v/>
      </c>
      <c r="G949" t="str">
        <f>IF(E949="","",IFERROR(VLOOKUP(E949,'CATEGORY MAP'!$A$2:$B$20,2,FALSE()),"REVIEW"))</f>
        <v/>
      </c>
      <c r="H949" t="str">
        <f>IF(E949="","",IFERROR(VALUE(SUBSTITUTE('MSR RAW'!P949,",","")),0))</f>
        <v/>
      </c>
      <c r="I949" t="str">
        <f>IF(E949="","",IFERROR(VALUE(SUBSTITUTE('MSR RAW'!S949,",","")),0))</f>
        <v/>
      </c>
    </row>
    <row r="950" spans="1:9" ht="68.650000000000006" customHeight="1" x14ac:dyDescent="0.2">
      <c r="A950">
        <v>950</v>
      </c>
      <c r="B95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50" t="str">
        <f>IF(LEFT(TRIM('MSR RAW'!A950),11)="Department:",TRIM('MSR RAW'!A950),C949)</f>
        <v>Department: 36637 - SPECIALTY CONCESSIONS (VENDING)</v>
      </c>
      <c r="D950" t="str">
        <f>IF(LEFT(TRIM('MSR RAW'!B950),9)="Location:",TRIM(MID('MSR RAW'!B950,10,999)),D949)</f>
        <v>FB 155 - SUB ISLAND NOODLES</v>
      </c>
      <c r="E950" t="str">
        <f>IF(AND(ISNUMBER(SEARCH(" - ",TRIM('MSR RAW'!C950))),RIGHT(TRIM('MSR RAW'!C950),6)="Total:"),LEFT(TRIM('MSR RAW'!C950),SEARCH(" - ",TRIM('MSR RAW'!C950))-1),"")</f>
        <v/>
      </c>
      <c r="F950" t="str">
        <f>IF(E950="","",TRIM(MID(TRIM('MSR RAW'!C950),SEARCH(" - ",TRIM('MSR RAW'!C950))+3,LEN(TRIM('MSR RAW'!C950))-SEARCH(" - ",TRIM('MSR RAW'!C950))-9)))</f>
        <v/>
      </c>
      <c r="G950" t="str">
        <f>IF(E950="","",IFERROR(VLOOKUP(E950,'CATEGORY MAP'!$A$2:$B$20,2,FALSE()),"REVIEW"))</f>
        <v/>
      </c>
      <c r="H950" t="str">
        <f>IF(E950="","",IFERROR(VALUE(SUBSTITUTE('MSR RAW'!P950,",","")),0))</f>
        <v/>
      </c>
      <c r="I950" t="str">
        <f>IF(E950="","",IFERROR(VALUE(SUBSTITUTE('MSR RAW'!S950,",","")),0))</f>
        <v/>
      </c>
    </row>
    <row r="951" spans="1:9" ht="68.650000000000006" customHeight="1" x14ac:dyDescent="0.2">
      <c r="A951">
        <v>951</v>
      </c>
      <c r="B95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51" t="str">
        <f>IF(LEFT(TRIM('MSR RAW'!A951),11)="Department:",TRIM('MSR RAW'!A951),C950)</f>
        <v>Department: 36637 - SPECIALTY CONCESSIONS (VENDING)</v>
      </c>
      <c r="D951" t="str">
        <f>IF(LEFT(TRIM('MSR RAW'!B951),9)="Location:",TRIM(MID('MSR RAW'!B951,10,999)),D950)</f>
        <v>FB 155 - SUB ISLAND NOODLES</v>
      </c>
      <c r="E951" t="str">
        <f>IF(AND(ISNUMBER(SEARCH(" - ",TRIM('MSR RAW'!C951))),RIGHT(TRIM('MSR RAW'!C951),6)="Total:"),LEFT(TRIM('MSR RAW'!C951),SEARCH(" - ",TRIM('MSR RAW'!C951))-1),"")</f>
        <v/>
      </c>
      <c r="F951" t="str">
        <f>IF(E951="","",TRIM(MID(TRIM('MSR RAW'!C951),SEARCH(" - ",TRIM('MSR RAW'!C951))+3,LEN(TRIM('MSR RAW'!C951))-SEARCH(" - ",TRIM('MSR RAW'!C951))-9)))</f>
        <v/>
      </c>
      <c r="G951" t="str">
        <f>IF(E951="","",IFERROR(VLOOKUP(E951,'CATEGORY MAP'!$A$2:$B$20,2,FALSE()),"REVIEW"))</f>
        <v/>
      </c>
      <c r="H951" t="str">
        <f>IF(E951="","",IFERROR(VALUE(SUBSTITUTE('MSR RAW'!P951,",","")),0))</f>
        <v/>
      </c>
      <c r="I951" t="str">
        <f>IF(E951="","",IFERROR(VALUE(SUBSTITUTE('MSR RAW'!S951,",","")),0))</f>
        <v/>
      </c>
    </row>
    <row r="952" spans="1:9" ht="68.650000000000006" customHeight="1" x14ac:dyDescent="0.2">
      <c r="A952">
        <v>952</v>
      </c>
      <c r="B95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52" t="str">
        <f>IF(LEFT(TRIM('MSR RAW'!A952),11)="Department:",TRIM('MSR RAW'!A952),C951)</f>
        <v>Department: 36637 - SPECIALTY CONCESSIONS (VENDING)</v>
      </c>
      <c r="D952" t="str">
        <f>IF(LEFT(TRIM('MSR RAW'!B952),9)="Location:",TRIM(MID('MSR RAW'!B952,10,999)),D951)</f>
        <v>FB 155 - SUB ISLAND NOODLES</v>
      </c>
      <c r="E952" t="str">
        <f>IF(AND(ISNUMBER(SEARCH(" - ",TRIM('MSR RAW'!C952))),RIGHT(TRIM('MSR RAW'!C952),6)="Total:"),LEFT(TRIM('MSR RAW'!C952),SEARCH(" - ",TRIM('MSR RAW'!C952))-1),"")</f>
        <v/>
      </c>
      <c r="F952" t="str">
        <f>IF(E952="","",TRIM(MID(TRIM('MSR RAW'!C952),SEARCH(" - ",TRIM('MSR RAW'!C952))+3,LEN(TRIM('MSR RAW'!C952))-SEARCH(" - ",TRIM('MSR RAW'!C952))-9)))</f>
        <v/>
      </c>
      <c r="G952" t="str">
        <f>IF(E952="","",IFERROR(VLOOKUP(E952,'CATEGORY MAP'!$A$2:$B$20,2,FALSE()),"REVIEW"))</f>
        <v/>
      </c>
      <c r="H952" t="str">
        <f>IF(E952="","",IFERROR(VALUE(SUBSTITUTE('MSR RAW'!P952,",","")),0))</f>
        <v/>
      </c>
      <c r="I952" t="str">
        <f>IF(E952="","",IFERROR(VALUE(SUBSTITUTE('MSR RAW'!S952,",","")),0))</f>
        <v/>
      </c>
    </row>
    <row r="953" spans="1:9" ht="68.650000000000006" customHeight="1" x14ac:dyDescent="0.2">
      <c r="A953">
        <v>953</v>
      </c>
      <c r="B95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53" t="str">
        <f>IF(LEFT(TRIM('MSR RAW'!A953),11)="Department:",TRIM('MSR RAW'!A953),C952)</f>
        <v>Department: 36637 - SPECIALTY CONCESSIONS (VENDING)</v>
      </c>
      <c r="D953" t="str">
        <f>IF(LEFT(TRIM('MSR RAW'!B953),9)="Location:",TRIM(MID('MSR RAW'!B953,10,999)),D952)</f>
        <v>FB 155 - SUB ISLAND NOODLES</v>
      </c>
      <c r="E953" t="str">
        <f>IF(AND(ISNUMBER(SEARCH(" - ",TRIM('MSR RAW'!C953))),RIGHT(TRIM('MSR RAW'!C953),6)="Total:"),LEFT(TRIM('MSR RAW'!C953),SEARCH(" - ",TRIM('MSR RAW'!C953))-1),"")</f>
        <v/>
      </c>
      <c r="F953" t="str">
        <f>IF(E953="","",TRIM(MID(TRIM('MSR RAW'!C953),SEARCH(" - ",TRIM('MSR RAW'!C953))+3,LEN(TRIM('MSR RAW'!C953))-SEARCH(" - ",TRIM('MSR RAW'!C953))-9)))</f>
        <v/>
      </c>
      <c r="G953" t="str">
        <f>IF(E953="","",IFERROR(VLOOKUP(E953,'CATEGORY MAP'!$A$2:$B$20,2,FALSE()),"REVIEW"))</f>
        <v/>
      </c>
      <c r="H953" t="str">
        <f>IF(E953="","",IFERROR(VALUE(SUBSTITUTE('MSR RAW'!P953,",","")),0))</f>
        <v/>
      </c>
      <c r="I953" t="str">
        <f>IF(E953="","",IFERROR(VALUE(SUBSTITUTE('MSR RAW'!S953,",","")),0))</f>
        <v/>
      </c>
    </row>
    <row r="954" spans="1:9" ht="68.650000000000006" customHeight="1" x14ac:dyDescent="0.2">
      <c r="A954">
        <v>954</v>
      </c>
      <c r="B95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54" t="str">
        <f>IF(LEFT(TRIM('MSR RAW'!A954),11)="Department:",TRIM('MSR RAW'!A954),C953)</f>
        <v>Department: 36637 - SPECIALTY CONCESSIONS (VENDING)</v>
      </c>
      <c r="D954" t="str">
        <f>IF(LEFT(TRIM('MSR RAW'!B954),9)="Location:",TRIM(MID('MSR RAW'!B954,10,999)),D953)</f>
        <v>FB 155 - SUB ISLAND NOODLES</v>
      </c>
      <c r="E954" t="str">
        <f>IF(AND(ISNUMBER(SEARCH(" - ",TRIM('MSR RAW'!C954))),RIGHT(TRIM('MSR RAW'!C954),6)="Total:"),LEFT(TRIM('MSR RAW'!C954),SEARCH(" - ",TRIM('MSR RAW'!C954))-1),"")</f>
        <v/>
      </c>
      <c r="F954" t="str">
        <f>IF(E954="","",TRIM(MID(TRIM('MSR RAW'!C954),SEARCH(" - ",TRIM('MSR RAW'!C954))+3,LEN(TRIM('MSR RAW'!C954))-SEARCH(" - ",TRIM('MSR RAW'!C954))-9)))</f>
        <v/>
      </c>
      <c r="G954" t="str">
        <f>IF(E954="","",IFERROR(VLOOKUP(E954,'CATEGORY MAP'!$A$2:$B$20,2,FALSE()),"REVIEW"))</f>
        <v/>
      </c>
      <c r="H954" t="str">
        <f>IF(E954="","",IFERROR(VALUE(SUBSTITUTE('MSR RAW'!P954,",","")),0))</f>
        <v/>
      </c>
      <c r="I954" t="str">
        <f>IF(E954="","",IFERROR(VALUE(SUBSTITUTE('MSR RAW'!S954,",","")),0))</f>
        <v/>
      </c>
    </row>
    <row r="955" spans="1:9" ht="68.650000000000006" customHeight="1" x14ac:dyDescent="0.2">
      <c r="A955">
        <v>955</v>
      </c>
      <c r="B95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55" t="str">
        <f>IF(LEFT(TRIM('MSR RAW'!A955),11)="Department:",TRIM('MSR RAW'!A955),C954)</f>
        <v>Department: 36637 - SPECIALTY CONCESSIONS (VENDING)</v>
      </c>
      <c r="D955" t="str">
        <f>IF(LEFT(TRIM('MSR RAW'!B955),9)="Location:",TRIM(MID('MSR RAW'!B955,10,999)),D954)</f>
        <v>FB 155 - SUB ISLAND NOODLES</v>
      </c>
      <c r="E955" t="str">
        <f>IF(AND(ISNUMBER(SEARCH(" - ",TRIM('MSR RAW'!C955))),RIGHT(TRIM('MSR RAW'!C955),6)="Total:"),LEFT(TRIM('MSR RAW'!C955),SEARCH(" - ",TRIM('MSR RAW'!C955))-1),"")</f>
        <v/>
      </c>
      <c r="F955" t="str">
        <f>IF(E955="","",TRIM(MID(TRIM('MSR RAW'!C955),SEARCH(" - ",TRIM('MSR RAW'!C955))+3,LEN(TRIM('MSR RAW'!C955))-SEARCH(" - ",TRIM('MSR RAW'!C955))-9)))</f>
        <v/>
      </c>
      <c r="G955" t="str">
        <f>IF(E955="","",IFERROR(VLOOKUP(E955,'CATEGORY MAP'!$A$2:$B$20,2,FALSE()),"REVIEW"))</f>
        <v/>
      </c>
      <c r="H955" t="str">
        <f>IF(E955="","",IFERROR(VALUE(SUBSTITUTE('MSR RAW'!P955,",","")),0))</f>
        <v/>
      </c>
      <c r="I955" t="str">
        <f>IF(E955="","",IFERROR(VALUE(SUBSTITUTE('MSR RAW'!S955,",","")),0))</f>
        <v/>
      </c>
    </row>
    <row r="956" spans="1:9" ht="68.650000000000006" customHeight="1" x14ac:dyDescent="0.2">
      <c r="A956">
        <v>956</v>
      </c>
      <c r="B95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56" t="str">
        <f>IF(LEFT(TRIM('MSR RAW'!A956),11)="Department:",TRIM('MSR RAW'!A956),C955)</f>
        <v>Department: 36637 - SPECIALTY CONCESSIONS (VENDING)</v>
      </c>
      <c r="D956" t="str">
        <f>IF(LEFT(TRIM('MSR RAW'!B956),9)="Location:",TRIM(MID('MSR RAW'!B956,10,999)),D955)</f>
        <v>FB 155 - SUB ISLAND NOODLES</v>
      </c>
      <c r="E956" t="str">
        <f>IF(AND(ISNUMBER(SEARCH(" - ",TRIM('MSR RAW'!C956))),RIGHT(TRIM('MSR RAW'!C956),6)="Total:"),LEFT(TRIM('MSR RAW'!C956),SEARCH(" - ",TRIM('MSR RAW'!C956))-1),"")</f>
        <v/>
      </c>
      <c r="F956" t="str">
        <f>IF(E956="","",TRIM(MID(TRIM('MSR RAW'!C956),SEARCH(" - ",TRIM('MSR RAW'!C956))+3,LEN(TRIM('MSR RAW'!C956))-SEARCH(" - ",TRIM('MSR RAW'!C956))-9)))</f>
        <v/>
      </c>
      <c r="G956" t="str">
        <f>IF(E956="","",IFERROR(VLOOKUP(E956,'CATEGORY MAP'!$A$2:$B$20,2,FALSE()),"REVIEW"))</f>
        <v/>
      </c>
      <c r="H956" t="str">
        <f>IF(E956="","",IFERROR(VALUE(SUBSTITUTE('MSR RAW'!P956,",","")),0))</f>
        <v/>
      </c>
      <c r="I956" t="str">
        <f>IF(E956="","",IFERROR(VALUE(SUBSTITUTE('MSR RAW'!S956,",","")),0))</f>
        <v/>
      </c>
    </row>
    <row r="957" spans="1:9" ht="68.650000000000006" customHeight="1" x14ac:dyDescent="0.2">
      <c r="A957">
        <v>957</v>
      </c>
      <c r="B95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57" t="str">
        <f>IF(LEFT(TRIM('MSR RAW'!A957),11)="Department:",TRIM('MSR RAW'!A957),C956)</f>
        <v>Department: 36637 - SPECIALTY CONCESSIONS (VENDING)</v>
      </c>
      <c r="D957" t="str">
        <f>IF(LEFT(TRIM('MSR RAW'!B957),9)="Location:",TRIM(MID('MSR RAW'!B957,10,999)),D956)</f>
        <v>FB 155 - SUB ISLAND NOODLES</v>
      </c>
      <c r="E957" t="str">
        <f>IF(AND(ISNUMBER(SEARCH(" - ",TRIM('MSR RAW'!C957))),RIGHT(TRIM('MSR RAW'!C957),6)="Total:"),LEFT(TRIM('MSR RAW'!C957),SEARCH(" - ",TRIM('MSR RAW'!C957))-1),"")</f>
        <v/>
      </c>
      <c r="F957" t="str">
        <f>IF(E957="","",TRIM(MID(TRIM('MSR RAW'!C957),SEARCH(" - ",TRIM('MSR RAW'!C957))+3,LEN(TRIM('MSR RAW'!C957))-SEARCH(" - ",TRIM('MSR RAW'!C957))-9)))</f>
        <v/>
      </c>
      <c r="G957" t="str">
        <f>IF(E957="","",IFERROR(VLOOKUP(E957,'CATEGORY MAP'!$A$2:$B$20,2,FALSE()),"REVIEW"))</f>
        <v/>
      </c>
      <c r="H957" t="str">
        <f>IF(E957="","",IFERROR(VALUE(SUBSTITUTE('MSR RAW'!P957,",","")),0))</f>
        <v/>
      </c>
      <c r="I957" t="str">
        <f>IF(E957="","",IFERROR(VALUE(SUBSTITUTE('MSR RAW'!S957,",","")),0))</f>
        <v/>
      </c>
    </row>
    <row r="958" spans="1:9" ht="68.650000000000006" customHeight="1" x14ac:dyDescent="0.2">
      <c r="A958">
        <v>958</v>
      </c>
      <c r="B95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58" t="str">
        <f>IF(LEFT(TRIM('MSR RAW'!A958),11)="Department:",TRIM('MSR RAW'!A958),C957)</f>
        <v>Department: 36637 - SPECIALTY CONCESSIONS (VENDING)</v>
      </c>
      <c r="D958" t="str">
        <f>IF(LEFT(TRIM('MSR RAW'!B958),9)="Location:",TRIM(MID('MSR RAW'!B958,10,999)),D957)</f>
        <v>FB 155 - SUB ISLAND NOODLES</v>
      </c>
      <c r="E958" t="str">
        <f>IF(AND(ISNUMBER(SEARCH(" - ",TRIM('MSR RAW'!C958))),RIGHT(TRIM('MSR RAW'!C958),6)="Total:"),LEFT(TRIM('MSR RAW'!C958),SEARCH(" - ",TRIM('MSR RAW'!C958))-1),"")</f>
        <v/>
      </c>
      <c r="F958" t="str">
        <f>IF(E958="","",TRIM(MID(TRIM('MSR RAW'!C958),SEARCH(" - ",TRIM('MSR RAW'!C958))+3,LEN(TRIM('MSR RAW'!C958))-SEARCH(" - ",TRIM('MSR RAW'!C958))-9)))</f>
        <v/>
      </c>
      <c r="G958" t="str">
        <f>IF(E958="","",IFERROR(VLOOKUP(E958,'CATEGORY MAP'!$A$2:$B$20,2,FALSE()),"REVIEW"))</f>
        <v/>
      </c>
      <c r="H958" t="str">
        <f>IF(E958="","",IFERROR(VALUE(SUBSTITUTE('MSR RAW'!P958,",","")),0))</f>
        <v/>
      </c>
      <c r="I958" t="str">
        <f>IF(E958="","",IFERROR(VALUE(SUBSTITUTE('MSR RAW'!S958,",","")),0))</f>
        <v/>
      </c>
    </row>
    <row r="959" spans="1:9" ht="68.650000000000006" customHeight="1" x14ac:dyDescent="0.2">
      <c r="A959">
        <v>959</v>
      </c>
      <c r="B95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59" t="str">
        <f>IF(LEFT(TRIM('MSR RAW'!A959),11)="Department:",TRIM('MSR RAW'!A959),C958)</f>
        <v>Department: 36637 - SPECIALTY CONCESSIONS (VENDING)</v>
      </c>
      <c r="D959" t="str">
        <f>IF(LEFT(TRIM('MSR RAW'!B959),9)="Location:",TRIM(MID('MSR RAW'!B959,10,999)),D958)</f>
        <v>FB 155 - SUB ISLAND NOODLES</v>
      </c>
      <c r="E959" t="str">
        <f>IF(AND(ISNUMBER(SEARCH(" - ",TRIM('MSR RAW'!C959))),RIGHT(TRIM('MSR RAW'!C959),6)="Total:"),LEFT(TRIM('MSR RAW'!C959),SEARCH(" - ",TRIM('MSR RAW'!C959))-1),"")</f>
        <v/>
      </c>
      <c r="F959" t="str">
        <f>IF(E959="","",TRIM(MID(TRIM('MSR RAW'!C959),SEARCH(" - ",TRIM('MSR RAW'!C959))+3,LEN(TRIM('MSR RAW'!C959))-SEARCH(" - ",TRIM('MSR RAW'!C959))-9)))</f>
        <v/>
      </c>
      <c r="G959" t="str">
        <f>IF(E959="","",IFERROR(VLOOKUP(E959,'CATEGORY MAP'!$A$2:$B$20,2,FALSE()),"REVIEW"))</f>
        <v/>
      </c>
      <c r="H959" t="str">
        <f>IF(E959="","",IFERROR(VALUE(SUBSTITUTE('MSR RAW'!P959,",","")),0))</f>
        <v/>
      </c>
      <c r="I959" t="str">
        <f>IF(E959="","",IFERROR(VALUE(SUBSTITUTE('MSR RAW'!S959,",","")),0))</f>
        <v/>
      </c>
    </row>
    <row r="960" spans="1:9" ht="68.650000000000006" customHeight="1" x14ac:dyDescent="0.2">
      <c r="A960">
        <v>960</v>
      </c>
      <c r="B96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60" t="str">
        <f>IF(LEFT(TRIM('MSR RAW'!A960),11)="Department:",TRIM('MSR RAW'!A960),C959)</f>
        <v>Department: 36637 - SPECIALTY CONCESSIONS (VENDING)</v>
      </c>
      <c r="D960" t="str">
        <f>IF(LEFT(TRIM('MSR RAW'!B960),9)="Location:",TRIM(MID('MSR RAW'!B960,10,999)),D959)</f>
        <v>FB 155 - SUB ISLAND NOODLES</v>
      </c>
      <c r="E960" t="str">
        <f>IF(AND(ISNUMBER(SEARCH(" - ",TRIM('MSR RAW'!C960))),RIGHT(TRIM('MSR RAW'!C960),6)="Total:"),LEFT(TRIM('MSR RAW'!C960),SEARCH(" - ",TRIM('MSR RAW'!C960))-1),"")</f>
        <v/>
      </c>
      <c r="F960" t="str">
        <f>IF(E960="","",TRIM(MID(TRIM('MSR RAW'!C960),SEARCH(" - ",TRIM('MSR RAW'!C960))+3,LEN(TRIM('MSR RAW'!C960))-SEARCH(" - ",TRIM('MSR RAW'!C960))-9)))</f>
        <v/>
      </c>
      <c r="G960" t="str">
        <f>IF(E960="","",IFERROR(VLOOKUP(E960,'CATEGORY MAP'!$A$2:$B$20,2,FALSE()),"REVIEW"))</f>
        <v/>
      </c>
      <c r="H960" t="str">
        <f>IF(E960="","",IFERROR(VALUE(SUBSTITUTE('MSR RAW'!P960,",","")),0))</f>
        <v/>
      </c>
      <c r="I960" t="str">
        <f>IF(E960="","",IFERROR(VALUE(SUBSTITUTE('MSR RAW'!S960,",","")),0))</f>
        <v/>
      </c>
    </row>
    <row r="961" spans="1:9" ht="68.650000000000006" customHeight="1" x14ac:dyDescent="0.2">
      <c r="A961">
        <v>961</v>
      </c>
      <c r="B96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61" t="str">
        <f>IF(LEFT(TRIM('MSR RAW'!A961),11)="Department:",TRIM('MSR RAW'!A961),C960)</f>
        <v>Department: 36637 - SPECIALTY CONCESSIONS (VENDING)</v>
      </c>
      <c r="D961" t="str">
        <f>IF(LEFT(TRIM('MSR RAW'!B961),9)="Location:",TRIM(MID('MSR RAW'!B961,10,999)),D960)</f>
        <v>FB 155 - SUB ISLAND NOODLES</v>
      </c>
      <c r="E961" t="str">
        <f>IF(AND(ISNUMBER(SEARCH(" - ",TRIM('MSR RAW'!C961))),RIGHT(TRIM('MSR RAW'!C961),6)="Total:"),LEFT(TRIM('MSR RAW'!C961),SEARCH(" - ",TRIM('MSR RAW'!C961))-1),"")</f>
        <v/>
      </c>
      <c r="F961" t="str">
        <f>IF(E961="","",TRIM(MID(TRIM('MSR RAW'!C961),SEARCH(" - ",TRIM('MSR RAW'!C961))+3,LEN(TRIM('MSR RAW'!C961))-SEARCH(" - ",TRIM('MSR RAW'!C961))-9)))</f>
        <v/>
      </c>
      <c r="G961" t="str">
        <f>IF(E961="","",IFERROR(VLOOKUP(E961,'CATEGORY MAP'!$A$2:$B$20,2,FALSE()),"REVIEW"))</f>
        <v/>
      </c>
      <c r="H961" t="str">
        <f>IF(E961="","",IFERROR(VALUE(SUBSTITUTE('MSR RAW'!P961,",","")),0))</f>
        <v/>
      </c>
      <c r="I961" t="str">
        <f>IF(E961="","",IFERROR(VALUE(SUBSTITUTE('MSR RAW'!S961,",","")),0))</f>
        <v/>
      </c>
    </row>
    <row r="962" spans="1:9" ht="68.650000000000006" customHeight="1" x14ac:dyDescent="0.2">
      <c r="A962">
        <v>962</v>
      </c>
      <c r="B96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62" t="str">
        <f>IF(LEFT(TRIM('MSR RAW'!A962),11)="Department:",TRIM('MSR RAW'!A962),C961)</f>
        <v>Department: 36637 - SPECIALTY CONCESSIONS (VENDING)</v>
      </c>
      <c r="D962" t="str">
        <f>IF(LEFT(TRIM('MSR RAW'!B962),9)="Location:",TRIM(MID('MSR RAW'!B962,10,999)),D961)</f>
        <v>FB 155 - SUB ISLAND NOODLES</v>
      </c>
      <c r="E962" t="str">
        <f>IF(AND(ISNUMBER(SEARCH(" - ",TRIM('MSR RAW'!C962))),RIGHT(TRIM('MSR RAW'!C962),6)="Total:"),LEFT(TRIM('MSR RAW'!C962),SEARCH(" - ",TRIM('MSR RAW'!C962))-1),"")</f>
        <v/>
      </c>
      <c r="F962" t="str">
        <f>IF(E962="","",TRIM(MID(TRIM('MSR RAW'!C962),SEARCH(" - ",TRIM('MSR RAW'!C962))+3,LEN(TRIM('MSR RAW'!C962))-SEARCH(" - ",TRIM('MSR RAW'!C962))-9)))</f>
        <v/>
      </c>
      <c r="G962" t="str">
        <f>IF(E962="","",IFERROR(VLOOKUP(E962,'CATEGORY MAP'!$A$2:$B$20,2,FALSE()),"REVIEW"))</f>
        <v/>
      </c>
      <c r="H962" t="str">
        <f>IF(E962="","",IFERROR(VALUE(SUBSTITUTE('MSR RAW'!P962,",","")),0))</f>
        <v/>
      </c>
      <c r="I962" t="str">
        <f>IF(E962="","",IFERROR(VALUE(SUBSTITUTE('MSR RAW'!S962,",","")),0))</f>
        <v/>
      </c>
    </row>
    <row r="963" spans="1:9" ht="68.650000000000006" customHeight="1" x14ac:dyDescent="0.2">
      <c r="A963">
        <v>963</v>
      </c>
      <c r="B96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63" t="str">
        <f>IF(LEFT(TRIM('MSR RAW'!A963),11)="Department:",TRIM('MSR RAW'!A963),C962)</f>
        <v>Department: 36637 - SPECIALTY CONCESSIONS (VENDING)</v>
      </c>
      <c r="D963" t="str">
        <f>IF(LEFT(TRIM('MSR RAW'!B963),9)="Location:",TRIM(MID('MSR RAW'!B963,10,999)),D962)</f>
        <v>FB 155 - SUB ISLAND NOODLES</v>
      </c>
      <c r="E963" t="str">
        <f>IF(AND(ISNUMBER(SEARCH(" - ",TRIM('MSR RAW'!C963))),RIGHT(TRIM('MSR RAW'!C963),6)="Total:"),LEFT(TRIM('MSR RAW'!C963),SEARCH(" - ",TRIM('MSR RAW'!C963))-1),"")</f>
        <v/>
      </c>
      <c r="F963" t="str">
        <f>IF(E963="","",TRIM(MID(TRIM('MSR RAW'!C963),SEARCH(" - ",TRIM('MSR RAW'!C963))+3,LEN(TRIM('MSR RAW'!C963))-SEARCH(" - ",TRIM('MSR RAW'!C963))-9)))</f>
        <v/>
      </c>
      <c r="G963" t="str">
        <f>IF(E963="","",IFERROR(VLOOKUP(E963,'CATEGORY MAP'!$A$2:$B$20,2,FALSE()),"REVIEW"))</f>
        <v/>
      </c>
      <c r="H963" t="str">
        <f>IF(E963="","",IFERROR(VALUE(SUBSTITUTE('MSR RAW'!P963,",","")),0))</f>
        <v/>
      </c>
      <c r="I963" t="str">
        <f>IF(E963="","",IFERROR(VALUE(SUBSTITUTE('MSR RAW'!S963,",","")),0))</f>
        <v/>
      </c>
    </row>
    <row r="964" spans="1:9" ht="68.650000000000006" customHeight="1" x14ac:dyDescent="0.2">
      <c r="A964">
        <v>964</v>
      </c>
      <c r="B96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64" t="str">
        <f>IF(LEFT(TRIM('MSR RAW'!A964),11)="Department:",TRIM('MSR RAW'!A964),C963)</f>
        <v>Department: 36637 - SPECIALTY CONCESSIONS (VENDING)</v>
      </c>
      <c r="D964" t="str">
        <f>IF(LEFT(TRIM('MSR RAW'!B964),9)="Location:",TRIM(MID('MSR RAW'!B964,10,999)),D963)</f>
        <v>FB 155 - SUB ISLAND NOODLES</v>
      </c>
      <c r="E964" t="str">
        <f>IF(AND(ISNUMBER(SEARCH(" - ",TRIM('MSR RAW'!C964))),RIGHT(TRIM('MSR RAW'!C964),6)="Total:"),LEFT(TRIM('MSR RAW'!C964),SEARCH(" - ",TRIM('MSR RAW'!C964))-1),"")</f>
        <v/>
      </c>
      <c r="F964" t="str">
        <f>IF(E964="","",TRIM(MID(TRIM('MSR RAW'!C964),SEARCH(" - ",TRIM('MSR RAW'!C964))+3,LEN(TRIM('MSR RAW'!C964))-SEARCH(" - ",TRIM('MSR RAW'!C964))-9)))</f>
        <v/>
      </c>
      <c r="G964" t="str">
        <f>IF(E964="","",IFERROR(VLOOKUP(E964,'CATEGORY MAP'!$A$2:$B$20,2,FALSE()),"REVIEW"))</f>
        <v/>
      </c>
      <c r="H964" t="str">
        <f>IF(E964="","",IFERROR(VALUE(SUBSTITUTE('MSR RAW'!P964,",","")),0))</f>
        <v/>
      </c>
      <c r="I964" t="str">
        <f>IF(E964="","",IFERROR(VALUE(SUBSTITUTE('MSR RAW'!S964,",","")),0))</f>
        <v/>
      </c>
    </row>
    <row r="965" spans="1:9" ht="68.650000000000006" customHeight="1" x14ac:dyDescent="0.2">
      <c r="A965">
        <v>965</v>
      </c>
      <c r="B96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65" t="str">
        <f>IF(LEFT(TRIM('MSR RAW'!A965),11)="Department:",TRIM('MSR RAW'!A965),C964)</f>
        <v>Department: 36637 - SPECIALTY CONCESSIONS (VENDING)</v>
      </c>
      <c r="D965" t="str">
        <f>IF(LEFT(TRIM('MSR RAW'!B965),9)="Location:",TRIM(MID('MSR RAW'!B965,10,999)),D964)</f>
        <v>FB 155 - SUB ISLAND NOODLES</v>
      </c>
      <c r="E965" t="str">
        <f>IF(AND(ISNUMBER(SEARCH(" - ",TRIM('MSR RAW'!C965))),RIGHT(TRIM('MSR RAW'!C965),6)="Total:"),LEFT(TRIM('MSR RAW'!C965),SEARCH(" - ",TRIM('MSR RAW'!C965))-1),"")</f>
        <v/>
      </c>
      <c r="F965" t="str">
        <f>IF(E965="","",TRIM(MID(TRIM('MSR RAW'!C965),SEARCH(" - ",TRIM('MSR RAW'!C965))+3,LEN(TRIM('MSR RAW'!C965))-SEARCH(" - ",TRIM('MSR RAW'!C965))-9)))</f>
        <v/>
      </c>
      <c r="G965" t="str">
        <f>IF(E965="","",IFERROR(VLOOKUP(E965,'CATEGORY MAP'!$A$2:$B$20,2,FALSE()),"REVIEW"))</f>
        <v/>
      </c>
      <c r="H965" t="str">
        <f>IF(E965="","",IFERROR(VALUE(SUBSTITUTE('MSR RAW'!P965,",","")),0))</f>
        <v/>
      </c>
      <c r="I965" t="str">
        <f>IF(E965="","",IFERROR(VALUE(SUBSTITUTE('MSR RAW'!S965,",","")),0))</f>
        <v/>
      </c>
    </row>
    <row r="966" spans="1:9" ht="68.650000000000006" customHeight="1" x14ac:dyDescent="0.2">
      <c r="A966">
        <v>966</v>
      </c>
      <c r="B96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66" t="str">
        <f>IF(LEFT(TRIM('MSR RAW'!A966),11)="Department:",TRIM('MSR RAW'!A966),C965)</f>
        <v>Department: 36637 - SPECIALTY CONCESSIONS (VENDING)</v>
      </c>
      <c r="D966" t="str">
        <f>IF(LEFT(TRIM('MSR RAW'!B966),9)="Location:",TRIM(MID('MSR RAW'!B966,10,999)),D965)</f>
        <v>FB 155 - SUB ISLAND NOODLES</v>
      </c>
      <c r="E966" t="str">
        <f>IF(AND(ISNUMBER(SEARCH(" - ",TRIM('MSR RAW'!C966))),RIGHT(TRIM('MSR RAW'!C966),6)="Total:"),LEFT(TRIM('MSR RAW'!C966),SEARCH(" - ",TRIM('MSR RAW'!C966))-1),"")</f>
        <v/>
      </c>
      <c r="F966" t="str">
        <f>IF(E966="","",TRIM(MID(TRIM('MSR RAW'!C966),SEARCH(" - ",TRIM('MSR RAW'!C966))+3,LEN(TRIM('MSR RAW'!C966))-SEARCH(" - ",TRIM('MSR RAW'!C966))-9)))</f>
        <v/>
      </c>
      <c r="G966" t="str">
        <f>IF(E966="","",IFERROR(VLOOKUP(E966,'CATEGORY MAP'!$A$2:$B$20,2,FALSE()),"REVIEW"))</f>
        <v/>
      </c>
      <c r="H966" t="str">
        <f>IF(E966="","",IFERROR(VALUE(SUBSTITUTE('MSR RAW'!P966,",","")),0))</f>
        <v/>
      </c>
      <c r="I966" t="str">
        <f>IF(E966="","",IFERROR(VALUE(SUBSTITUTE('MSR RAW'!S966,",","")),0))</f>
        <v/>
      </c>
    </row>
    <row r="967" spans="1:9" ht="68.650000000000006" customHeight="1" x14ac:dyDescent="0.2">
      <c r="A967">
        <v>967</v>
      </c>
      <c r="B96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67" t="str">
        <f>IF(LEFT(TRIM('MSR RAW'!A967),11)="Department:",TRIM('MSR RAW'!A967),C966)</f>
        <v>Department: 36637 - SPECIALTY CONCESSIONS (VENDING)</v>
      </c>
      <c r="D967" t="str">
        <f>IF(LEFT(TRIM('MSR RAW'!B967),9)="Location:",TRIM(MID('MSR RAW'!B967,10,999)),D966)</f>
        <v>FB 155 - SUB ISLAND NOODLES</v>
      </c>
      <c r="E967" t="str">
        <f>IF(AND(ISNUMBER(SEARCH(" - ",TRIM('MSR RAW'!C967))),RIGHT(TRIM('MSR RAW'!C967),6)="Total:"),LEFT(TRIM('MSR RAW'!C967),SEARCH(" - ",TRIM('MSR RAW'!C967))-1),"")</f>
        <v/>
      </c>
      <c r="F967" t="str">
        <f>IF(E967="","",TRIM(MID(TRIM('MSR RAW'!C967),SEARCH(" - ",TRIM('MSR RAW'!C967))+3,LEN(TRIM('MSR RAW'!C967))-SEARCH(" - ",TRIM('MSR RAW'!C967))-9)))</f>
        <v/>
      </c>
      <c r="G967" t="str">
        <f>IF(E967="","",IFERROR(VLOOKUP(E967,'CATEGORY MAP'!$A$2:$B$20,2,FALSE()),"REVIEW"))</f>
        <v/>
      </c>
      <c r="H967" t="str">
        <f>IF(E967="","",IFERROR(VALUE(SUBSTITUTE('MSR RAW'!P967,",","")),0))</f>
        <v/>
      </c>
      <c r="I967" t="str">
        <f>IF(E967="","",IFERROR(VALUE(SUBSTITUTE('MSR RAW'!S967,",","")),0))</f>
        <v/>
      </c>
    </row>
    <row r="968" spans="1:9" ht="68.650000000000006" customHeight="1" x14ac:dyDescent="0.2">
      <c r="A968">
        <v>968</v>
      </c>
      <c r="B96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68" t="str">
        <f>IF(LEFT(TRIM('MSR RAW'!A968),11)="Department:",TRIM('MSR RAW'!A968),C967)</f>
        <v>Department: 36637 - SPECIALTY CONCESSIONS (VENDING)</v>
      </c>
      <c r="D968" t="str">
        <f>IF(LEFT(TRIM('MSR RAW'!B968),9)="Location:",TRIM(MID('MSR RAW'!B968,10,999)),D967)</f>
        <v>FB 155 - SUB ISLAND NOODLES</v>
      </c>
      <c r="E968" t="str">
        <f>IF(AND(ISNUMBER(SEARCH(" - ",TRIM('MSR RAW'!C968))),RIGHT(TRIM('MSR RAW'!C968),6)="Total:"),LEFT(TRIM('MSR RAW'!C968),SEARCH(" - ",TRIM('MSR RAW'!C968))-1),"")</f>
        <v/>
      </c>
      <c r="F968" t="str">
        <f>IF(E968="","",TRIM(MID(TRIM('MSR RAW'!C968),SEARCH(" - ",TRIM('MSR RAW'!C968))+3,LEN(TRIM('MSR RAW'!C968))-SEARCH(" - ",TRIM('MSR RAW'!C968))-9)))</f>
        <v/>
      </c>
      <c r="G968" t="str">
        <f>IF(E968="","",IFERROR(VLOOKUP(E968,'CATEGORY MAP'!$A$2:$B$20,2,FALSE()),"REVIEW"))</f>
        <v/>
      </c>
      <c r="H968" t="str">
        <f>IF(E968="","",IFERROR(VALUE(SUBSTITUTE('MSR RAW'!P968,",","")),0))</f>
        <v/>
      </c>
      <c r="I968" t="str">
        <f>IF(E968="","",IFERROR(VALUE(SUBSTITUTE('MSR RAW'!S968,",","")),0))</f>
        <v/>
      </c>
    </row>
    <row r="969" spans="1:9" ht="68.650000000000006" customHeight="1" x14ac:dyDescent="0.2">
      <c r="A969">
        <v>969</v>
      </c>
      <c r="B96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69" t="str">
        <f>IF(LEFT(TRIM('MSR RAW'!A969),11)="Department:",TRIM('MSR RAW'!A969),C968)</f>
        <v>Department: 36637 - SPECIALTY CONCESSIONS (VENDING)</v>
      </c>
      <c r="D969" t="str">
        <f>IF(LEFT(TRIM('MSR RAW'!B969),9)="Location:",TRIM(MID('MSR RAW'!B969,10,999)),D968)</f>
        <v>FB 155 - SUB ISLAND NOODLES</v>
      </c>
      <c r="E969" t="str">
        <f>IF(AND(ISNUMBER(SEARCH(" - ",TRIM('MSR RAW'!C969))),RIGHT(TRIM('MSR RAW'!C969),6)="Total:"),LEFT(TRIM('MSR RAW'!C969),SEARCH(" - ",TRIM('MSR RAW'!C969))-1),"")</f>
        <v/>
      </c>
      <c r="F969" t="str">
        <f>IF(E969="","",TRIM(MID(TRIM('MSR RAW'!C969),SEARCH(" - ",TRIM('MSR RAW'!C969))+3,LEN(TRIM('MSR RAW'!C969))-SEARCH(" - ",TRIM('MSR RAW'!C969))-9)))</f>
        <v/>
      </c>
      <c r="G969" t="str">
        <f>IF(E969="","",IFERROR(VLOOKUP(E969,'CATEGORY MAP'!$A$2:$B$20,2,FALSE()),"REVIEW"))</f>
        <v/>
      </c>
      <c r="H969" t="str">
        <f>IF(E969="","",IFERROR(VALUE(SUBSTITUTE('MSR RAW'!P969,",","")),0))</f>
        <v/>
      </c>
      <c r="I969" t="str">
        <f>IF(E969="","",IFERROR(VALUE(SUBSTITUTE('MSR RAW'!S969,",","")),0))</f>
        <v/>
      </c>
    </row>
    <row r="970" spans="1:9" ht="68.650000000000006" customHeight="1" x14ac:dyDescent="0.2">
      <c r="A970">
        <v>970</v>
      </c>
      <c r="B97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70" t="str">
        <f>IF(LEFT(TRIM('MSR RAW'!A970),11)="Department:",TRIM('MSR RAW'!A970),C969)</f>
        <v>Department: 36637 - SPECIALTY CONCESSIONS (VENDING)</v>
      </c>
      <c r="D970" t="str">
        <f>IF(LEFT(TRIM('MSR RAW'!B970),9)="Location:",TRIM(MID('MSR RAW'!B970,10,999)),D969)</f>
        <v>FB 155 - SUB ISLAND NOODLES</v>
      </c>
      <c r="E970" t="str">
        <f>IF(AND(ISNUMBER(SEARCH(" - ",TRIM('MSR RAW'!C970))),RIGHT(TRIM('MSR RAW'!C970),6)="Total:"),LEFT(TRIM('MSR RAW'!C970),SEARCH(" - ",TRIM('MSR RAW'!C970))-1),"")</f>
        <v/>
      </c>
      <c r="F970" t="str">
        <f>IF(E970="","",TRIM(MID(TRIM('MSR RAW'!C970),SEARCH(" - ",TRIM('MSR RAW'!C970))+3,LEN(TRIM('MSR RAW'!C970))-SEARCH(" - ",TRIM('MSR RAW'!C970))-9)))</f>
        <v/>
      </c>
      <c r="G970" t="str">
        <f>IF(E970="","",IFERROR(VLOOKUP(E970,'CATEGORY MAP'!$A$2:$B$20,2,FALSE()),"REVIEW"))</f>
        <v/>
      </c>
      <c r="H970" t="str">
        <f>IF(E970="","",IFERROR(VALUE(SUBSTITUTE('MSR RAW'!P970,",","")),0))</f>
        <v/>
      </c>
      <c r="I970" t="str">
        <f>IF(E970="","",IFERROR(VALUE(SUBSTITUTE('MSR RAW'!S970,",","")),0))</f>
        <v/>
      </c>
    </row>
    <row r="971" spans="1:9" ht="68.650000000000006" customHeight="1" x14ac:dyDescent="0.2">
      <c r="A971">
        <v>971</v>
      </c>
      <c r="B97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71" t="str">
        <f>IF(LEFT(TRIM('MSR RAW'!A971),11)="Department:",TRIM('MSR RAW'!A971),C970)</f>
        <v>Department: 36637 - SPECIALTY CONCESSIONS (VENDING)</v>
      </c>
      <c r="D971" t="str">
        <f>IF(LEFT(TRIM('MSR RAW'!B971),9)="Location:",TRIM(MID('MSR RAW'!B971,10,999)),D970)</f>
        <v>FB 155 - SUB ISLAND NOODLES</v>
      </c>
      <c r="E971" t="str">
        <f>IF(AND(ISNUMBER(SEARCH(" - ",TRIM('MSR RAW'!C971))),RIGHT(TRIM('MSR RAW'!C971),6)="Total:"),LEFT(TRIM('MSR RAW'!C971),SEARCH(" - ",TRIM('MSR RAW'!C971))-1),"")</f>
        <v/>
      </c>
      <c r="F971" t="str">
        <f>IF(E971="","",TRIM(MID(TRIM('MSR RAW'!C971),SEARCH(" - ",TRIM('MSR RAW'!C971))+3,LEN(TRIM('MSR RAW'!C971))-SEARCH(" - ",TRIM('MSR RAW'!C971))-9)))</f>
        <v/>
      </c>
      <c r="G971" t="str">
        <f>IF(E971="","",IFERROR(VLOOKUP(E971,'CATEGORY MAP'!$A$2:$B$20,2,FALSE()),"REVIEW"))</f>
        <v/>
      </c>
      <c r="H971" t="str">
        <f>IF(E971="","",IFERROR(VALUE(SUBSTITUTE('MSR RAW'!P971,",","")),0))</f>
        <v/>
      </c>
      <c r="I971" t="str">
        <f>IF(E971="","",IFERROR(VALUE(SUBSTITUTE('MSR RAW'!S971,",","")),0))</f>
        <v/>
      </c>
    </row>
    <row r="972" spans="1:9" ht="68.650000000000006" customHeight="1" x14ac:dyDescent="0.2">
      <c r="A972">
        <v>972</v>
      </c>
      <c r="B97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72" t="str">
        <f>IF(LEFT(TRIM('MSR RAW'!A972),11)="Department:",TRIM('MSR RAW'!A972),C971)</f>
        <v>Department: 36637 - SPECIALTY CONCESSIONS (VENDING)</v>
      </c>
      <c r="D972" t="str">
        <f>IF(LEFT(TRIM('MSR RAW'!B972),9)="Location:",TRIM(MID('MSR RAW'!B972,10,999)),D971)</f>
        <v>FB 155 - SUB ISLAND NOODLES</v>
      </c>
      <c r="E972" t="str">
        <f>IF(AND(ISNUMBER(SEARCH(" - ",TRIM('MSR RAW'!C972))),RIGHT(TRIM('MSR RAW'!C972),6)="Total:"),LEFT(TRIM('MSR RAW'!C972),SEARCH(" - ",TRIM('MSR RAW'!C972))-1),"")</f>
        <v/>
      </c>
      <c r="F972" t="str">
        <f>IF(E972="","",TRIM(MID(TRIM('MSR RAW'!C972),SEARCH(" - ",TRIM('MSR RAW'!C972))+3,LEN(TRIM('MSR RAW'!C972))-SEARCH(" - ",TRIM('MSR RAW'!C972))-9)))</f>
        <v/>
      </c>
      <c r="G972" t="str">
        <f>IF(E972="","",IFERROR(VLOOKUP(E972,'CATEGORY MAP'!$A$2:$B$20,2,FALSE()),"REVIEW"))</f>
        <v/>
      </c>
      <c r="H972" t="str">
        <f>IF(E972="","",IFERROR(VALUE(SUBSTITUTE('MSR RAW'!P972,",","")),0))</f>
        <v/>
      </c>
      <c r="I972" t="str">
        <f>IF(E972="","",IFERROR(VALUE(SUBSTITUTE('MSR RAW'!S972,",","")),0))</f>
        <v/>
      </c>
    </row>
    <row r="973" spans="1:9" ht="68.650000000000006" customHeight="1" x14ac:dyDescent="0.2">
      <c r="A973">
        <v>973</v>
      </c>
      <c r="B97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73" t="str">
        <f>IF(LEFT(TRIM('MSR RAW'!A973),11)="Department:",TRIM('MSR RAW'!A973),C972)</f>
        <v>Department: 36637 - SPECIALTY CONCESSIONS (VENDING)</v>
      </c>
      <c r="D973" t="str">
        <f>IF(LEFT(TRIM('MSR RAW'!B973),9)="Location:",TRIM(MID('MSR RAW'!B973,10,999)),D972)</f>
        <v>FB 155 - SUB ISLAND NOODLES</v>
      </c>
      <c r="E973" t="str">
        <f>IF(AND(ISNUMBER(SEARCH(" - ",TRIM('MSR RAW'!C973))),RIGHT(TRIM('MSR RAW'!C973),6)="Total:"),LEFT(TRIM('MSR RAW'!C973),SEARCH(" - ",TRIM('MSR RAW'!C973))-1),"")</f>
        <v/>
      </c>
      <c r="F973" t="str">
        <f>IF(E973="","",TRIM(MID(TRIM('MSR RAW'!C973),SEARCH(" - ",TRIM('MSR RAW'!C973))+3,LEN(TRIM('MSR RAW'!C973))-SEARCH(" - ",TRIM('MSR RAW'!C973))-9)))</f>
        <v/>
      </c>
      <c r="G973" t="str">
        <f>IF(E973="","",IFERROR(VLOOKUP(E973,'CATEGORY MAP'!$A$2:$B$20,2,FALSE()),"REVIEW"))</f>
        <v/>
      </c>
      <c r="H973" t="str">
        <f>IF(E973="","",IFERROR(VALUE(SUBSTITUTE('MSR RAW'!P973,",","")),0))</f>
        <v/>
      </c>
      <c r="I973" t="str">
        <f>IF(E973="","",IFERROR(VALUE(SUBSTITUTE('MSR RAW'!S973,",","")),0))</f>
        <v/>
      </c>
    </row>
    <row r="974" spans="1:9" ht="68.650000000000006" customHeight="1" x14ac:dyDescent="0.2">
      <c r="A974">
        <v>974</v>
      </c>
      <c r="B97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74" t="str">
        <f>IF(LEFT(TRIM('MSR RAW'!A974),11)="Department:",TRIM('MSR RAW'!A974),C973)</f>
        <v>Department: 36637 - SPECIALTY CONCESSIONS (VENDING)</v>
      </c>
      <c r="D974" t="str">
        <f>IF(LEFT(TRIM('MSR RAW'!B974),9)="Location:",TRIM(MID('MSR RAW'!B974,10,999)),D973)</f>
        <v>FB 155 - SUB ISLAND NOODLES</v>
      </c>
      <c r="E974" t="str">
        <f>IF(AND(ISNUMBER(SEARCH(" - ",TRIM('MSR RAW'!C974))),RIGHT(TRIM('MSR RAW'!C974),6)="Total:"),LEFT(TRIM('MSR RAW'!C974),SEARCH(" - ",TRIM('MSR RAW'!C974))-1),"")</f>
        <v/>
      </c>
      <c r="F974" t="str">
        <f>IF(E974="","",TRIM(MID(TRIM('MSR RAW'!C974),SEARCH(" - ",TRIM('MSR RAW'!C974))+3,LEN(TRIM('MSR RAW'!C974))-SEARCH(" - ",TRIM('MSR RAW'!C974))-9)))</f>
        <v/>
      </c>
      <c r="G974" t="str">
        <f>IF(E974="","",IFERROR(VLOOKUP(E974,'CATEGORY MAP'!$A$2:$B$20,2,FALSE()),"REVIEW"))</f>
        <v/>
      </c>
      <c r="H974" t="str">
        <f>IF(E974="","",IFERROR(VALUE(SUBSTITUTE('MSR RAW'!P974,",","")),0))</f>
        <v/>
      </c>
      <c r="I974" t="str">
        <f>IF(E974="","",IFERROR(VALUE(SUBSTITUTE('MSR RAW'!S974,",","")),0))</f>
        <v/>
      </c>
    </row>
    <row r="975" spans="1:9" ht="68.650000000000006" customHeight="1" x14ac:dyDescent="0.2">
      <c r="A975">
        <v>975</v>
      </c>
      <c r="B97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75" t="str">
        <f>IF(LEFT(TRIM('MSR RAW'!A975),11)="Department:",TRIM('MSR RAW'!A975),C974)</f>
        <v>Department: 36637 - SPECIALTY CONCESSIONS (VENDING)</v>
      </c>
      <c r="D975" t="str">
        <f>IF(LEFT(TRIM('MSR RAW'!B975),9)="Location:",TRIM(MID('MSR RAW'!B975,10,999)),D974)</f>
        <v>FB 155 - SUB ISLAND NOODLES</v>
      </c>
      <c r="E975" t="str">
        <f>IF(AND(ISNUMBER(SEARCH(" - ",TRIM('MSR RAW'!C975))),RIGHT(TRIM('MSR RAW'!C975),6)="Total:"),LEFT(TRIM('MSR RAW'!C975),SEARCH(" - ",TRIM('MSR RAW'!C975))-1),"")</f>
        <v/>
      </c>
      <c r="F975" t="str">
        <f>IF(E975="","",TRIM(MID(TRIM('MSR RAW'!C975),SEARCH(" - ",TRIM('MSR RAW'!C975))+3,LEN(TRIM('MSR RAW'!C975))-SEARCH(" - ",TRIM('MSR RAW'!C975))-9)))</f>
        <v/>
      </c>
      <c r="G975" t="str">
        <f>IF(E975="","",IFERROR(VLOOKUP(E975,'CATEGORY MAP'!$A$2:$B$20,2,FALSE()),"REVIEW"))</f>
        <v/>
      </c>
      <c r="H975" t="str">
        <f>IF(E975="","",IFERROR(VALUE(SUBSTITUTE('MSR RAW'!P975,",","")),0))</f>
        <v/>
      </c>
      <c r="I975" t="str">
        <f>IF(E975="","",IFERROR(VALUE(SUBSTITUTE('MSR RAW'!S975,",","")),0))</f>
        <v/>
      </c>
    </row>
    <row r="976" spans="1:9" ht="68.650000000000006" customHeight="1" x14ac:dyDescent="0.2">
      <c r="A976">
        <v>976</v>
      </c>
      <c r="B97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76" t="str">
        <f>IF(LEFT(TRIM('MSR RAW'!A976),11)="Department:",TRIM('MSR RAW'!A976),C975)</f>
        <v>Department: 36637 - SPECIALTY CONCESSIONS (VENDING)</v>
      </c>
      <c r="D976" t="str">
        <f>IF(LEFT(TRIM('MSR RAW'!B976),9)="Location:",TRIM(MID('MSR RAW'!B976,10,999)),D975)</f>
        <v>FB 155 - SUB ISLAND NOODLES</v>
      </c>
      <c r="E976" t="str">
        <f>IF(AND(ISNUMBER(SEARCH(" - ",TRIM('MSR RAW'!C976))),RIGHT(TRIM('MSR RAW'!C976),6)="Total:"),LEFT(TRIM('MSR RAW'!C976),SEARCH(" - ",TRIM('MSR RAW'!C976))-1),"")</f>
        <v/>
      </c>
      <c r="F976" t="str">
        <f>IF(E976="","",TRIM(MID(TRIM('MSR RAW'!C976),SEARCH(" - ",TRIM('MSR RAW'!C976))+3,LEN(TRIM('MSR RAW'!C976))-SEARCH(" - ",TRIM('MSR RAW'!C976))-9)))</f>
        <v/>
      </c>
      <c r="G976" t="str">
        <f>IF(E976="","",IFERROR(VLOOKUP(E976,'CATEGORY MAP'!$A$2:$B$20,2,FALSE()),"REVIEW"))</f>
        <v/>
      </c>
      <c r="H976" t="str">
        <f>IF(E976="","",IFERROR(VALUE(SUBSTITUTE('MSR RAW'!P976,",","")),0))</f>
        <v/>
      </c>
      <c r="I976" t="str">
        <f>IF(E976="","",IFERROR(VALUE(SUBSTITUTE('MSR RAW'!S976,",","")),0))</f>
        <v/>
      </c>
    </row>
    <row r="977" spans="1:9" ht="68.650000000000006" customHeight="1" x14ac:dyDescent="0.2">
      <c r="A977">
        <v>977</v>
      </c>
      <c r="B97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77" t="str">
        <f>IF(LEFT(TRIM('MSR RAW'!A977),11)="Department:",TRIM('MSR RAW'!A977),C976)</f>
        <v>Department: 36637 - SPECIALTY CONCESSIONS (VENDING)</v>
      </c>
      <c r="D977" t="str">
        <f>IF(LEFT(TRIM('MSR RAW'!B977),9)="Location:",TRIM(MID('MSR RAW'!B977,10,999)),D976)</f>
        <v>FB 155 - SUB ISLAND NOODLES</v>
      </c>
      <c r="E977" t="str">
        <f>IF(AND(ISNUMBER(SEARCH(" - ",TRIM('MSR RAW'!C977))),RIGHT(TRIM('MSR RAW'!C977),6)="Total:"),LEFT(TRIM('MSR RAW'!C977),SEARCH(" - ",TRIM('MSR RAW'!C977))-1),"")</f>
        <v/>
      </c>
      <c r="F977" t="str">
        <f>IF(E977="","",TRIM(MID(TRIM('MSR RAW'!C977),SEARCH(" - ",TRIM('MSR RAW'!C977))+3,LEN(TRIM('MSR RAW'!C977))-SEARCH(" - ",TRIM('MSR RAW'!C977))-9)))</f>
        <v/>
      </c>
      <c r="G977" t="str">
        <f>IF(E977="","",IFERROR(VLOOKUP(E977,'CATEGORY MAP'!$A$2:$B$20,2,FALSE()),"REVIEW"))</f>
        <v/>
      </c>
      <c r="H977" t="str">
        <f>IF(E977="","",IFERROR(VALUE(SUBSTITUTE('MSR RAW'!P977,",","")),0))</f>
        <v/>
      </c>
      <c r="I977" t="str">
        <f>IF(E977="","",IFERROR(VALUE(SUBSTITUTE('MSR RAW'!S977,",","")),0))</f>
        <v/>
      </c>
    </row>
    <row r="978" spans="1:9" ht="68.650000000000006" customHeight="1" x14ac:dyDescent="0.2">
      <c r="A978">
        <v>978</v>
      </c>
      <c r="B97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78" t="str">
        <f>IF(LEFT(TRIM('MSR RAW'!A978),11)="Department:",TRIM('MSR RAW'!A978),C977)</f>
        <v>Department: 36637 - SPECIALTY CONCESSIONS (VENDING)</v>
      </c>
      <c r="D978" t="str">
        <f>IF(LEFT(TRIM('MSR RAW'!B978),9)="Location:",TRIM(MID('MSR RAW'!B978,10,999)),D977)</f>
        <v>FB 155 - SUB ISLAND NOODLES</v>
      </c>
      <c r="E978" t="str">
        <f>IF(AND(ISNUMBER(SEARCH(" - ",TRIM('MSR RAW'!C978))),RIGHT(TRIM('MSR RAW'!C978),6)="Total:"),LEFT(TRIM('MSR RAW'!C978),SEARCH(" - ",TRIM('MSR RAW'!C978))-1),"")</f>
        <v/>
      </c>
      <c r="F978" t="str">
        <f>IF(E978="","",TRIM(MID(TRIM('MSR RAW'!C978),SEARCH(" - ",TRIM('MSR RAW'!C978))+3,LEN(TRIM('MSR RAW'!C978))-SEARCH(" - ",TRIM('MSR RAW'!C978))-9)))</f>
        <v/>
      </c>
      <c r="G978" t="str">
        <f>IF(E978="","",IFERROR(VLOOKUP(E978,'CATEGORY MAP'!$A$2:$B$20,2,FALSE()),"REVIEW"))</f>
        <v/>
      </c>
      <c r="H978" t="str">
        <f>IF(E978="","",IFERROR(VALUE(SUBSTITUTE('MSR RAW'!P978,",","")),0))</f>
        <v/>
      </c>
      <c r="I978" t="str">
        <f>IF(E978="","",IFERROR(VALUE(SUBSTITUTE('MSR RAW'!S978,",","")),0))</f>
        <v/>
      </c>
    </row>
    <row r="979" spans="1:9" ht="68.650000000000006" customHeight="1" x14ac:dyDescent="0.2">
      <c r="A979">
        <v>979</v>
      </c>
      <c r="B97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79" t="str">
        <f>IF(LEFT(TRIM('MSR RAW'!A979),11)="Department:",TRIM('MSR RAW'!A979),C978)</f>
        <v>Department: 36637 - SPECIALTY CONCESSIONS (VENDING)</v>
      </c>
      <c r="D979" t="str">
        <f>IF(LEFT(TRIM('MSR RAW'!B979),9)="Location:",TRIM(MID('MSR RAW'!B979,10,999)),D978)</f>
        <v>FB 155 - SUB ISLAND NOODLES</v>
      </c>
      <c r="E979" t="str">
        <f>IF(AND(ISNUMBER(SEARCH(" - ",TRIM('MSR RAW'!C979))),RIGHT(TRIM('MSR RAW'!C979),6)="Total:"),LEFT(TRIM('MSR RAW'!C979),SEARCH(" - ",TRIM('MSR RAW'!C979))-1),"")</f>
        <v/>
      </c>
      <c r="F979" t="str">
        <f>IF(E979="","",TRIM(MID(TRIM('MSR RAW'!C979),SEARCH(" - ",TRIM('MSR RAW'!C979))+3,LEN(TRIM('MSR RAW'!C979))-SEARCH(" - ",TRIM('MSR RAW'!C979))-9)))</f>
        <v/>
      </c>
      <c r="G979" t="str">
        <f>IF(E979="","",IFERROR(VLOOKUP(E979,'CATEGORY MAP'!$A$2:$B$20,2,FALSE()),"REVIEW"))</f>
        <v/>
      </c>
      <c r="H979" t="str">
        <f>IF(E979="","",IFERROR(VALUE(SUBSTITUTE('MSR RAW'!P979,",","")),0))</f>
        <v/>
      </c>
      <c r="I979" t="str">
        <f>IF(E979="","",IFERROR(VALUE(SUBSTITUTE('MSR RAW'!S979,",","")),0))</f>
        <v/>
      </c>
    </row>
    <row r="980" spans="1:9" ht="68.650000000000006" customHeight="1" x14ac:dyDescent="0.2">
      <c r="A980">
        <v>980</v>
      </c>
      <c r="B98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80" t="str">
        <f>IF(LEFT(TRIM('MSR RAW'!A980),11)="Department:",TRIM('MSR RAW'!A980),C979)</f>
        <v>Department: 36637 - SPECIALTY CONCESSIONS (VENDING)</v>
      </c>
      <c r="D980" t="str">
        <f>IF(LEFT(TRIM('MSR RAW'!B980),9)="Location:",TRIM(MID('MSR RAW'!B980,10,999)),D979)</f>
        <v>FB 155 - SUB ISLAND NOODLES</v>
      </c>
      <c r="E980" t="str">
        <f>IF(AND(ISNUMBER(SEARCH(" - ",TRIM('MSR RAW'!C980))),RIGHT(TRIM('MSR RAW'!C980),6)="Total:"),LEFT(TRIM('MSR RAW'!C980),SEARCH(" - ",TRIM('MSR RAW'!C980))-1),"")</f>
        <v/>
      </c>
      <c r="F980" t="str">
        <f>IF(E980="","",TRIM(MID(TRIM('MSR RAW'!C980),SEARCH(" - ",TRIM('MSR RAW'!C980))+3,LEN(TRIM('MSR RAW'!C980))-SEARCH(" - ",TRIM('MSR RAW'!C980))-9)))</f>
        <v/>
      </c>
      <c r="G980" t="str">
        <f>IF(E980="","",IFERROR(VLOOKUP(E980,'CATEGORY MAP'!$A$2:$B$20,2,FALSE()),"REVIEW"))</f>
        <v/>
      </c>
      <c r="H980" t="str">
        <f>IF(E980="","",IFERROR(VALUE(SUBSTITUTE('MSR RAW'!P980,",","")),0))</f>
        <v/>
      </c>
      <c r="I980" t="str">
        <f>IF(E980="","",IFERROR(VALUE(SUBSTITUTE('MSR RAW'!S980,",","")),0))</f>
        <v/>
      </c>
    </row>
    <row r="981" spans="1:9" ht="68.650000000000006" customHeight="1" x14ac:dyDescent="0.2">
      <c r="A981">
        <v>981</v>
      </c>
      <c r="B98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81" t="str">
        <f>IF(LEFT(TRIM('MSR RAW'!A981),11)="Department:",TRIM('MSR RAW'!A981),C980)</f>
        <v>Department: 36637 - SPECIALTY CONCESSIONS (VENDING)</v>
      </c>
      <c r="D981" t="str">
        <f>IF(LEFT(TRIM('MSR RAW'!B981),9)="Location:",TRIM(MID('MSR RAW'!B981,10,999)),D980)</f>
        <v>FB 155 - SUB ISLAND NOODLES</v>
      </c>
      <c r="E981" t="str">
        <f>IF(AND(ISNUMBER(SEARCH(" - ",TRIM('MSR RAW'!C981))),RIGHT(TRIM('MSR RAW'!C981),6)="Total:"),LEFT(TRIM('MSR RAW'!C981),SEARCH(" - ",TRIM('MSR RAW'!C981))-1),"")</f>
        <v/>
      </c>
      <c r="F981" t="str">
        <f>IF(E981="","",TRIM(MID(TRIM('MSR RAW'!C981),SEARCH(" - ",TRIM('MSR RAW'!C981))+3,LEN(TRIM('MSR RAW'!C981))-SEARCH(" - ",TRIM('MSR RAW'!C981))-9)))</f>
        <v/>
      </c>
      <c r="G981" t="str">
        <f>IF(E981="","",IFERROR(VLOOKUP(E981,'CATEGORY MAP'!$A$2:$B$20,2,FALSE()),"REVIEW"))</f>
        <v/>
      </c>
      <c r="H981" t="str">
        <f>IF(E981="","",IFERROR(VALUE(SUBSTITUTE('MSR RAW'!P981,",","")),0))</f>
        <v/>
      </c>
      <c r="I981" t="str">
        <f>IF(E981="","",IFERROR(VALUE(SUBSTITUTE('MSR RAW'!S981,",","")),0))</f>
        <v/>
      </c>
    </row>
    <row r="982" spans="1:9" ht="68.650000000000006" customHeight="1" x14ac:dyDescent="0.2">
      <c r="A982">
        <v>982</v>
      </c>
      <c r="B98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82" t="str">
        <f>IF(LEFT(TRIM('MSR RAW'!A982),11)="Department:",TRIM('MSR RAW'!A982),C981)</f>
        <v>Department: 36637 - SPECIALTY CONCESSIONS (VENDING)</v>
      </c>
      <c r="D982" t="str">
        <f>IF(LEFT(TRIM('MSR RAW'!B982),9)="Location:",TRIM(MID('MSR RAW'!B982,10,999)),D981)</f>
        <v>FB 155 - SUB ISLAND NOODLES</v>
      </c>
      <c r="E982" t="str">
        <f>IF(AND(ISNUMBER(SEARCH(" - ",TRIM('MSR RAW'!C982))),RIGHT(TRIM('MSR RAW'!C982),6)="Total:"),LEFT(TRIM('MSR RAW'!C982),SEARCH(" - ",TRIM('MSR RAW'!C982))-1),"")</f>
        <v/>
      </c>
      <c r="F982" t="str">
        <f>IF(E982="","",TRIM(MID(TRIM('MSR RAW'!C982),SEARCH(" - ",TRIM('MSR RAW'!C982))+3,LEN(TRIM('MSR RAW'!C982))-SEARCH(" - ",TRIM('MSR RAW'!C982))-9)))</f>
        <v/>
      </c>
      <c r="G982" t="str">
        <f>IF(E982="","",IFERROR(VLOOKUP(E982,'CATEGORY MAP'!$A$2:$B$20,2,FALSE()),"REVIEW"))</f>
        <v/>
      </c>
      <c r="H982" t="str">
        <f>IF(E982="","",IFERROR(VALUE(SUBSTITUTE('MSR RAW'!P982,",","")),0))</f>
        <v/>
      </c>
      <c r="I982" t="str">
        <f>IF(E982="","",IFERROR(VALUE(SUBSTITUTE('MSR RAW'!S982,",","")),0))</f>
        <v/>
      </c>
    </row>
    <row r="983" spans="1:9" ht="68.650000000000006" customHeight="1" x14ac:dyDescent="0.2">
      <c r="A983">
        <v>983</v>
      </c>
      <c r="B98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83" t="str">
        <f>IF(LEFT(TRIM('MSR RAW'!A983),11)="Department:",TRIM('MSR RAW'!A983),C982)</f>
        <v>Department: 36637 - SPECIALTY CONCESSIONS (VENDING)</v>
      </c>
      <c r="D983" t="str">
        <f>IF(LEFT(TRIM('MSR RAW'!B983),9)="Location:",TRIM(MID('MSR RAW'!B983,10,999)),D982)</f>
        <v>FB 155 - SUB ISLAND NOODLES</v>
      </c>
      <c r="E983" t="str">
        <f>IF(AND(ISNUMBER(SEARCH(" - ",TRIM('MSR RAW'!C983))),RIGHT(TRIM('MSR RAW'!C983),6)="Total:"),LEFT(TRIM('MSR RAW'!C983),SEARCH(" - ",TRIM('MSR RAW'!C983))-1),"")</f>
        <v/>
      </c>
      <c r="F983" t="str">
        <f>IF(E983="","",TRIM(MID(TRIM('MSR RAW'!C983),SEARCH(" - ",TRIM('MSR RAW'!C983))+3,LEN(TRIM('MSR RAW'!C983))-SEARCH(" - ",TRIM('MSR RAW'!C983))-9)))</f>
        <v/>
      </c>
      <c r="G983" t="str">
        <f>IF(E983="","",IFERROR(VLOOKUP(E983,'CATEGORY MAP'!$A$2:$B$20,2,FALSE()),"REVIEW"))</f>
        <v/>
      </c>
      <c r="H983" t="str">
        <f>IF(E983="","",IFERROR(VALUE(SUBSTITUTE('MSR RAW'!P983,",","")),0))</f>
        <v/>
      </c>
      <c r="I983" t="str">
        <f>IF(E983="","",IFERROR(VALUE(SUBSTITUTE('MSR RAW'!S983,",","")),0))</f>
        <v/>
      </c>
    </row>
    <row r="984" spans="1:9" ht="68.650000000000006" customHeight="1" x14ac:dyDescent="0.2">
      <c r="A984">
        <v>984</v>
      </c>
      <c r="B98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84" t="str">
        <f>IF(LEFT(TRIM('MSR RAW'!A984),11)="Department:",TRIM('MSR RAW'!A984),C983)</f>
        <v>Department: 36637 - SPECIALTY CONCESSIONS (VENDING)</v>
      </c>
      <c r="D984" t="str">
        <f>IF(LEFT(TRIM('MSR RAW'!B984),9)="Location:",TRIM(MID('MSR RAW'!B984,10,999)),D983)</f>
        <v>FB 155 - SUB ISLAND NOODLES</v>
      </c>
      <c r="E984" t="str">
        <f>IF(AND(ISNUMBER(SEARCH(" - ",TRIM('MSR RAW'!C984))),RIGHT(TRIM('MSR RAW'!C984),6)="Total:"),LEFT(TRIM('MSR RAW'!C984),SEARCH(" - ",TRIM('MSR RAW'!C984))-1),"")</f>
        <v/>
      </c>
      <c r="F984" t="str">
        <f>IF(E984="","",TRIM(MID(TRIM('MSR RAW'!C984),SEARCH(" - ",TRIM('MSR RAW'!C984))+3,LEN(TRIM('MSR RAW'!C984))-SEARCH(" - ",TRIM('MSR RAW'!C984))-9)))</f>
        <v/>
      </c>
      <c r="G984" t="str">
        <f>IF(E984="","",IFERROR(VLOOKUP(E984,'CATEGORY MAP'!$A$2:$B$20,2,FALSE()),"REVIEW"))</f>
        <v/>
      </c>
      <c r="H984" t="str">
        <f>IF(E984="","",IFERROR(VALUE(SUBSTITUTE('MSR RAW'!P984,",","")),0))</f>
        <v/>
      </c>
      <c r="I984" t="str">
        <f>IF(E984="","",IFERROR(VALUE(SUBSTITUTE('MSR RAW'!S984,",","")),0))</f>
        <v/>
      </c>
    </row>
    <row r="985" spans="1:9" ht="68.650000000000006" customHeight="1" x14ac:dyDescent="0.2">
      <c r="A985">
        <v>985</v>
      </c>
      <c r="B98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85" t="str">
        <f>IF(LEFT(TRIM('MSR RAW'!A985),11)="Department:",TRIM('MSR RAW'!A985),C984)</f>
        <v>Department: 36637 - SPECIALTY CONCESSIONS (VENDING)</v>
      </c>
      <c r="D985" t="str">
        <f>IF(LEFT(TRIM('MSR RAW'!B985),9)="Location:",TRIM(MID('MSR RAW'!B985,10,999)),D984)</f>
        <v>FB 155 - SUB ISLAND NOODLES</v>
      </c>
      <c r="E985" t="str">
        <f>IF(AND(ISNUMBER(SEARCH(" - ",TRIM('MSR RAW'!C985))),RIGHT(TRIM('MSR RAW'!C985),6)="Total:"),LEFT(TRIM('MSR RAW'!C985),SEARCH(" - ",TRIM('MSR RAW'!C985))-1),"")</f>
        <v/>
      </c>
      <c r="F985" t="str">
        <f>IF(E985="","",TRIM(MID(TRIM('MSR RAW'!C985),SEARCH(" - ",TRIM('MSR RAW'!C985))+3,LEN(TRIM('MSR RAW'!C985))-SEARCH(" - ",TRIM('MSR RAW'!C985))-9)))</f>
        <v/>
      </c>
      <c r="G985" t="str">
        <f>IF(E985="","",IFERROR(VLOOKUP(E985,'CATEGORY MAP'!$A$2:$B$20,2,FALSE()),"REVIEW"))</f>
        <v/>
      </c>
      <c r="H985" t="str">
        <f>IF(E985="","",IFERROR(VALUE(SUBSTITUTE('MSR RAW'!P985,",","")),0))</f>
        <v/>
      </c>
      <c r="I985" t="str">
        <f>IF(E985="","",IFERROR(VALUE(SUBSTITUTE('MSR RAW'!S985,",","")),0))</f>
        <v/>
      </c>
    </row>
    <row r="986" spans="1:9" ht="68.650000000000006" customHeight="1" x14ac:dyDescent="0.2">
      <c r="A986">
        <v>986</v>
      </c>
      <c r="B98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86" t="str">
        <f>IF(LEFT(TRIM('MSR RAW'!A986),11)="Department:",TRIM('MSR RAW'!A986),C985)</f>
        <v>Department: 36637 - SPECIALTY CONCESSIONS (VENDING)</v>
      </c>
      <c r="D986" t="str">
        <f>IF(LEFT(TRIM('MSR RAW'!B986),9)="Location:",TRIM(MID('MSR RAW'!B986,10,999)),D985)</f>
        <v>FB 155 - SUB ISLAND NOODLES</v>
      </c>
      <c r="E986" t="str">
        <f>IF(AND(ISNUMBER(SEARCH(" - ",TRIM('MSR RAW'!C986))),RIGHT(TRIM('MSR RAW'!C986),6)="Total:"),LEFT(TRIM('MSR RAW'!C986),SEARCH(" - ",TRIM('MSR RAW'!C986))-1),"")</f>
        <v/>
      </c>
      <c r="F986" t="str">
        <f>IF(E986="","",TRIM(MID(TRIM('MSR RAW'!C986),SEARCH(" - ",TRIM('MSR RAW'!C986))+3,LEN(TRIM('MSR RAW'!C986))-SEARCH(" - ",TRIM('MSR RAW'!C986))-9)))</f>
        <v/>
      </c>
      <c r="G986" t="str">
        <f>IF(E986="","",IFERROR(VLOOKUP(E986,'CATEGORY MAP'!$A$2:$B$20,2,FALSE()),"REVIEW"))</f>
        <v/>
      </c>
      <c r="H986" t="str">
        <f>IF(E986="","",IFERROR(VALUE(SUBSTITUTE('MSR RAW'!P986,",","")),0))</f>
        <v/>
      </c>
      <c r="I986" t="str">
        <f>IF(E986="","",IFERROR(VALUE(SUBSTITUTE('MSR RAW'!S986,",","")),0))</f>
        <v/>
      </c>
    </row>
    <row r="987" spans="1:9" ht="68.650000000000006" customHeight="1" x14ac:dyDescent="0.2">
      <c r="A987">
        <v>987</v>
      </c>
      <c r="B98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87" t="str">
        <f>IF(LEFT(TRIM('MSR RAW'!A987),11)="Department:",TRIM('MSR RAW'!A987),C986)</f>
        <v>Department: 36637 - SPECIALTY CONCESSIONS (VENDING)</v>
      </c>
      <c r="D987" t="str">
        <f>IF(LEFT(TRIM('MSR RAW'!B987),9)="Location:",TRIM(MID('MSR RAW'!B987,10,999)),D986)</f>
        <v>FB 155 - SUB ISLAND NOODLES</v>
      </c>
      <c r="E987" t="str">
        <f>IF(AND(ISNUMBER(SEARCH(" - ",TRIM('MSR RAW'!C987))),RIGHT(TRIM('MSR RAW'!C987),6)="Total:"),LEFT(TRIM('MSR RAW'!C987),SEARCH(" - ",TRIM('MSR RAW'!C987))-1),"")</f>
        <v/>
      </c>
      <c r="F987" t="str">
        <f>IF(E987="","",TRIM(MID(TRIM('MSR RAW'!C987),SEARCH(" - ",TRIM('MSR RAW'!C987))+3,LEN(TRIM('MSR RAW'!C987))-SEARCH(" - ",TRIM('MSR RAW'!C987))-9)))</f>
        <v/>
      </c>
      <c r="G987" t="str">
        <f>IF(E987="","",IFERROR(VLOOKUP(E987,'CATEGORY MAP'!$A$2:$B$20,2,FALSE()),"REVIEW"))</f>
        <v/>
      </c>
      <c r="H987" t="str">
        <f>IF(E987="","",IFERROR(VALUE(SUBSTITUTE('MSR RAW'!P987,",","")),0))</f>
        <v/>
      </c>
      <c r="I987" t="str">
        <f>IF(E987="","",IFERROR(VALUE(SUBSTITUTE('MSR RAW'!S987,",","")),0))</f>
        <v/>
      </c>
    </row>
    <row r="988" spans="1:9" ht="68.650000000000006" customHeight="1" x14ac:dyDescent="0.2">
      <c r="A988">
        <v>988</v>
      </c>
      <c r="B98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88" t="str">
        <f>IF(LEFT(TRIM('MSR RAW'!A988),11)="Department:",TRIM('MSR RAW'!A988),C987)</f>
        <v>Department: 36637 - SPECIALTY CONCESSIONS (VENDING)</v>
      </c>
      <c r="D988" t="str">
        <f>IF(LEFT(TRIM('MSR RAW'!B988),9)="Location:",TRIM(MID('MSR RAW'!B988,10,999)),D987)</f>
        <v>FB 155 - SUB ISLAND NOODLES</v>
      </c>
      <c r="E988" t="str">
        <f>IF(AND(ISNUMBER(SEARCH(" - ",TRIM('MSR RAW'!C988))),RIGHT(TRIM('MSR RAW'!C988),6)="Total:"),LEFT(TRIM('MSR RAW'!C988),SEARCH(" - ",TRIM('MSR RAW'!C988))-1),"")</f>
        <v/>
      </c>
      <c r="F988" t="str">
        <f>IF(E988="","",TRIM(MID(TRIM('MSR RAW'!C988),SEARCH(" - ",TRIM('MSR RAW'!C988))+3,LEN(TRIM('MSR RAW'!C988))-SEARCH(" - ",TRIM('MSR RAW'!C988))-9)))</f>
        <v/>
      </c>
      <c r="G988" t="str">
        <f>IF(E988="","",IFERROR(VLOOKUP(E988,'CATEGORY MAP'!$A$2:$B$20,2,FALSE()),"REVIEW"))</f>
        <v/>
      </c>
      <c r="H988" t="str">
        <f>IF(E988="","",IFERROR(VALUE(SUBSTITUTE('MSR RAW'!P988,",","")),0))</f>
        <v/>
      </c>
      <c r="I988" t="str">
        <f>IF(E988="","",IFERROR(VALUE(SUBSTITUTE('MSR RAW'!S988,",","")),0))</f>
        <v/>
      </c>
    </row>
    <row r="989" spans="1:9" ht="68.650000000000006" customHeight="1" x14ac:dyDescent="0.2">
      <c r="A989">
        <v>989</v>
      </c>
      <c r="B98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89" t="str">
        <f>IF(LEFT(TRIM('MSR RAW'!A989),11)="Department:",TRIM('MSR RAW'!A989),C988)</f>
        <v>Department: 36637 - SPECIALTY CONCESSIONS (VENDING)</v>
      </c>
      <c r="D989" t="str">
        <f>IF(LEFT(TRIM('MSR RAW'!B989),9)="Location:",TRIM(MID('MSR RAW'!B989,10,999)),D988)</f>
        <v>FB 155 - SUB ISLAND NOODLES</v>
      </c>
      <c r="E989" t="str">
        <f>IF(AND(ISNUMBER(SEARCH(" - ",TRIM('MSR RAW'!C989))),RIGHT(TRIM('MSR RAW'!C989),6)="Total:"),LEFT(TRIM('MSR RAW'!C989),SEARCH(" - ",TRIM('MSR RAW'!C989))-1),"")</f>
        <v/>
      </c>
      <c r="F989" t="str">
        <f>IF(E989="","",TRIM(MID(TRIM('MSR RAW'!C989),SEARCH(" - ",TRIM('MSR RAW'!C989))+3,LEN(TRIM('MSR RAW'!C989))-SEARCH(" - ",TRIM('MSR RAW'!C989))-9)))</f>
        <v/>
      </c>
      <c r="G989" t="str">
        <f>IF(E989="","",IFERROR(VLOOKUP(E989,'CATEGORY MAP'!$A$2:$B$20,2,FALSE()),"REVIEW"))</f>
        <v/>
      </c>
      <c r="H989" t="str">
        <f>IF(E989="","",IFERROR(VALUE(SUBSTITUTE('MSR RAW'!P989,",","")),0))</f>
        <v/>
      </c>
      <c r="I989" t="str">
        <f>IF(E989="","",IFERROR(VALUE(SUBSTITUTE('MSR RAW'!S989,",","")),0))</f>
        <v/>
      </c>
    </row>
    <row r="990" spans="1:9" ht="68.650000000000006" customHeight="1" x14ac:dyDescent="0.2">
      <c r="A990">
        <v>990</v>
      </c>
      <c r="B99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90" t="str">
        <f>IF(LEFT(TRIM('MSR RAW'!A990),11)="Department:",TRIM('MSR RAW'!A990),C989)</f>
        <v>Department: 36637 - SPECIALTY CONCESSIONS (VENDING)</v>
      </c>
      <c r="D990" t="str">
        <f>IF(LEFT(TRIM('MSR RAW'!B990),9)="Location:",TRIM(MID('MSR RAW'!B990,10,999)),D989)</f>
        <v>FB 155 - SUB ISLAND NOODLES</v>
      </c>
      <c r="E990" t="str">
        <f>IF(AND(ISNUMBER(SEARCH(" - ",TRIM('MSR RAW'!C990))),RIGHT(TRIM('MSR RAW'!C990),6)="Total:"),LEFT(TRIM('MSR RAW'!C990),SEARCH(" - ",TRIM('MSR RAW'!C990))-1),"")</f>
        <v/>
      </c>
      <c r="F990" t="str">
        <f>IF(E990="","",TRIM(MID(TRIM('MSR RAW'!C990),SEARCH(" - ",TRIM('MSR RAW'!C990))+3,LEN(TRIM('MSR RAW'!C990))-SEARCH(" - ",TRIM('MSR RAW'!C990))-9)))</f>
        <v/>
      </c>
      <c r="G990" t="str">
        <f>IF(E990="","",IFERROR(VLOOKUP(E990,'CATEGORY MAP'!$A$2:$B$20,2,FALSE()),"REVIEW"))</f>
        <v/>
      </c>
      <c r="H990" t="str">
        <f>IF(E990="","",IFERROR(VALUE(SUBSTITUTE('MSR RAW'!P990,",","")),0))</f>
        <v/>
      </c>
      <c r="I990" t="str">
        <f>IF(E990="","",IFERROR(VALUE(SUBSTITUTE('MSR RAW'!S990,",","")),0))</f>
        <v/>
      </c>
    </row>
    <row r="991" spans="1:9" ht="68.650000000000006" customHeight="1" x14ac:dyDescent="0.2">
      <c r="A991">
        <v>991</v>
      </c>
      <c r="B991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91" t="str">
        <f>IF(LEFT(TRIM('MSR RAW'!A991),11)="Department:",TRIM('MSR RAW'!A991),C990)</f>
        <v>Department: 36637 - SPECIALTY CONCESSIONS (VENDING)</v>
      </c>
      <c r="D991" t="str">
        <f>IF(LEFT(TRIM('MSR RAW'!B991),9)="Location:",TRIM(MID('MSR RAW'!B991,10,999)),D990)</f>
        <v>FB 155 - SUB ISLAND NOODLES</v>
      </c>
      <c r="E991" t="str">
        <f>IF(AND(ISNUMBER(SEARCH(" - ",TRIM('MSR RAW'!C991))),RIGHT(TRIM('MSR RAW'!C991),6)="Total:"),LEFT(TRIM('MSR RAW'!C991),SEARCH(" - ",TRIM('MSR RAW'!C991))-1),"")</f>
        <v/>
      </c>
      <c r="F991" t="str">
        <f>IF(E991="","",TRIM(MID(TRIM('MSR RAW'!C991),SEARCH(" - ",TRIM('MSR RAW'!C991))+3,LEN(TRIM('MSR RAW'!C991))-SEARCH(" - ",TRIM('MSR RAW'!C991))-9)))</f>
        <v/>
      </c>
      <c r="G991" t="str">
        <f>IF(E991="","",IFERROR(VLOOKUP(E991,'CATEGORY MAP'!$A$2:$B$20,2,FALSE()),"REVIEW"))</f>
        <v/>
      </c>
      <c r="H991" t="str">
        <f>IF(E991="","",IFERROR(VALUE(SUBSTITUTE('MSR RAW'!P991,",","")),0))</f>
        <v/>
      </c>
      <c r="I991" t="str">
        <f>IF(E991="","",IFERROR(VALUE(SUBSTITUTE('MSR RAW'!S991,",","")),0))</f>
        <v/>
      </c>
    </row>
    <row r="992" spans="1:9" ht="68.650000000000006" customHeight="1" x14ac:dyDescent="0.2">
      <c r="A992">
        <v>992</v>
      </c>
      <c r="B992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92" t="str">
        <f>IF(LEFT(TRIM('MSR RAW'!A992),11)="Department:",TRIM('MSR RAW'!A992),C991)</f>
        <v>Department: 36637 - SPECIALTY CONCESSIONS (VENDING)</v>
      </c>
      <c r="D992" t="str">
        <f>IF(LEFT(TRIM('MSR RAW'!B992),9)="Location:",TRIM(MID('MSR RAW'!B992,10,999)),D991)</f>
        <v>FB 155 - SUB ISLAND NOODLES</v>
      </c>
      <c r="E992" t="str">
        <f>IF(AND(ISNUMBER(SEARCH(" - ",TRIM('MSR RAW'!C992))),RIGHT(TRIM('MSR RAW'!C992),6)="Total:"),LEFT(TRIM('MSR RAW'!C992),SEARCH(" - ",TRIM('MSR RAW'!C992))-1),"")</f>
        <v/>
      </c>
      <c r="F992" t="str">
        <f>IF(E992="","",TRIM(MID(TRIM('MSR RAW'!C992),SEARCH(" - ",TRIM('MSR RAW'!C992))+3,LEN(TRIM('MSR RAW'!C992))-SEARCH(" - ",TRIM('MSR RAW'!C992))-9)))</f>
        <v/>
      </c>
      <c r="G992" t="str">
        <f>IF(E992="","",IFERROR(VLOOKUP(E992,'CATEGORY MAP'!$A$2:$B$20,2,FALSE()),"REVIEW"))</f>
        <v/>
      </c>
      <c r="H992" t="str">
        <f>IF(E992="","",IFERROR(VALUE(SUBSTITUTE('MSR RAW'!P992,",","")),0))</f>
        <v/>
      </c>
      <c r="I992" t="str">
        <f>IF(E992="","",IFERROR(VALUE(SUBSTITUTE('MSR RAW'!S992,",","")),0))</f>
        <v/>
      </c>
    </row>
    <row r="993" spans="1:9" ht="68.650000000000006" customHeight="1" x14ac:dyDescent="0.2">
      <c r="A993">
        <v>993</v>
      </c>
      <c r="B993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93" t="str">
        <f>IF(LEFT(TRIM('MSR RAW'!A993),11)="Department:",TRIM('MSR RAW'!A993),C992)</f>
        <v>Department: 36637 - SPECIALTY CONCESSIONS (VENDING)</v>
      </c>
      <c r="D993" t="str">
        <f>IF(LEFT(TRIM('MSR RAW'!B993),9)="Location:",TRIM(MID('MSR RAW'!B993,10,999)),D992)</f>
        <v>FB 155 - SUB ISLAND NOODLES</v>
      </c>
      <c r="E993" t="str">
        <f>IF(AND(ISNUMBER(SEARCH(" - ",TRIM('MSR RAW'!C993))),RIGHT(TRIM('MSR RAW'!C993),6)="Total:"),LEFT(TRIM('MSR RAW'!C993),SEARCH(" - ",TRIM('MSR RAW'!C993))-1),"")</f>
        <v/>
      </c>
      <c r="F993" t="str">
        <f>IF(E993="","",TRIM(MID(TRIM('MSR RAW'!C993),SEARCH(" - ",TRIM('MSR RAW'!C993))+3,LEN(TRIM('MSR RAW'!C993))-SEARCH(" - ",TRIM('MSR RAW'!C993))-9)))</f>
        <v/>
      </c>
      <c r="G993" t="str">
        <f>IF(E993="","",IFERROR(VLOOKUP(E993,'CATEGORY MAP'!$A$2:$B$20,2,FALSE()),"REVIEW"))</f>
        <v/>
      </c>
      <c r="H993" t="str">
        <f>IF(E993="","",IFERROR(VALUE(SUBSTITUTE('MSR RAW'!P993,",","")),0))</f>
        <v/>
      </c>
      <c r="I993" t="str">
        <f>IF(E993="","",IFERROR(VALUE(SUBSTITUTE('MSR RAW'!S993,",","")),0))</f>
        <v/>
      </c>
    </row>
    <row r="994" spans="1:9" ht="68.650000000000006" customHeight="1" x14ac:dyDescent="0.2">
      <c r="A994">
        <v>994</v>
      </c>
      <c r="B994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94" t="str">
        <f>IF(LEFT(TRIM('MSR RAW'!A994),11)="Department:",TRIM('MSR RAW'!A994),C993)</f>
        <v>Department: 36637 - SPECIALTY CONCESSIONS (VENDING)</v>
      </c>
      <c r="D994" t="str">
        <f>IF(LEFT(TRIM('MSR RAW'!B994),9)="Location:",TRIM(MID('MSR RAW'!B994,10,999)),D993)</f>
        <v>FB 155 - SUB ISLAND NOODLES</v>
      </c>
      <c r="E994" t="str">
        <f>IF(AND(ISNUMBER(SEARCH(" - ",TRIM('MSR RAW'!C994))),RIGHT(TRIM('MSR RAW'!C994),6)="Total:"),LEFT(TRIM('MSR RAW'!C994),SEARCH(" - ",TRIM('MSR RAW'!C994))-1),"")</f>
        <v/>
      </c>
      <c r="F994" t="str">
        <f>IF(E994="","",TRIM(MID(TRIM('MSR RAW'!C994),SEARCH(" - ",TRIM('MSR RAW'!C994))+3,LEN(TRIM('MSR RAW'!C994))-SEARCH(" - ",TRIM('MSR RAW'!C994))-9)))</f>
        <v/>
      </c>
      <c r="G994" t="str">
        <f>IF(E994="","",IFERROR(VLOOKUP(E994,'CATEGORY MAP'!$A$2:$B$20,2,FALSE()),"REVIEW"))</f>
        <v/>
      </c>
      <c r="H994" t="str">
        <f>IF(E994="","",IFERROR(VALUE(SUBSTITUTE('MSR RAW'!P994,",","")),0))</f>
        <v/>
      </c>
      <c r="I994" t="str">
        <f>IF(E994="","",IFERROR(VALUE(SUBSTITUTE('MSR RAW'!S994,",","")),0))</f>
        <v/>
      </c>
    </row>
    <row r="995" spans="1:9" ht="68.650000000000006" customHeight="1" x14ac:dyDescent="0.2">
      <c r="A995">
        <v>995</v>
      </c>
      <c r="B995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95" t="str">
        <f>IF(LEFT(TRIM('MSR RAW'!A995),11)="Department:",TRIM('MSR RAW'!A995),C994)</f>
        <v>Department: 36637 - SPECIALTY CONCESSIONS (VENDING)</v>
      </c>
      <c r="D995" t="str">
        <f>IF(LEFT(TRIM('MSR RAW'!B995),9)="Location:",TRIM(MID('MSR RAW'!B995,10,999)),D994)</f>
        <v>FB 155 - SUB ISLAND NOODLES</v>
      </c>
      <c r="E995" t="str">
        <f>IF(AND(ISNUMBER(SEARCH(" - ",TRIM('MSR RAW'!C995))),RIGHT(TRIM('MSR RAW'!C995),6)="Total:"),LEFT(TRIM('MSR RAW'!C995),SEARCH(" - ",TRIM('MSR RAW'!C995))-1),"")</f>
        <v/>
      </c>
      <c r="F995" t="str">
        <f>IF(E995="","",TRIM(MID(TRIM('MSR RAW'!C995),SEARCH(" - ",TRIM('MSR RAW'!C995))+3,LEN(TRIM('MSR RAW'!C995))-SEARCH(" - ",TRIM('MSR RAW'!C995))-9)))</f>
        <v/>
      </c>
      <c r="G995" t="str">
        <f>IF(E995="","",IFERROR(VLOOKUP(E995,'CATEGORY MAP'!$A$2:$B$20,2,FALSE()),"REVIEW"))</f>
        <v/>
      </c>
      <c r="H995" t="str">
        <f>IF(E995="","",IFERROR(VALUE(SUBSTITUTE('MSR RAW'!P995,",","")),0))</f>
        <v/>
      </c>
      <c r="I995" t="str">
        <f>IF(E995="","",IFERROR(VALUE(SUBSTITUTE('MSR RAW'!S995,",","")),0))</f>
        <v/>
      </c>
    </row>
    <row r="996" spans="1:9" ht="68.650000000000006" customHeight="1" x14ac:dyDescent="0.2">
      <c r="A996">
        <v>996</v>
      </c>
      <c r="B996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96" t="str">
        <f>IF(LEFT(TRIM('MSR RAW'!A996),11)="Department:",TRIM('MSR RAW'!A996),C995)</f>
        <v>Department: 36637 - SPECIALTY CONCESSIONS (VENDING)</v>
      </c>
      <c r="D996" t="str">
        <f>IF(LEFT(TRIM('MSR RAW'!B996),9)="Location:",TRIM(MID('MSR RAW'!B996,10,999)),D995)</f>
        <v>FB 155 - SUB ISLAND NOODLES</v>
      </c>
      <c r="E996" t="str">
        <f>IF(AND(ISNUMBER(SEARCH(" - ",TRIM('MSR RAW'!C996))),RIGHT(TRIM('MSR RAW'!C996),6)="Total:"),LEFT(TRIM('MSR RAW'!C996),SEARCH(" - ",TRIM('MSR RAW'!C996))-1),"")</f>
        <v/>
      </c>
      <c r="F996" t="str">
        <f>IF(E996="","",TRIM(MID(TRIM('MSR RAW'!C996),SEARCH(" - ",TRIM('MSR RAW'!C996))+3,LEN(TRIM('MSR RAW'!C996))-SEARCH(" - ",TRIM('MSR RAW'!C996))-9)))</f>
        <v/>
      </c>
      <c r="G996" t="str">
        <f>IF(E996="","",IFERROR(VLOOKUP(E996,'CATEGORY MAP'!$A$2:$B$20,2,FALSE()),"REVIEW"))</f>
        <v/>
      </c>
      <c r="H996" t="str">
        <f>IF(E996="","",IFERROR(VALUE(SUBSTITUTE('MSR RAW'!P996,",","")),0))</f>
        <v/>
      </c>
      <c r="I996" t="str">
        <f>IF(E996="","",IFERROR(VALUE(SUBSTITUTE('MSR RAW'!S996,",","")),0))</f>
        <v/>
      </c>
    </row>
    <row r="997" spans="1:9" ht="68.650000000000006" customHeight="1" x14ac:dyDescent="0.2">
      <c r="A997">
        <v>997</v>
      </c>
      <c r="B997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97" t="str">
        <f>IF(LEFT(TRIM('MSR RAW'!A997),11)="Department:",TRIM('MSR RAW'!A997),C996)</f>
        <v>Department: 36637 - SPECIALTY CONCESSIONS (VENDING)</v>
      </c>
      <c r="D997" t="str">
        <f>IF(LEFT(TRIM('MSR RAW'!B997),9)="Location:",TRIM(MID('MSR RAW'!B997,10,999)),D996)</f>
        <v>FB 155 - SUB ISLAND NOODLES</v>
      </c>
      <c r="E997" t="str">
        <f>IF(AND(ISNUMBER(SEARCH(" - ",TRIM('MSR RAW'!C997))),RIGHT(TRIM('MSR RAW'!C997),6)="Total:"),LEFT(TRIM('MSR RAW'!C997),SEARCH(" - ",TRIM('MSR RAW'!C997))-1),"")</f>
        <v/>
      </c>
      <c r="F997" t="str">
        <f>IF(E997="","",TRIM(MID(TRIM('MSR RAW'!C997),SEARCH(" - ",TRIM('MSR RAW'!C997))+3,LEN(TRIM('MSR RAW'!C997))-SEARCH(" - ",TRIM('MSR RAW'!C997))-9)))</f>
        <v/>
      </c>
      <c r="G997" t="str">
        <f>IF(E997="","",IFERROR(VLOOKUP(E997,'CATEGORY MAP'!$A$2:$B$20,2,FALSE()),"REVIEW"))</f>
        <v/>
      </c>
      <c r="H997" t="str">
        <f>IF(E997="","",IFERROR(VALUE(SUBSTITUTE('MSR RAW'!P997,",","")),0))</f>
        <v/>
      </c>
      <c r="I997" t="str">
        <f>IF(E997="","",IFERROR(VALUE(SUBSTITUTE('MSR RAW'!S997,",","")),0))</f>
        <v/>
      </c>
    </row>
    <row r="998" spans="1:9" ht="68.650000000000006" customHeight="1" x14ac:dyDescent="0.2">
      <c r="A998">
        <v>998</v>
      </c>
      <c r="B998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98" t="str">
        <f>IF(LEFT(TRIM('MSR RAW'!A998),11)="Department:",TRIM('MSR RAW'!A998),C997)</f>
        <v>Department: 36637 - SPECIALTY CONCESSIONS (VENDING)</v>
      </c>
      <c r="D998" t="str">
        <f>IF(LEFT(TRIM('MSR RAW'!B998),9)="Location:",TRIM(MID('MSR RAW'!B998,10,999)),D997)</f>
        <v>FB 155 - SUB ISLAND NOODLES</v>
      </c>
      <c r="E998" t="str">
        <f>IF(AND(ISNUMBER(SEARCH(" - ",TRIM('MSR RAW'!C998))),RIGHT(TRIM('MSR RAW'!C998),6)="Total:"),LEFT(TRIM('MSR RAW'!C998),SEARCH(" - ",TRIM('MSR RAW'!C998))-1),"")</f>
        <v/>
      </c>
      <c r="F998" t="str">
        <f>IF(E998="","",TRIM(MID(TRIM('MSR RAW'!C998),SEARCH(" - ",TRIM('MSR RAW'!C998))+3,LEN(TRIM('MSR RAW'!C998))-SEARCH(" - ",TRIM('MSR RAW'!C998))-9)))</f>
        <v/>
      </c>
      <c r="G998" t="str">
        <f>IF(E998="","",IFERROR(VLOOKUP(E998,'CATEGORY MAP'!$A$2:$B$20,2,FALSE()),"REVIEW"))</f>
        <v/>
      </c>
      <c r="H998" t="str">
        <f>IF(E998="","",IFERROR(VALUE(SUBSTITUTE('MSR RAW'!P998,",","")),0))</f>
        <v/>
      </c>
      <c r="I998" t="str">
        <f>IF(E998="","",IFERROR(VALUE(SUBSTITUTE('MSR RAW'!S998,",","")),0))</f>
        <v/>
      </c>
    </row>
    <row r="999" spans="1:9" ht="68.650000000000006" customHeight="1" x14ac:dyDescent="0.2">
      <c r="A999">
        <v>999</v>
      </c>
      <c r="B999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99" t="str">
        <f>IF(LEFT(TRIM('MSR RAW'!A999),11)="Department:",TRIM('MSR RAW'!A999),C998)</f>
        <v>Department: 36637 - SPECIALTY CONCESSIONS (VENDING)</v>
      </c>
      <c r="D999" t="str">
        <f>IF(LEFT(TRIM('MSR RAW'!B999),9)="Location:",TRIM(MID('MSR RAW'!B999,10,999)),D998)</f>
        <v>FB 155 - SUB ISLAND NOODLES</v>
      </c>
      <c r="E999" t="str">
        <f>IF(AND(ISNUMBER(SEARCH(" - ",TRIM('MSR RAW'!C999))),RIGHT(TRIM('MSR RAW'!C999),6)="Total:"),LEFT(TRIM('MSR RAW'!C999),SEARCH(" - ",TRIM('MSR RAW'!C999))-1),"")</f>
        <v/>
      </c>
      <c r="F999" t="str">
        <f>IF(E999="","",TRIM(MID(TRIM('MSR RAW'!C999),SEARCH(" - ",TRIM('MSR RAW'!C999))+3,LEN(TRIM('MSR RAW'!C999))-SEARCH(" - ",TRIM('MSR RAW'!C999))-9)))</f>
        <v/>
      </c>
      <c r="G999" t="str">
        <f>IF(E999="","",IFERROR(VLOOKUP(E999,'CATEGORY MAP'!$A$2:$B$20,2,FALSE()),"REVIEW"))</f>
        <v/>
      </c>
      <c r="H999" t="str">
        <f>IF(E999="","",IFERROR(VALUE(SUBSTITUTE('MSR RAW'!P999,",","")),0))</f>
        <v/>
      </c>
      <c r="I999" t="str">
        <f>IF(E999="","",IFERROR(VALUE(SUBSTITUTE('MSR RAW'!S999,",","")),0))</f>
        <v/>
      </c>
    </row>
    <row r="1000" spans="1:9" ht="68.650000000000006" customHeight="1" x14ac:dyDescent="0.2">
      <c r="A1000">
        <v>1000</v>
      </c>
      <c r="B1000" s="30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000" t="str">
        <f>IF(LEFT(TRIM('MSR RAW'!A1000),11)="Department:",TRIM('MSR RAW'!A1000),C999)</f>
        <v>Department: 36637 - SPECIALTY CONCESSIONS (VENDING)</v>
      </c>
      <c r="D1000" t="str">
        <f>IF(LEFT(TRIM('MSR RAW'!B1000),9)="Location:",TRIM(MID('MSR RAW'!B1000,10,999)),D999)</f>
        <v>FB 155 - SUB ISLAND NOODLES</v>
      </c>
      <c r="E1000" t="str">
        <f>IF(AND(ISNUMBER(SEARCH(" - ",TRIM('MSR RAW'!C1000))),RIGHT(TRIM('MSR RAW'!C1000),6)="Total:"),LEFT(TRIM('MSR RAW'!C1000),SEARCH(" - ",TRIM('MSR RAW'!C1000))-1),"")</f>
        <v/>
      </c>
      <c r="F1000" t="str">
        <f>IF(E1000="","",TRIM(MID(TRIM('MSR RAW'!C1000),SEARCH(" - ",TRIM('MSR RAW'!C1000))+3,LEN(TRIM('MSR RAW'!C1000))-SEARCH(" - ",TRIM('MSR RAW'!C1000))-9)))</f>
        <v/>
      </c>
      <c r="G1000" t="str">
        <f>IF(E1000="","",IFERROR(VLOOKUP(E1000,'CATEGORY MAP'!$A$2:$B$20,2,FALSE()),"REVIEW"))</f>
        <v/>
      </c>
      <c r="H1000" t="str">
        <f>IF(E1000="","",IFERROR(VALUE(SUBSTITUTE('MSR RAW'!P1000,",","")),0))</f>
        <v/>
      </c>
      <c r="I1000" t="str">
        <f>IF(E1000="","",IFERROR(VALUE(SUBSTITUTE('MSR RAW'!S1000,",","")),0))</f>
        <v/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3"/>
  <sheetViews>
    <sheetView showGridLines="0" zoomScaleNormal="100" workbookViewId="0">
      <pane ySplit="12" topLeftCell="A13" activePane="bottomLeft" state="frozen"/>
      <selection pane="bottomLeft" activeCell="E35" sqref="E35"/>
    </sheetView>
  </sheetViews>
  <sheetFormatPr defaultColWidth="8.7109375" defaultRowHeight="15" customHeight="1" x14ac:dyDescent="0.2"/>
  <cols>
    <col min="1" max="1" width="14" customWidth="1"/>
    <col min="2" max="2" width="20" customWidth="1"/>
    <col min="3" max="3" width="14" customWidth="1"/>
    <col min="4" max="4" width="32" customWidth="1"/>
    <col min="5" max="5" width="38" customWidth="1"/>
    <col min="6" max="6" width="14" customWidth="1"/>
    <col min="7" max="7" width="16" customWidth="1"/>
    <col min="8" max="8" width="14" customWidth="1"/>
    <col min="9" max="9" width="18" customWidth="1"/>
    <col min="10" max="10" width="16" customWidth="1"/>
    <col min="11" max="11" width="22" customWidth="1"/>
    <col min="12" max="12" width="28" customWidth="1"/>
  </cols>
  <sheetData>
    <row r="1" spans="1:12" ht="17.45" customHeight="1" x14ac:dyDescent="0.25">
      <c r="A1" s="122" t="s">
        <v>837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</row>
    <row r="2" spans="1:12" ht="15" customHeight="1" x14ac:dyDescent="0.2">
      <c r="A2" s="106" t="s">
        <v>838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12.75" customHeight="1" x14ac:dyDescent="0.2"/>
    <row r="4" spans="1:12" ht="15" customHeight="1" x14ac:dyDescent="0.2">
      <c r="A4" s="48" t="s">
        <v>839</v>
      </c>
      <c r="B4" s="49">
        <v>0.1</v>
      </c>
      <c r="D4" s="29"/>
    </row>
    <row r="5" spans="1:12" ht="15" customHeight="1" x14ac:dyDescent="0.2">
      <c r="A5" s="48" t="s">
        <v>840</v>
      </c>
      <c r="B5" s="49">
        <v>0.08</v>
      </c>
      <c r="D5" s="29"/>
      <c r="E5" s="31"/>
    </row>
    <row r="6" spans="1:12" ht="15" customHeight="1" x14ac:dyDescent="0.2">
      <c r="A6" s="48" t="s">
        <v>841</v>
      </c>
      <c r="B6" s="31">
        <v>200</v>
      </c>
      <c r="D6" s="29"/>
      <c r="E6" s="31"/>
    </row>
    <row r="7" spans="1:12" ht="15" customHeight="1" x14ac:dyDescent="0.2">
      <c r="D7" s="29"/>
      <c r="E7" s="31"/>
    </row>
    <row r="8" spans="1:12" ht="15" customHeight="1" x14ac:dyDescent="0.2">
      <c r="A8" s="48" t="s">
        <v>842</v>
      </c>
      <c r="B8" t="s">
        <v>843</v>
      </c>
      <c r="D8" s="29"/>
      <c r="E8" s="31"/>
    </row>
    <row r="9" spans="1:12" ht="15" customHeight="1" x14ac:dyDescent="0.2">
      <c r="A9" s="48" t="s">
        <v>844</v>
      </c>
      <c r="B9" t="s">
        <v>845</v>
      </c>
      <c r="D9" s="29"/>
    </row>
    <row r="10" spans="1:12" ht="12.75" customHeight="1" x14ac:dyDescent="0.2">
      <c r="A10" s="48" t="s">
        <v>846</v>
      </c>
      <c r="B10" t="s">
        <v>847</v>
      </c>
    </row>
    <row r="11" spans="1:12" ht="15" customHeight="1" x14ac:dyDescent="0.2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</row>
    <row r="12" spans="1:12" ht="15" customHeight="1" x14ac:dyDescent="0.2">
      <c r="A12" s="38" t="s">
        <v>848</v>
      </c>
      <c r="B12" s="38" t="s">
        <v>60</v>
      </c>
      <c r="C12" s="38" t="s">
        <v>849</v>
      </c>
      <c r="D12" s="38" t="s">
        <v>850</v>
      </c>
      <c r="E12" s="50" t="s">
        <v>851</v>
      </c>
      <c r="F12" s="50" t="s">
        <v>852</v>
      </c>
      <c r="G12" s="50" t="s">
        <v>853</v>
      </c>
      <c r="H12" s="50" t="s">
        <v>854</v>
      </c>
      <c r="I12" s="50" t="s">
        <v>855</v>
      </c>
      <c r="J12" s="50" t="s">
        <v>856</v>
      </c>
      <c r="K12" s="50" t="s">
        <v>857</v>
      </c>
      <c r="L12" s="38" t="s">
        <v>858</v>
      </c>
    </row>
    <row r="13" spans="1:12" ht="15" customHeight="1" x14ac:dyDescent="0.2">
      <c r="A13" s="51">
        <f>IF('EVENT ASSIGNMENT'!A2="","",'EVENT ASSIGNMENT'!A2)</f>
        <v>46270</v>
      </c>
      <c r="B13" s="52" t="str">
        <f>IF('EVENT ASSIGNMENT'!F2="","",'EVENT ASSIGNMENT'!F2)</f>
        <v>ARVC</v>
      </c>
      <c r="C13" s="52" t="str">
        <f>IF('EVENT ASSIGNMENT'!C2="","",'EVENT ASSIGNMENT'!C2)</f>
        <v>FB 106</v>
      </c>
      <c r="D13" s="52" t="str">
        <f>IF('EVENT ASSIGNMENT'!D2="","",'EVENT ASSIGNMENT'!D2)</f>
        <v>RED RALLY NORTH EAST</v>
      </c>
      <c r="E13" s="53" t="str">
        <f>IF('EVENT ASSIGNMENT'!E2="","",'EVENT ASSIGNMENT'!E2)</f>
        <v>FB 106 - RED RALLY NORTH EAST</v>
      </c>
      <c r="F13" s="54">
        <f>IF('EVENT ASSIGNMENT'!G2="","",'EVENT ASSIGNMENT'!G2)</f>
        <v>1</v>
      </c>
      <c r="G13" s="53">
        <f>IF(E13="",0,SUMIFS('MSR DATA'!$I$2:$I$1001,'MSR DATA'!$D$2:$D$1001,E13))</f>
        <v>29393</v>
      </c>
      <c r="H13" s="53">
        <f>IF(E13="",0,SUMIFS('MSR DATA'!$I$2:$I$1001,'MSR DATA'!$D$2:$D$1001,E13,'MSR DATA'!$G$2:$G$1001,"ALCOHOL"))</f>
        <v>7101</v>
      </c>
      <c r="I13" s="53">
        <f t="shared" ref="I13:I44" si="0">G13-H13</f>
        <v>22292</v>
      </c>
      <c r="J13" s="53">
        <f t="shared" ref="J13:J44" si="1">G13*IF(F13="",0,F13)</f>
        <v>29393</v>
      </c>
      <c r="K13" s="53">
        <f t="shared" ref="K13:K44" si="2">I13*IF(F13="",0,F13)*$B$4+H13*IF(F13="",0,F13)*$B$5</f>
        <v>2797.28</v>
      </c>
      <c r="L13" s="52" t="str">
        <f t="shared" ref="L13:L44" si="3">IF(B13="","",IF(F13="","MISSING ALLOCATION",IF(ABS(SUMIFS($F$13:$F$112,$A$13:$A$112,A13,$C$13:$C$112,C13)-1)&gt;0.0001,"REVIEW LOCATION ALLOCATION",IF(G13=0,"NO MSR SALES","OK"))))</f>
        <v>OK</v>
      </c>
    </row>
    <row r="14" spans="1:12" ht="15" customHeight="1" x14ac:dyDescent="0.2">
      <c r="A14" s="51">
        <f>IF('EVENT ASSIGNMENT'!A3="","",'EVENT ASSIGNMENT'!A3)</f>
        <v>46270</v>
      </c>
      <c r="B14" s="52" t="str">
        <f>IF('EVENT ASSIGNMENT'!F3="","",'EVENT ASSIGNMENT'!F3)</f>
        <v>ARVC</v>
      </c>
      <c r="C14" s="52" t="str">
        <f>IF('EVENT ASSIGNMENT'!C3="","",'EVENT ASSIGNMENT'!C3)</f>
        <v>FB 113</v>
      </c>
      <c r="D14" s="52" t="str">
        <f>IF('EVENT ASSIGNMENT'!D3="","",'EVENT ASSIGNMENT'!D3)</f>
        <v>MBP  MINI MELTS (NW)</v>
      </c>
      <c r="E14" s="53" t="str">
        <f>IF('EVENT ASSIGNMENT'!E3="","",'EVENT ASSIGNMENT'!E3)</f>
        <v>FB 113 - MBP - MINI MELTS (NW)</v>
      </c>
      <c r="F14" s="54">
        <f>IF('EVENT ASSIGNMENT'!G3="","",'EVENT ASSIGNMENT'!G3)</f>
        <v>1</v>
      </c>
      <c r="G14" s="53">
        <f>IF(E14="",0,SUMIFS('MSR DATA'!$I$2:$I$1001,'MSR DATA'!$D$2:$D$1001,E14))</f>
        <v>1930</v>
      </c>
      <c r="H14" s="53">
        <f>IF(E14="",0,SUMIFS('MSR DATA'!$I$2:$I$1001,'MSR DATA'!$D$2:$D$1001,E14,'MSR DATA'!$G$2:$G$1001,"ALCOHOL"))</f>
        <v>0</v>
      </c>
      <c r="I14" s="53">
        <f t="shared" si="0"/>
        <v>1930</v>
      </c>
      <c r="J14" s="53">
        <f t="shared" si="1"/>
        <v>1930</v>
      </c>
      <c r="K14" s="53">
        <f t="shared" si="2"/>
        <v>193</v>
      </c>
      <c r="L14" s="52" t="str">
        <f t="shared" si="3"/>
        <v>OK</v>
      </c>
    </row>
    <row r="15" spans="1:12" ht="15" customHeight="1" x14ac:dyDescent="0.2">
      <c r="A15" s="51">
        <f>IF('EVENT ASSIGNMENT'!A4="","",'EVENT ASSIGNMENT'!A4)</f>
        <v>46270</v>
      </c>
      <c r="B15" s="52" t="str">
        <f>IF('EVENT ASSIGNMENT'!F4="","",'EVENT ASSIGNMENT'!F4)</f>
        <v>ARVC</v>
      </c>
      <c r="C15" s="52" t="str">
        <f>IF('EVENT ASSIGNMENT'!C4="","",'EVENT ASSIGNMENT'!C4)</f>
        <v>FB 113B</v>
      </c>
      <c r="D15" s="52" t="str">
        <f>IF('EVENT ASSIGNMENT'!D4="","",'EVENT ASSIGNMENT'!D4)</f>
        <v>MBP  MINI MELTS (NE)</v>
      </c>
      <c r="E15" s="53" t="str">
        <f>IF('EVENT ASSIGNMENT'!E4="","",'EVENT ASSIGNMENT'!E4)</f>
        <v>FB 113B - MBP - MINI MELTS (NE)</v>
      </c>
      <c r="F15" s="54">
        <f>IF('EVENT ASSIGNMENT'!G4="","",'EVENT ASSIGNMENT'!G4)</f>
        <v>1</v>
      </c>
      <c r="G15" s="53">
        <f>IF(E15="",0,SUMIFS('MSR DATA'!$I$2:$I$1001,'MSR DATA'!$D$2:$D$1001,E15))</f>
        <v>2330</v>
      </c>
      <c r="H15" s="53">
        <f>IF(E15="",0,SUMIFS('MSR DATA'!$I$2:$I$1001,'MSR DATA'!$D$2:$D$1001,E15,'MSR DATA'!$G$2:$G$1001,"ALCOHOL"))</f>
        <v>0</v>
      </c>
      <c r="I15" s="53">
        <f t="shared" si="0"/>
        <v>2330</v>
      </c>
      <c r="J15" s="53">
        <f t="shared" si="1"/>
        <v>2330</v>
      </c>
      <c r="K15" s="53">
        <f t="shared" si="2"/>
        <v>233</v>
      </c>
      <c r="L15" s="52" t="str">
        <f t="shared" si="3"/>
        <v>OK</v>
      </c>
    </row>
    <row r="16" spans="1:12" ht="15" customHeight="1" x14ac:dyDescent="0.2">
      <c r="A16" s="51">
        <f>IF('EVENT ASSIGNMENT'!A5="","",'EVENT ASSIGNMENT'!A5)</f>
        <v>46270</v>
      </c>
      <c r="B16" s="52" t="str">
        <f>IF('EVENT ASSIGNMENT'!F5="","",'EVENT ASSIGNMENT'!F5)</f>
        <v>ARVC</v>
      </c>
      <c r="C16" s="52" t="str">
        <f>IF('EVENT ASSIGNMENT'!C5="","",'EVENT ASSIGNMENT'!C5)</f>
        <v>FB 100B</v>
      </c>
      <c r="D16" s="52" t="str">
        <f>IF('EVENT ASSIGNMENT'!D5="","",'EVENT ASSIGNMENT'!D5)</f>
        <v>MBP TRAILER N CONCOURSE</v>
      </c>
      <c r="E16" s="53" t="str">
        <f>IF('EVENT ASSIGNMENT'!E5="","",'EVENT ASSIGNMENT'!E5)</f>
        <v>FB 100B - MBP TRAILER N CONCOURSE</v>
      </c>
      <c r="F16" s="54">
        <f>IF('EVENT ASSIGNMENT'!G5="","",'EVENT ASSIGNMENT'!G5)</f>
        <v>1</v>
      </c>
      <c r="G16" s="53">
        <f>IF(E16="",0,SUMIFS('MSR DATA'!$I$2:$I$1001,'MSR DATA'!$D$2:$D$1001,E16))</f>
        <v>7626</v>
      </c>
      <c r="H16" s="53">
        <f>IF(E16="",0,SUMIFS('MSR DATA'!$I$2:$I$1001,'MSR DATA'!$D$2:$D$1001,E16,'MSR DATA'!$G$2:$G$1001,"ALCOHOL"))</f>
        <v>6938</v>
      </c>
      <c r="I16" s="53">
        <f t="shared" si="0"/>
        <v>688</v>
      </c>
      <c r="J16" s="53">
        <f t="shared" si="1"/>
        <v>7626</v>
      </c>
      <c r="K16" s="53">
        <f t="shared" si="2"/>
        <v>623.83999999999992</v>
      </c>
      <c r="L16" s="52" t="str">
        <f t="shared" si="3"/>
        <v>OK</v>
      </c>
    </row>
    <row r="17" spans="1:12" ht="15" customHeight="1" x14ac:dyDescent="0.2">
      <c r="A17" s="51">
        <f>IF('EVENT ASSIGNMENT'!A6="","",'EVENT ASSIGNMENT'!A6)</f>
        <v>46270</v>
      </c>
      <c r="B17" s="52" t="str">
        <f>IF('EVENT ASSIGNMENT'!F6="","",'EVENT ASSIGNMENT'!F6)</f>
        <v>ARVC</v>
      </c>
      <c r="C17" s="52" t="str">
        <f>IF('EVENT ASSIGNMENT'!C6="","",'EVENT ASSIGNMENT'!C6)</f>
        <v>FB 107</v>
      </c>
      <c r="D17" s="52" t="str">
        <f>IF('EVENT ASSIGNMENT'!D6="","",'EVENT ASSIGNMENT'!D6)</f>
        <v>NE SPECIALTY DAWG O.G.</v>
      </c>
      <c r="E17" s="53" t="str">
        <f>IF('EVENT ASSIGNMENT'!E6="","",'EVENT ASSIGNMENT'!E6)</f>
        <v>FB 107 - NE SPECIALTY - DAWG HOUSE</v>
      </c>
      <c r="F17" s="54">
        <f>IF('EVENT ASSIGNMENT'!G6="","",'EVENT ASSIGNMENT'!G6)</f>
        <v>1</v>
      </c>
      <c r="G17" s="53">
        <f>IF(E17="",0,SUMIFS('MSR DATA'!$I$2:$I$1001,'MSR DATA'!$D$2:$D$1001,E17))</f>
        <v>6745</v>
      </c>
      <c r="H17" s="53">
        <f>IF(E17="",0,SUMIFS('MSR DATA'!$I$2:$I$1001,'MSR DATA'!$D$2:$D$1001,E17,'MSR DATA'!$G$2:$G$1001,"ALCOHOL"))</f>
        <v>1740</v>
      </c>
      <c r="I17" s="53">
        <f t="shared" si="0"/>
        <v>5005</v>
      </c>
      <c r="J17" s="53">
        <f t="shared" si="1"/>
        <v>6745</v>
      </c>
      <c r="K17" s="53">
        <f t="shared" si="2"/>
        <v>639.70000000000005</v>
      </c>
      <c r="L17" s="52" t="str">
        <f t="shared" si="3"/>
        <v>OK</v>
      </c>
    </row>
    <row r="18" spans="1:12" ht="15" customHeight="1" x14ac:dyDescent="0.2">
      <c r="A18" s="51">
        <f>IF('EVENT ASSIGNMENT'!A7="","",'EVENT ASSIGNMENT'!A7)</f>
        <v>46270</v>
      </c>
      <c r="B18" s="52" t="str">
        <f>IF('EVENT ASSIGNMENT'!F7="","",'EVENT ASSIGNMENT'!F7)</f>
        <v>AIRFORCE</v>
      </c>
      <c r="C18" s="52" t="str">
        <f>IF('EVENT ASSIGNMENT'!C7="","",'EVENT ASSIGNMENT'!C7)</f>
        <v>PIT 104</v>
      </c>
      <c r="D18" s="52" t="str">
        <f>IF('EVENT ASSIGNMENT'!D7="","",'EVENT ASSIGNMENT'!D7)</f>
        <v>BURQUE BREWS (W)</v>
      </c>
      <c r="E18" s="53" t="str">
        <f>IF('EVENT ASSIGNMENT'!E7="","",'EVENT ASSIGNMENT'!E7)</f>
        <v>PIT 104 - BURQUE BREWS (W)</v>
      </c>
      <c r="F18" s="54">
        <f>IF('EVENT ASSIGNMENT'!G7="","",'EVENT ASSIGNMENT'!G7)</f>
        <v>1</v>
      </c>
      <c r="G18" s="53">
        <f>IF(E18="",0,SUMIFS('MSR DATA'!$I$2:$I$1001,'MSR DATA'!$D$2:$D$1001,E18))</f>
        <v>0</v>
      </c>
      <c r="H18" s="53">
        <f>IF(E18="",0,SUMIFS('MSR DATA'!$I$2:$I$1001,'MSR DATA'!$D$2:$D$1001,E18,'MSR DATA'!$G$2:$G$1001,"ALCOHOL"))</f>
        <v>0</v>
      </c>
      <c r="I18" s="53">
        <f t="shared" si="0"/>
        <v>0</v>
      </c>
      <c r="J18" s="53">
        <f t="shared" si="1"/>
        <v>0</v>
      </c>
      <c r="K18" s="53">
        <f t="shared" si="2"/>
        <v>0</v>
      </c>
      <c r="L18" s="52" t="str">
        <f t="shared" si="3"/>
        <v>NO MSR SALES</v>
      </c>
    </row>
    <row r="19" spans="1:12" ht="15" customHeight="1" x14ac:dyDescent="0.2">
      <c r="A19" s="51">
        <f>IF('EVENT ASSIGNMENT'!A8="","",'EVENT ASSIGNMENT'!A8)</f>
        <v>46270</v>
      </c>
      <c r="B19" s="52" t="str">
        <f>IF('EVENT ASSIGNMENT'!F8="","",'EVENT ASSIGNMENT'!F8)</f>
        <v>UNITED FIT</v>
      </c>
      <c r="C19" s="52" t="str">
        <f>IF('EVENT ASSIGNMENT'!C8="","",'EVENT ASSIGNMENT'!C8)</f>
        <v>PIT 108</v>
      </c>
      <c r="D19" s="52" t="str">
        <f>IF('EVENT ASSIGNMENT'!D8="","",'EVENT ASSIGNMENT'!D8)</f>
        <v>HOOP &amp; GO (J)</v>
      </c>
      <c r="E19" s="53" t="str">
        <f>IF('EVENT ASSIGNMENT'!E8="","",'EVENT ASSIGNMENT'!E8)</f>
        <v>PIT 108 - HOOP &amp; GO (J)</v>
      </c>
      <c r="F19" s="54">
        <f>IF('EVENT ASSIGNMENT'!G8="","",'EVENT ASSIGNMENT'!G8)</f>
        <v>1</v>
      </c>
      <c r="G19" s="53">
        <f>IF(E19="",0,SUMIFS('MSR DATA'!$I$2:$I$1001,'MSR DATA'!$D$2:$D$1001,E19))</f>
        <v>0</v>
      </c>
      <c r="H19" s="53">
        <f>IF(E19="",0,SUMIFS('MSR DATA'!$I$2:$I$1001,'MSR DATA'!$D$2:$D$1001,E19,'MSR DATA'!$G$2:$G$1001,"ALCOHOL"))</f>
        <v>0</v>
      </c>
      <c r="I19" s="53">
        <f t="shared" si="0"/>
        <v>0</v>
      </c>
      <c r="J19" s="53">
        <f t="shared" si="1"/>
        <v>0</v>
      </c>
      <c r="K19" s="53">
        <f t="shared" si="2"/>
        <v>0</v>
      </c>
      <c r="L19" s="52" t="str">
        <f t="shared" si="3"/>
        <v>NO MSR SALES</v>
      </c>
    </row>
    <row r="20" spans="1:12" ht="15" customHeight="1" x14ac:dyDescent="0.2">
      <c r="A20" s="51">
        <f>IF('EVENT ASSIGNMENT'!A9="","",'EVENT ASSIGNMENT'!A9)</f>
        <v>46270</v>
      </c>
      <c r="B20" s="52" t="str">
        <f>IF('EVENT ASSIGNMENT'!F9="","",'EVENT ASSIGNMENT'!F9)</f>
        <v>DCVA</v>
      </c>
      <c r="C20" s="52" t="str">
        <f>IF('EVENT ASSIGNMENT'!C9="","",'EVENT ASSIGNMENT'!C9)</f>
        <v>PIT 106</v>
      </c>
      <c r="D20" s="52" t="str">
        <f>IF('EVENT ASSIGNMENT'!D9="","",'EVENT ASSIGNMENT'!D9)</f>
        <v>LOUIE'S DAWG HOUSE (C)</v>
      </c>
      <c r="E20" s="53" t="str">
        <f>IF('EVENT ASSIGNMENT'!E9="","",'EVENT ASSIGNMENT'!E9)</f>
        <v>PIT 106 - LOUIE'S DAWG HOUSE (C)</v>
      </c>
      <c r="F20" s="54">
        <f>IF('EVENT ASSIGNMENT'!G9="","",'EVENT ASSIGNMENT'!G9)</f>
        <v>1</v>
      </c>
      <c r="G20" s="53">
        <f>IF(E20="",0,SUMIFS('MSR DATA'!$I$2:$I$1001,'MSR DATA'!$D$2:$D$1001,E20))</f>
        <v>0</v>
      </c>
      <c r="H20" s="53">
        <f>IF(E20="",0,SUMIFS('MSR DATA'!$I$2:$I$1001,'MSR DATA'!$D$2:$D$1001,E20,'MSR DATA'!$G$2:$G$1001,"ALCOHOL"))</f>
        <v>0</v>
      </c>
      <c r="I20" s="53">
        <f t="shared" si="0"/>
        <v>0</v>
      </c>
      <c r="J20" s="53">
        <f t="shared" si="1"/>
        <v>0</v>
      </c>
      <c r="K20" s="53">
        <f t="shared" si="2"/>
        <v>0</v>
      </c>
      <c r="L20" s="52" t="str">
        <f t="shared" si="3"/>
        <v>NO MSR SALES</v>
      </c>
    </row>
    <row r="21" spans="1:12" ht="15" customHeight="1" x14ac:dyDescent="0.2">
      <c r="A21" s="51">
        <f>IF('EVENT ASSIGNMENT'!A10="","",'EVENT ASSIGNMENT'!A10)</f>
        <v>46270</v>
      </c>
      <c r="B21" s="52" t="str">
        <f>IF('EVENT ASSIGNMENT'!F10="","",'EVENT ASSIGNMENT'!F10)</f>
        <v>DCVA</v>
      </c>
      <c r="C21" s="52" t="str">
        <f>IF('EVENT ASSIGNMENT'!C10="","",'EVENT ASSIGNMENT'!C10)</f>
        <v>PIT 109</v>
      </c>
      <c r="D21" s="52" t="str">
        <f>IF('EVENT ASSIGNMENT'!D10="","",'EVENT ASSIGNMENT'!D10)</f>
        <v>ALLEYOOP (L)</v>
      </c>
      <c r="E21" s="53" t="str">
        <f>IF('EVENT ASSIGNMENT'!E10="","",'EVENT ASSIGNMENT'!E10)</f>
        <v>PIT 109 - ALLEYOOP (L)</v>
      </c>
      <c r="F21" s="54">
        <f>IF('EVENT ASSIGNMENT'!G10="","",'EVENT ASSIGNMENT'!G10)</f>
        <v>1</v>
      </c>
      <c r="G21" s="53">
        <f>IF(E21="",0,SUMIFS('MSR DATA'!$I$2:$I$1001,'MSR DATA'!$D$2:$D$1001,E21))</f>
        <v>0</v>
      </c>
      <c r="H21" s="53">
        <f>IF(E21="",0,SUMIFS('MSR DATA'!$I$2:$I$1001,'MSR DATA'!$D$2:$D$1001,E21,'MSR DATA'!$G$2:$G$1001,"ALCOHOL"))</f>
        <v>0</v>
      </c>
      <c r="I21" s="53">
        <f t="shared" si="0"/>
        <v>0</v>
      </c>
      <c r="J21" s="53">
        <f t="shared" si="1"/>
        <v>0</v>
      </c>
      <c r="K21" s="53">
        <f t="shared" si="2"/>
        <v>0</v>
      </c>
      <c r="L21" s="52" t="str">
        <f t="shared" si="3"/>
        <v>NO MSR SALES</v>
      </c>
    </row>
    <row r="22" spans="1:12" ht="15" customHeight="1" x14ac:dyDescent="0.2">
      <c r="A22" s="51">
        <f>IF('EVENT ASSIGNMENT'!A11="","",'EVENT ASSIGNMENT'!A11)</f>
        <v>46270</v>
      </c>
      <c r="B22" s="52" t="str">
        <f>IF('EVENT ASSIGNMENT'!F11="","",'EVENT ASSIGNMENT'!F11)</f>
        <v>DEL N CHEER</v>
      </c>
      <c r="C22" s="52" t="str">
        <f>IF('EVENT ASSIGNMENT'!C11="","",'EVENT ASSIGNMENT'!C11)</f>
        <v>PIT 101</v>
      </c>
      <c r="D22" s="52" t="str">
        <f>IF('EVENT ASSIGNMENT'!D11="","",'EVENT ASSIGNMENT'!D11)</f>
        <v>A - POP &amp; POUR</v>
      </c>
      <c r="E22" s="53" t="str">
        <f>IF('EVENT ASSIGNMENT'!E11="","",'EVENT ASSIGNMENT'!E11)</f>
        <v>PIT 101 - A - POP &amp; POUR</v>
      </c>
      <c r="F22" s="54">
        <f>IF('EVENT ASSIGNMENT'!G11="","",'EVENT ASSIGNMENT'!G11)</f>
        <v>1</v>
      </c>
      <c r="G22" s="53">
        <f>IF(E22="",0,SUMIFS('MSR DATA'!$I$2:$I$1001,'MSR DATA'!$D$2:$D$1001,E22))</f>
        <v>0</v>
      </c>
      <c r="H22" s="53">
        <f>IF(E22="",0,SUMIFS('MSR DATA'!$I$2:$I$1001,'MSR DATA'!$D$2:$D$1001,E22,'MSR DATA'!$G$2:$G$1001,"ALCOHOL"))</f>
        <v>0</v>
      </c>
      <c r="I22" s="53">
        <f t="shared" si="0"/>
        <v>0</v>
      </c>
      <c r="J22" s="53">
        <f t="shared" si="1"/>
        <v>0</v>
      </c>
      <c r="K22" s="53">
        <f t="shared" si="2"/>
        <v>0</v>
      </c>
      <c r="L22" s="52" t="str">
        <f t="shared" si="3"/>
        <v>REVIEW LOCATION ALLOCATION</v>
      </c>
    </row>
    <row r="23" spans="1:12" ht="15" customHeight="1" x14ac:dyDescent="0.2">
      <c r="A23" s="51">
        <f>IF('EVENT ASSIGNMENT'!A12="","",'EVENT ASSIGNMENT'!A12)</f>
        <v>46270</v>
      </c>
      <c r="B23" s="52" t="str">
        <f>IF('EVENT ASSIGNMENT'!F12="","",'EVENT ASSIGNMENT'!F12)</f>
        <v>DEL N CHEER</v>
      </c>
      <c r="C23" s="52" t="str">
        <f>IF('EVENT ASSIGNMENT'!C12="","",'EVENT ASSIGNMENT'!C12)</f>
        <v>PIT 101</v>
      </c>
      <c r="D23" s="52" t="str">
        <f>IF('EVENT ASSIGNMENT'!D12="","",'EVENT ASSIGNMENT'!D12)</f>
        <v>A - POP &amp; POUR</v>
      </c>
      <c r="E23" s="53" t="str">
        <f>IF('EVENT ASSIGNMENT'!E12="","",'EVENT ASSIGNMENT'!E12)</f>
        <v>PIT 101 - B - NACHOMAMA</v>
      </c>
      <c r="F23" s="54">
        <f>IF('EVENT ASSIGNMENT'!G12="","",'EVENT ASSIGNMENT'!G12)</f>
        <v>1</v>
      </c>
      <c r="G23" s="53">
        <f>IF(E23="",0,SUMIFS('MSR DATA'!$I$2:$I$1001,'MSR DATA'!$D$2:$D$1001,E23))</f>
        <v>0</v>
      </c>
      <c r="H23" s="53">
        <f>IF(E23="",0,SUMIFS('MSR DATA'!$I$2:$I$1001,'MSR DATA'!$D$2:$D$1001,E23,'MSR DATA'!$G$2:$G$1001,"ALCOHOL"))</f>
        <v>0</v>
      </c>
      <c r="I23" s="53">
        <f t="shared" si="0"/>
        <v>0</v>
      </c>
      <c r="J23" s="53">
        <f t="shared" si="1"/>
        <v>0</v>
      </c>
      <c r="K23" s="53">
        <f t="shared" si="2"/>
        <v>0</v>
      </c>
      <c r="L23" s="52" t="str">
        <f t="shared" si="3"/>
        <v>REVIEW LOCATION ALLOCATION</v>
      </c>
    </row>
    <row r="24" spans="1:12" ht="15" customHeight="1" x14ac:dyDescent="0.2">
      <c r="A24" s="51">
        <f>IF('EVENT ASSIGNMENT'!A13="","",'EVENT ASSIGNMENT'!A13)</f>
        <v>46270</v>
      </c>
      <c r="B24" s="52" t="str">
        <f>IF('EVENT ASSIGNMENT'!F13="","",'EVENT ASSIGNMENT'!F13)</f>
        <v>RIO GRANDE RGHS</v>
      </c>
      <c r="C24" s="52" t="str">
        <f>IF('EVENT ASSIGNMENT'!C13="","",'EVENT ASSIGNMENT'!C13)</f>
        <v>PIT 110</v>
      </c>
      <c r="D24" s="52" t="str">
        <f>IF('EVENT ASSIGNMENT'!D13="","",'EVENT ASSIGNMENT'!D13)</f>
        <v>PAPITAS (M)</v>
      </c>
      <c r="E24" s="53" t="str">
        <f>IF('EVENT ASSIGNMENT'!E13="","",'EVENT ASSIGNMENT'!E13)</f>
        <v>PIT 110 - PAPITAS (M)</v>
      </c>
      <c r="F24" s="54">
        <f>IF('EVENT ASSIGNMENT'!G13="","",'EVENT ASSIGNMENT'!G13)</f>
        <v>1</v>
      </c>
      <c r="G24" s="53">
        <f>IF(E24="",0,SUMIFS('MSR DATA'!$I$2:$I$1001,'MSR DATA'!$D$2:$D$1001,E24))</f>
        <v>0</v>
      </c>
      <c r="H24" s="53">
        <f>IF(E24="",0,SUMIFS('MSR DATA'!$I$2:$I$1001,'MSR DATA'!$D$2:$D$1001,E24,'MSR DATA'!$G$2:$G$1001,"ALCOHOL"))</f>
        <v>0</v>
      </c>
      <c r="I24" s="53">
        <f t="shared" si="0"/>
        <v>0</v>
      </c>
      <c r="J24" s="53">
        <f t="shared" si="1"/>
        <v>0</v>
      </c>
      <c r="K24" s="53">
        <f t="shared" si="2"/>
        <v>0</v>
      </c>
      <c r="L24" s="52" t="str">
        <f t="shared" si="3"/>
        <v>NO MSR SALES</v>
      </c>
    </row>
    <row r="25" spans="1:12" ht="15" customHeight="1" x14ac:dyDescent="0.2">
      <c r="A25" s="55">
        <f>IF('EVENT ASSIGNMENT'!A14="","",'EVENT ASSIGNMENT'!A14)</f>
        <v>46270</v>
      </c>
      <c r="B25" s="56" t="str">
        <f>IF('EVENT ASSIGNMENT'!F14="","",'EVENT ASSIGNMENT'!F14)</f>
        <v>VICTORY OUTREACH</v>
      </c>
      <c r="C25" s="56" t="str">
        <f>IF('EVENT ASSIGNMENT'!C14="","",'EVENT ASSIGNMENT'!C14)</f>
        <v>FB 100</v>
      </c>
      <c r="D25" s="56" t="str">
        <f>IF('EVENT ASSIGNMENT'!D14="","",'EVENT ASSIGNMENT'!D14)</f>
        <v>TRAILER N CONCOURSE</v>
      </c>
      <c r="E25" s="57" t="str">
        <f>IF('EVENT ASSIGNMENT'!E14="","",'EVENT ASSIGNMENT'!E14)</f>
        <v>FB 100 - TRAILER N CONCOURSE</v>
      </c>
      <c r="F25" s="58">
        <f>IF('EVENT ASSIGNMENT'!G14="","",'EVENT ASSIGNMENT'!G14)</f>
        <v>1</v>
      </c>
      <c r="G25" s="57">
        <f>IF(E25="",0,SUMIFS('MSR DATA'!$I$2:$I$1001,'MSR DATA'!$D$2:$D$1001,E25))</f>
        <v>6694.5</v>
      </c>
      <c r="H25" s="57">
        <f>IF(E25="",0,SUMIFS('MSR DATA'!$I$2:$I$1001,'MSR DATA'!$D$2:$D$1001,E25,'MSR DATA'!$G$2:$G$1001,"ALCOHOL"))</f>
        <v>1316.5</v>
      </c>
      <c r="I25" s="57">
        <f t="shared" si="0"/>
        <v>5378</v>
      </c>
      <c r="J25" s="57">
        <f t="shared" si="1"/>
        <v>6694.5</v>
      </c>
      <c r="K25" s="57">
        <f t="shared" si="2"/>
        <v>643.12000000000012</v>
      </c>
      <c r="L25" s="56" t="str">
        <f t="shared" si="3"/>
        <v>OK</v>
      </c>
    </row>
    <row r="26" spans="1:12" ht="12.75" customHeight="1" x14ac:dyDescent="0.2">
      <c r="A26" s="51" t="str">
        <f>IF('EVENT ASSIGNMENT'!A15="","",'EVENT ASSIGNMENT'!A15)</f>
        <v/>
      </c>
      <c r="B26" s="52" t="str">
        <f>IF('EVENT ASSIGNMENT'!F15="","",'EVENT ASSIGNMENT'!F15)</f>
        <v/>
      </c>
      <c r="C26" s="52" t="str">
        <f>IF('EVENT ASSIGNMENT'!C15="","",'EVENT ASSIGNMENT'!C15)</f>
        <v/>
      </c>
      <c r="D26" s="52" t="str">
        <f>IF('EVENT ASSIGNMENT'!D15="","",'EVENT ASSIGNMENT'!D15)</f>
        <v/>
      </c>
      <c r="E26" s="52" t="str">
        <f>IF('EVENT ASSIGNMENT'!E15="","",'EVENT ASSIGNMENT'!E15)</f>
        <v/>
      </c>
      <c r="F26" s="54" t="str">
        <f>IF('EVENT ASSIGNMENT'!G15="","",'EVENT ASSIGNMENT'!G15)</f>
        <v/>
      </c>
      <c r="G26" s="53">
        <f>IF(E26="",0,SUMIFS('MSR DATA'!$I$2:$I$1001,'MSR DATA'!$D$2:$D$1001,E26))</f>
        <v>0</v>
      </c>
      <c r="H26" s="53">
        <f>IF(E26="",0,SUMIFS('MSR DATA'!$I$2:$I$1001,'MSR DATA'!$D$2:$D$1001,E26,'MSR DATA'!$G$2:$G$1001,"ALCOHOL"))</f>
        <v>0</v>
      </c>
      <c r="I26" s="53">
        <f t="shared" si="0"/>
        <v>0</v>
      </c>
      <c r="J26" s="53">
        <f t="shared" si="1"/>
        <v>0</v>
      </c>
      <c r="K26" s="53">
        <f t="shared" si="2"/>
        <v>0</v>
      </c>
      <c r="L26" s="52" t="str">
        <f t="shared" si="3"/>
        <v/>
      </c>
    </row>
    <row r="27" spans="1:12" ht="12.75" customHeight="1" x14ac:dyDescent="0.2">
      <c r="A27" s="51" t="str">
        <f>IF('EVENT ASSIGNMENT'!A16="","",'EVENT ASSIGNMENT'!A16)</f>
        <v/>
      </c>
      <c r="B27" s="52" t="str">
        <f>IF('EVENT ASSIGNMENT'!F16="","",'EVENT ASSIGNMENT'!F16)</f>
        <v/>
      </c>
      <c r="C27" s="52" t="str">
        <f>IF('EVENT ASSIGNMENT'!C16="","",'EVENT ASSIGNMENT'!C16)</f>
        <v/>
      </c>
      <c r="D27" s="52" t="str">
        <f>IF('EVENT ASSIGNMENT'!D16="","",'EVENT ASSIGNMENT'!D16)</f>
        <v/>
      </c>
      <c r="E27" s="52" t="str">
        <f>IF('EVENT ASSIGNMENT'!E16="","",'EVENT ASSIGNMENT'!E16)</f>
        <v/>
      </c>
      <c r="F27" s="54" t="str">
        <f>IF('EVENT ASSIGNMENT'!G16="","",'EVENT ASSIGNMENT'!G16)</f>
        <v/>
      </c>
      <c r="G27" s="53">
        <f>IF(E27="",0,SUMIFS('MSR DATA'!$I$2:$I$1001,'MSR DATA'!$D$2:$D$1001,E27))</f>
        <v>0</v>
      </c>
      <c r="H27" s="53">
        <f>IF(E27="",0,SUMIFS('MSR DATA'!$I$2:$I$1001,'MSR DATA'!$D$2:$D$1001,E27,'MSR DATA'!$G$2:$G$1001,"ALCOHOL"))</f>
        <v>0</v>
      </c>
      <c r="I27" s="53">
        <f t="shared" si="0"/>
        <v>0</v>
      </c>
      <c r="J27" s="53">
        <f t="shared" si="1"/>
        <v>0</v>
      </c>
      <c r="K27" s="53">
        <f t="shared" si="2"/>
        <v>0</v>
      </c>
      <c r="L27" s="52" t="str">
        <f t="shared" si="3"/>
        <v/>
      </c>
    </row>
    <row r="28" spans="1:12" ht="12.75" customHeight="1" x14ac:dyDescent="0.2">
      <c r="A28" s="51" t="str">
        <f>IF('EVENT ASSIGNMENT'!A17="","",'EVENT ASSIGNMENT'!A17)</f>
        <v/>
      </c>
      <c r="B28" s="52" t="str">
        <f>IF('EVENT ASSIGNMENT'!F17="","",'EVENT ASSIGNMENT'!F17)</f>
        <v/>
      </c>
      <c r="C28" s="52" t="str">
        <f>IF('EVENT ASSIGNMENT'!C17="","",'EVENT ASSIGNMENT'!C17)</f>
        <v/>
      </c>
      <c r="D28" s="52" t="str">
        <f>IF('EVENT ASSIGNMENT'!D17="","",'EVENT ASSIGNMENT'!D17)</f>
        <v/>
      </c>
      <c r="E28" s="52" t="str">
        <f>IF('EVENT ASSIGNMENT'!E17="","",'EVENT ASSIGNMENT'!E17)</f>
        <v/>
      </c>
      <c r="F28" s="54" t="str">
        <f>IF('EVENT ASSIGNMENT'!G17="","",'EVENT ASSIGNMENT'!G17)</f>
        <v/>
      </c>
      <c r="G28" s="53">
        <f>IF(E28="",0,SUMIFS('MSR DATA'!$I$2:$I$1001,'MSR DATA'!$D$2:$D$1001,E28))</f>
        <v>0</v>
      </c>
      <c r="H28" s="53">
        <f>IF(E28="",0,SUMIFS('MSR DATA'!$I$2:$I$1001,'MSR DATA'!$D$2:$D$1001,E28,'MSR DATA'!$G$2:$G$1001,"ALCOHOL"))</f>
        <v>0</v>
      </c>
      <c r="I28" s="53">
        <f t="shared" si="0"/>
        <v>0</v>
      </c>
      <c r="J28" s="53">
        <f t="shared" si="1"/>
        <v>0</v>
      </c>
      <c r="K28" s="53">
        <f t="shared" si="2"/>
        <v>0</v>
      </c>
      <c r="L28" s="52" t="str">
        <f t="shared" si="3"/>
        <v/>
      </c>
    </row>
    <row r="29" spans="1:12" ht="12.75" customHeight="1" x14ac:dyDescent="0.2">
      <c r="A29" s="51" t="str">
        <f>IF('EVENT ASSIGNMENT'!A18="","",'EVENT ASSIGNMENT'!A18)</f>
        <v/>
      </c>
      <c r="B29" s="52" t="str">
        <f>IF('EVENT ASSIGNMENT'!F18="","",'EVENT ASSIGNMENT'!F18)</f>
        <v/>
      </c>
      <c r="C29" s="52" t="str">
        <f>IF('EVENT ASSIGNMENT'!C18="","",'EVENT ASSIGNMENT'!C18)</f>
        <v/>
      </c>
      <c r="D29" s="52" t="str">
        <f>IF('EVENT ASSIGNMENT'!D18="","",'EVENT ASSIGNMENT'!D18)</f>
        <v/>
      </c>
      <c r="E29" s="52" t="str">
        <f>IF('EVENT ASSIGNMENT'!E18="","",'EVENT ASSIGNMENT'!E18)</f>
        <v/>
      </c>
      <c r="F29" s="54" t="str">
        <f>IF('EVENT ASSIGNMENT'!G18="","",'EVENT ASSIGNMENT'!G18)</f>
        <v/>
      </c>
      <c r="G29" s="53">
        <f>IF(E29="",0,SUMIFS('MSR DATA'!$I$2:$I$1001,'MSR DATA'!$D$2:$D$1001,E29))</f>
        <v>0</v>
      </c>
      <c r="H29" s="53">
        <f>IF(E29="",0,SUMIFS('MSR DATA'!$I$2:$I$1001,'MSR DATA'!$D$2:$D$1001,E29,'MSR DATA'!$G$2:$G$1001,"ALCOHOL"))</f>
        <v>0</v>
      </c>
      <c r="I29" s="53">
        <f t="shared" si="0"/>
        <v>0</v>
      </c>
      <c r="J29" s="53">
        <f t="shared" si="1"/>
        <v>0</v>
      </c>
      <c r="K29" s="53">
        <f t="shared" si="2"/>
        <v>0</v>
      </c>
      <c r="L29" s="52" t="str">
        <f t="shared" si="3"/>
        <v/>
      </c>
    </row>
    <row r="30" spans="1:12" ht="15" customHeight="1" x14ac:dyDescent="0.2">
      <c r="A30" s="55" t="str">
        <f>IF('EVENT ASSIGNMENT'!A19="","",'EVENT ASSIGNMENT'!A19)</f>
        <v/>
      </c>
      <c r="B30" s="52" t="str">
        <f>IF('EVENT ASSIGNMENT'!F19="","",'EVENT ASSIGNMENT'!F19)</f>
        <v/>
      </c>
      <c r="C30" s="52" t="str">
        <f>IF('EVENT ASSIGNMENT'!C19="","",'EVENT ASSIGNMENT'!C19)</f>
        <v/>
      </c>
      <c r="D30" s="52" t="str">
        <f>IF('EVENT ASSIGNMENT'!D19="","",'EVENT ASSIGNMENT'!D19)</f>
        <v/>
      </c>
      <c r="E30" s="52" t="str">
        <f>IF('EVENT ASSIGNMENT'!E19="","",'EVENT ASSIGNMENT'!E19)</f>
        <v/>
      </c>
      <c r="F30" s="54" t="str">
        <f>IF('EVENT ASSIGNMENT'!G19="","",'EVENT ASSIGNMENT'!G19)</f>
        <v/>
      </c>
      <c r="G30" s="53">
        <f>IF(E30="",0,SUMIFS('MSR DATA'!$I$2:$I$1001,'MSR DATA'!$D$2:$D$1001,E30))</f>
        <v>0</v>
      </c>
      <c r="H30" s="53">
        <f>IF(E30="",0,SUMIFS('MSR DATA'!$I$2:$I$1001,'MSR DATA'!$D$2:$D$1001,E30,'MSR DATA'!$G$2:$G$1001,"ALCOHOL"))</f>
        <v>0</v>
      </c>
      <c r="I30" s="53">
        <f t="shared" si="0"/>
        <v>0</v>
      </c>
      <c r="J30" s="53">
        <f t="shared" si="1"/>
        <v>0</v>
      </c>
      <c r="K30" s="53">
        <f t="shared" si="2"/>
        <v>0</v>
      </c>
      <c r="L30" s="52" t="str">
        <f t="shared" si="3"/>
        <v/>
      </c>
    </row>
    <row r="31" spans="1:12" ht="15" customHeight="1" x14ac:dyDescent="0.2">
      <c r="A31" s="59" t="str">
        <f>IF('EVENT ASSIGNMENT'!A20="","",'EVENT ASSIGNMENT'!A20)</f>
        <v/>
      </c>
      <c r="B31" s="52" t="str">
        <f>IF('EVENT ASSIGNMENT'!F20="","",'EVENT ASSIGNMENT'!F20)</f>
        <v/>
      </c>
      <c r="C31" s="52" t="str">
        <f>IF('EVENT ASSIGNMENT'!C20="","",'EVENT ASSIGNMENT'!C20)</f>
        <v/>
      </c>
      <c r="D31" s="52" t="str">
        <f>IF('EVENT ASSIGNMENT'!D20="","",'EVENT ASSIGNMENT'!D20)</f>
        <v/>
      </c>
      <c r="E31" s="52" t="str">
        <f>IF('EVENT ASSIGNMENT'!E20="","",'EVENT ASSIGNMENT'!E20)</f>
        <v/>
      </c>
      <c r="F31" s="54" t="str">
        <f>IF('EVENT ASSIGNMENT'!G20="","",'EVENT ASSIGNMENT'!G20)</f>
        <v/>
      </c>
      <c r="G31" s="53">
        <f>IF(E31="",0,SUMIFS('MSR DATA'!$I$2:$I$1001,'MSR DATA'!$D$2:$D$1001,E31))</f>
        <v>0</v>
      </c>
      <c r="H31" s="53">
        <f>IF(E31="",0,SUMIFS('MSR DATA'!$I$2:$I$1001,'MSR DATA'!$D$2:$D$1001,E31,'MSR DATA'!$G$2:$G$1001,"ALCOHOL"))</f>
        <v>0</v>
      </c>
      <c r="I31" s="53">
        <f t="shared" si="0"/>
        <v>0</v>
      </c>
      <c r="J31" s="53">
        <f t="shared" si="1"/>
        <v>0</v>
      </c>
      <c r="K31" s="53">
        <f t="shared" si="2"/>
        <v>0</v>
      </c>
      <c r="L31" s="52" t="str">
        <f t="shared" si="3"/>
        <v/>
      </c>
    </row>
    <row r="32" spans="1:12" ht="15" customHeight="1" x14ac:dyDescent="0.2">
      <c r="A32" s="59" t="str">
        <f>IF('EVENT ASSIGNMENT'!A21="","",'EVENT ASSIGNMENT'!A21)</f>
        <v/>
      </c>
      <c r="B32" s="52" t="str">
        <f>IF('EVENT ASSIGNMENT'!F21="","",'EVENT ASSIGNMENT'!F21)</f>
        <v/>
      </c>
      <c r="C32" s="52" t="str">
        <f>IF('EVENT ASSIGNMENT'!C21="","",'EVENT ASSIGNMENT'!C21)</f>
        <v/>
      </c>
      <c r="D32" s="52" t="str">
        <f>IF('EVENT ASSIGNMENT'!D21="","",'EVENT ASSIGNMENT'!D21)</f>
        <v/>
      </c>
      <c r="E32" s="52" t="str">
        <f>IF('EVENT ASSIGNMENT'!E21="","",'EVENT ASSIGNMENT'!E21)</f>
        <v/>
      </c>
      <c r="F32" s="54" t="str">
        <f>IF('EVENT ASSIGNMENT'!G21="","",'EVENT ASSIGNMENT'!G21)</f>
        <v/>
      </c>
      <c r="G32" s="53">
        <f>IF(E32="",0,SUMIFS('MSR DATA'!$I$2:$I$1001,'MSR DATA'!$D$2:$D$1001,E32))</f>
        <v>0</v>
      </c>
      <c r="H32" s="53">
        <f>IF(E32="",0,SUMIFS('MSR DATA'!$I$2:$I$1001,'MSR DATA'!$D$2:$D$1001,E32,'MSR DATA'!$G$2:$G$1001,"ALCOHOL"))</f>
        <v>0</v>
      </c>
      <c r="I32" s="53">
        <f t="shared" si="0"/>
        <v>0</v>
      </c>
      <c r="J32" s="53">
        <f t="shared" si="1"/>
        <v>0</v>
      </c>
      <c r="K32" s="53">
        <f t="shared" si="2"/>
        <v>0</v>
      </c>
      <c r="L32" s="52" t="str">
        <f t="shared" si="3"/>
        <v/>
      </c>
    </row>
    <row r="33" spans="1:12" ht="15" customHeight="1" x14ac:dyDescent="0.2">
      <c r="A33" s="59" t="str">
        <f>IF('EVENT ASSIGNMENT'!A22="","",'EVENT ASSIGNMENT'!A22)</f>
        <v/>
      </c>
      <c r="B33" s="52" t="str">
        <f>IF('EVENT ASSIGNMENT'!F22="","",'EVENT ASSIGNMENT'!F22)</f>
        <v/>
      </c>
      <c r="C33" s="52" t="str">
        <f>IF('EVENT ASSIGNMENT'!C22="","",'EVENT ASSIGNMENT'!C22)</f>
        <v/>
      </c>
      <c r="D33" s="52" t="str">
        <f>IF('EVENT ASSIGNMENT'!D22="","",'EVENT ASSIGNMENT'!D22)</f>
        <v/>
      </c>
      <c r="E33" s="52" t="str">
        <f>IF('EVENT ASSIGNMENT'!E22="","",'EVENT ASSIGNMENT'!E22)</f>
        <v/>
      </c>
      <c r="F33" s="54" t="str">
        <f>IF('EVENT ASSIGNMENT'!G22="","",'EVENT ASSIGNMENT'!G22)</f>
        <v/>
      </c>
      <c r="G33" s="53">
        <f>IF(E33="",0,SUMIFS('MSR DATA'!$I$2:$I$1001,'MSR DATA'!$D$2:$D$1001,E33))</f>
        <v>0</v>
      </c>
      <c r="H33" s="53">
        <f>IF(E33="",0,SUMIFS('MSR DATA'!$I$2:$I$1001,'MSR DATA'!$D$2:$D$1001,E33,'MSR DATA'!$G$2:$G$1001,"ALCOHOL"))</f>
        <v>0</v>
      </c>
      <c r="I33" s="53">
        <f t="shared" si="0"/>
        <v>0</v>
      </c>
      <c r="J33" s="53">
        <f t="shared" si="1"/>
        <v>0</v>
      </c>
      <c r="K33" s="53">
        <f t="shared" si="2"/>
        <v>0</v>
      </c>
      <c r="L33" s="52" t="str">
        <f t="shared" si="3"/>
        <v/>
      </c>
    </row>
    <row r="34" spans="1:12" ht="15" customHeight="1" x14ac:dyDescent="0.2">
      <c r="A34" s="59" t="str">
        <f>IF('EVENT ASSIGNMENT'!A23="","",'EVENT ASSIGNMENT'!A23)</f>
        <v/>
      </c>
      <c r="B34" s="52" t="str">
        <f>IF('EVENT ASSIGNMENT'!F23="","",'EVENT ASSIGNMENT'!F23)</f>
        <v/>
      </c>
      <c r="C34" s="52" t="str">
        <f>IF('EVENT ASSIGNMENT'!C23="","",'EVENT ASSIGNMENT'!C23)</f>
        <v/>
      </c>
      <c r="D34" s="52" t="str">
        <f>IF('EVENT ASSIGNMENT'!D23="","",'EVENT ASSIGNMENT'!D23)</f>
        <v/>
      </c>
      <c r="E34" s="52" t="str">
        <f>IF('EVENT ASSIGNMENT'!E23="","",'EVENT ASSIGNMENT'!E23)</f>
        <v/>
      </c>
      <c r="F34" s="54" t="str">
        <f>IF('EVENT ASSIGNMENT'!G23="","",'EVENT ASSIGNMENT'!G23)</f>
        <v/>
      </c>
      <c r="G34" s="53">
        <f>IF(E34="",0,SUMIFS('MSR DATA'!$I$2:$I$1001,'MSR DATA'!$D$2:$D$1001,E34))</f>
        <v>0</v>
      </c>
      <c r="H34" s="53">
        <f>IF(E34="",0,SUMIFS('MSR DATA'!$I$2:$I$1001,'MSR DATA'!$D$2:$D$1001,E34,'MSR DATA'!$G$2:$G$1001,"ALCOHOL"))</f>
        <v>0</v>
      </c>
      <c r="I34" s="53">
        <f t="shared" si="0"/>
        <v>0</v>
      </c>
      <c r="J34" s="53">
        <f t="shared" si="1"/>
        <v>0</v>
      </c>
      <c r="K34" s="53">
        <f t="shared" si="2"/>
        <v>0</v>
      </c>
      <c r="L34" s="52" t="str">
        <f t="shared" si="3"/>
        <v/>
      </c>
    </row>
    <row r="35" spans="1:12" ht="15" customHeight="1" x14ac:dyDescent="0.2">
      <c r="A35" s="59" t="str">
        <f>IF('EVENT ASSIGNMENT'!A24="","",'EVENT ASSIGNMENT'!A24)</f>
        <v/>
      </c>
      <c r="B35" s="52" t="str">
        <f>IF('EVENT ASSIGNMENT'!F24="","",'EVENT ASSIGNMENT'!F24)</f>
        <v/>
      </c>
      <c r="C35" s="52" t="str">
        <f>IF('EVENT ASSIGNMENT'!C24="","",'EVENT ASSIGNMENT'!C24)</f>
        <v/>
      </c>
      <c r="D35" s="52" t="str">
        <f>IF('EVENT ASSIGNMENT'!D24="","",'EVENT ASSIGNMENT'!D24)</f>
        <v/>
      </c>
      <c r="E35" s="52" t="str">
        <f>IF('EVENT ASSIGNMENT'!E24="","",'EVENT ASSIGNMENT'!E24)</f>
        <v/>
      </c>
      <c r="F35" s="54" t="str">
        <f>IF('EVENT ASSIGNMENT'!G24="","",'EVENT ASSIGNMENT'!G24)</f>
        <v/>
      </c>
      <c r="G35" s="53">
        <f>IF(E35="",0,SUMIFS('MSR DATA'!$I$2:$I$1001,'MSR DATA'!$D$2:$D$1001,E35))</f>
        <v>0</v>
      </c>
      <c r="H35" s="53">
        <f>IF(E35="",0,SUMIFS('MSR DATA'!$I$2:$I$1001,'MSR DATA'!$D$2:$D$1001,E35,'MSR DATA'!$G$2:$G$1001,"ALCOHOL"))</f>
        <v>0</v>
      </c>
      <c r="I35" s="53">
        <f t="shared" si="0"/>
        <v>0</v>
      </c>
      <c r="J35" s="53">
        <f t="shared" si="1"/>
        <v>0</v>
      </c>
      <c r="K35" s="53">
        <f t="shared" si="2"/>
        <v>0</v>
      </c>
      <c r="L35" s="52" t="str">
        <f t="shared" si="3"/>
        <v/>
      </c>
    </row>
    <row r="36" spans="1:12" ht="15" customHeight="1" x14ac:dyDescent="0.2">
      <c r="A36" s="59" t="str">
        <f>IF('EVENT ASSIGNMENT'!A25="","",'EVENT ASSIGNMENT'!A25)</f>
        <v/>
      </c>
      <c r="B36" s="52" t="str">
        <f>IF('EVENT ASSIGNMENT'!F25="","",'EVENT ASSIGNMENT'!F25)</f>
        <v/>
      </c>
      <c r="C36" s="52" t="str">
        <f>IF('EVENT ASSIGNMENT'!C25="","",'EVENT ASSIGNMENT'!C25)</f>
        <v/>
      </c>
      <c r="D36" s="52" t="str">
        <f>IF('EVENT ASSIGNMENT'!D25="","",'EVENT ASSIGNMENT'!D25)</f>
        <v/>
      </c>
      <c r="E36" s="52" t="str">
        <f>IF('EVENT ASSIGNMENT'!E25="","",'EVENT ASSIGNMENT'!E25)</f>
        <v/>
      </c>
      <c r="F36" s="54" t="str">
        <f>IF('EVENT ASSIGNMENT'!G25="","",'EVENT ASSIGNMENT'!G25)</f>
        <v/>
      </c>
      <c r="G36" s="53">
        <f>IF(E36="",0,SUMIFS('MSR DATA'!$I$2:$I$1001,'MSR DATA'!$D$2:$D$1001,E36))</f>
        <v>0</v>
      </c>
      <c r="H36" s="53">
        <f>IF(E36="",0,SUMIFS('MSR DATA'!$I$2:$I$1001,'MSR DATA'!$D$2:$D$1001,E36,'MSR DATA'!$G$2:$G$1001,"ALCOHOL"))</f>
        <v>0</v>
      </c>
      <c r="I36" s="53">
        <f t="shared" si="0"/>
        <v>0</v>
      </c>
      <c r="J36" s="53">
        <f t="shared" si="1"/>
        <v>0</v>
      </c>
      <c r="K36" s="53">
        <f t="shared" si="2"/>
        <v>0</v>
      </c>
      <c r="L36" s="52" t="str">
        <f t="shared" si="3"/>
        <v/>
      </c>
    </row>
    <row r="37" spans="1:12" ht="12.75" customHeight="1" x14ac:dyDescent="0.2">
      <c r="A37" s="51" t="str">
        <f>IF('EVENT ASSIGNMENT'!A26="","",'EVENT ASSIGNMENT'!A26)</f>
        <v/>
      </c>
      <c r="B37" s="52" t="str">
        <f>IF('EVENT ASSIGNMENT'!F26="","",'EVENT ASSIGNMENT'!F26)</f>
        <v/>
      </c>
      <c r="C37" s="52" t="str">
        <f>IF('EVENT ASSIGNMENT'!C26="","",'EVENT ASSIGNMENT'!C26)</f>
        <v/>
      </c>
      <c r="D37" s="52" t="str">
        <f>IF('EVENT ASSIGNMENT'!D26="","",'EVENT ASSIGNMENT'!D26)</f>
        <v/>
      </c>
      <c r="E37" s="52" t="str">
        <f>IF('EVENT ASSIGNMENT'!E26="","",'EVENT ASSIGNMENT'!E26)</f>
        <v/>
      </c>
      <c r="F37" s="54" t="str">
        <f>IF('EVENT ASSIGNMENT'!G26="","",'EVENT ASSIGNMENT'!G26)</f>
        <v/>
      </c>
      <c r="G37" s="53">
        <f>IF(E37="",0,SUMIFS('MSR DATA'!$I$2:$I$1001,'MSR DATA'!$D$2:$D$1001,E37))</f>
        <v>0</v>
      </c>
      <c r="H37" s="53">
        <f>IF(E37="",0,SUMIFS('MSR DATA'!$I$2:$I$1001,'MSR DATA'!$D$2:$D$1001,E37,'MSR DATA'!$G$2:$G$1001,"ALCOHOL"))</f>
        <v>0</v>
      </c>
      <c r="I37" s="53">
        <f t="shared" si="0"/>
        <v>0</v>
      </c>
      <c r="J37" s="53">
        <f t="shared" si="1"/>
        <v>0</v>
      </c>
      <c r="K37" s="53">
        <f t="shared" si="2"/>
        <v>0</v>
      </c>
      <c r="L37" s="52" t="str">
        <f t="shared" si="3"/>
        <v/>
      </c>
    </row>
    <row r="38" spans="1:12" ht="12.75" customHeight="1" x14ac:dyDescent="0.2">
      <c r="A38" s="51" t="str">
        <f>IF('EVENT ASSIGNMENT'!A27="","",'EVENT ASSIGNMENT'!A27)</f>
        <v/>
      </c>
      <c r="B38" s="52" t="str">
        <f>IF('EVENT ASSIGNMENT'!F27="","",'EVENT ASSIGNMENT'!F27)</f>
        <v/>
      </c>
      <c r="C38" s="52" t="str">
        <f>IF('EVENT ASSIGNMENT'!C27="","",'EVENT ASSIGNMENT'!C27)</f>
        <v/>
      </c>
      <c r="D38" s="52" t="str">
        <f>IF('EVENT ASSIGNMENT'!D27="","",'EVENT ASSIGNMENT'!D27)</f>
        <v/>
      </c>
      <c r="E38" s="52" t="str">
        <f>IF('EVENT ASSIGNMENT'!E27="","",'EVENT ASSIGNMENT'!E27)</f>
        <v/>
      </c>
      <c r="F38" s="54" t="str">
        <f>IF('EVENT ASSIGNMENT'!G27="","",'EVENT ASSIGNMENT'!G27)</f>
        <v/>
      </c>
      <c r="G38" s="53">
        <f>IF(E38="",0,SUMIFS('MSR DATA'!$I$2:$I$1001,'MSR DATA'!$D$2:$D$1001,E38))</f>
        <v>0</v>
      </c>
      <c r="H38" s="53">
        <f>IF(E38="",0,SUMIFS('MSR DATA'!$I$2:$I$1001,'MSR DATA'!$D$2:$D$1001,E38,'MSR DATA'!$G$2:$G$1001,"ALCOHOL"))</f>
        <v>0</v>
      </c>
      <c r="I38" s="53">
        <f t="shared" si="0"/>
        <v>0</v>
      </c>
      <c r="J38" s="53">
        <f t="shared" si="1"/>
        <v>0</v>
      </c>
      <c r="K38" s="53">
        <f t="shared" si="2"/>
        <v>0</v>
      </c>
      <c r="L38" s="52" t="str">
        <f t="shared" si="3"/>
        <v/>
      </c>
    </row>
    <row r="39" spans="1:12" ht="12.75" customHeight="1" x14ac:dyDescent="0.2">
      <c r="A39" s="51" t="str">
        <f>IF('EVENT ASSIGNMENT'!A28="","",'EVENT ASSIGNMENT'!A28)</f>
        <v/>
      </c>
      <c r="B39" s="52" t="str">
        <f>IF('EVENT ASSIGNMENT'!F28="","",'EVENT ASSIGNMENT'!F28)</f>
        <v/>
      </c>
      <c r="C39" s="52" t="str">
        <f>IF('EVENT ASSIGNMENT'!C28="","",'EVENT ASSIGNMENT'!C28)</f>
        <v/>
      </c>
      <c r="D39" s="52" t="str">
        <f>IF('EVENT ASSIGNMENT'!D28="","",'EVENT ASSIGNMENT'!D28)</f>
        <v/>
      </c>
      <c r="E39" s="52" t="str">
        <f>IF('EVENT ASSIGNMENT'!E28="","",'EVENT ASSIGNMENT'!E28)</f>
        <v/>
      </c>
      <c r="F39" s="54" t="str">
        <f>IF('EVENT ASSIGNMENT'!G28="","",'EVENT ASSIGNMENT'!G28)</f>
        <v/>
      </c>
      <c r="G39" s="53">
        <f>IF(E39="",0,SUMIFS('MSR DATA'!$I$2:$I$1001,'MSR DATA'!$D$2:$D$1001,E39))</f>
        <v>0</v>
      </c>
      <c r="H39" s="53">
        <f>IF(E39="",0,SUMIFS('MSR DATA'!$I$2:$I$1001,'MSR DATA'!$D$2:$D$1001,E39,'MSR DATA'!$G$2:$G$1001,"ALCOHOL"))</f>
        <v>0</v>
      </c>
      <c r="I39" s="53">
        <f t="shared" si="0"/>
        <v>0</v>
      </c>
      <c r="J39" s="53">
        <f t="shared" si="1"/>
        <v>0</v>
      </c>
      <c r="K39" s="53">
        <f t="shared" si="2"/>
        <v>0</v>
      </c>
      <c r="L39" s="52" t="str">
        <f t="shared" si="3"/>
        <v/>
      </c>
    </row>
    <row r="40" spans="1:12" ht="12.75" customHeight="1" x14ac:dyDescent="0.2">
      <c r="A40" s="51" t="str">
        <f>IF('EVENT ASSIGNMENT'!A29="","",'EVENT ASSIGNMENT'!A29)</f>
        <v/>
      </c>
      <c r="B40" s="52" t="str">
        <f>IF('EVENT ASSIGNMENT'!F29="","",'EVENT ASSIGNMENT'!F29)</f>
        <v/>
      </c>
      <c r="C40" s="52" t="str">
        <f>IF('EVENT ASSIGNMENT'!C29="","",'EVENT ASSIGNMENT'!C29)</f>
        <v/>
      </c>
      <c r="D40" s="52" t="str">
        <f>IF('EVENT ASSIGNMENT'!D29="","",'EVENT ASSIGNMENT'!D29)</f>
        <v/>
      </c>
      <c r="E40" s="52" t="str">
        <f>IF('EVENT ASSIGNMENT'!E29="","",'EVENT ASSIGNMENT'!E29)</f>
        <v/>
      </c>
      <c r="F40" s="54" t="str">
        <f>IF('EVENT ASSIGNMENT'!G29="","",'EVENT ASSIGNMENT'!G29)</f>
        <v/>
      </c>
      <c r="G40" s="53">
        <f>IF(E40="",0,SUMIFS('MSR DATA'!$I$2:$I$1001,'MSR DATA'!$D$2:$D$1001,E40))</f>
        <v>0</v>
      </c>
      <c r="H40" s="53">
        <f>IF(E40="",0,SUMIFS('MSR DATA'!$I$2:$I$1001,'MSR DATA'!$D$2:$D$1001,E40,'MSR DATA'!$G$2:$G$1001,"ALCOHOL"))</f>
        <v>0</v>
      </c>
      <c r="I40" s="53">
        <f t="shared" si="0"/>
        <v>0</v>
      </c>
      <c r="J40" s="53">
        <f t="shared" si="1"/>
        <v>0</v>
      </c>
      <c r="K40" s="53">
        <f t="shared" si="2"/>
        <v>0</v>
      </c>
      <c r="L40" s="52" t="str">
        <f t="shared" si="3"/>
        <v/>
      </c>
    </row>
    <row r="41" spans="1:12" ht="12.75" customHeight="1" x14ac:dyDescent="0.2">
      <c r="A41" s="51" t="str">
        <f>IF('EVENT ASSIGNMENT'!A30="","",'EVENT ASSIGNMENT'!A30)</f>
        <v/>
      </c>
      <c r="B41" s="52" t="str">
        <f>IF('EVENT ASSIGNMENT'!F30="","",'EVENT ASSIGNMENT'!F30)</f>
        <v/>
      </c>
      <c r="C41" s="52" t="str">
        <f>IF('EVENT ASSIGNMENT'!C30="","",'EVENT ASSIGNMENT'!C30)</f>
        <v/>
      </c>
      <c r="D41" s="52" t="str">
        <f>IF('EVENT ASSIGNMENT'!D30="","",'EVENT ASSIGNMENT'!D30)</f>
        <v/>
      </c>
      <c r="E41" s="52" t="str">
        <f>IF('EVENT ASSIGNMENT'!E30="","",'EVENT ASSIGNMENT'!E30)</f>
        <v/>
      </c>
      <c r="F41" s="54" t="str">
        <f>IF('EVENT ASSIGNMENT'!G30="","",'EVENT ASSIGNMENT'!G30)</f>
        <v/>
      </c>
      <c r="G41" s="53">
        <f>IF(E41="",0,SUMIFS('MSR DATA'!$I$2:$I$1001,'MSR DATA'!$D$2:$D$1001,E41))</f>
        <v>0</v>
      </c>
      <c r="H41" s="53">
        <f>IF(E41="",0,SUMIFS('MSR DATA'!$I$2:$I$1001,'MSR DATA'!$D$2:$D$1001,E41,'MSR DATA'!$G$2:$G$1001,"ALCOHOL"))</f>
        <v>0</v>
      </c>
      <c r="I41" s="53">
        <f t="shared" si="0"/>
        <v>0</v>
      </c>
      <c r="J41" s="53">
        <f t="shared" si="1"/>
        <v>0</v>
      </c>
      <c r="K41" s="53">
        <f t="shared" si="2"/>
        <v>0</v>
      </c>
      <c r="L41" s="52" t="str">
        <f t="shared" si="3"/>
        <v/>
      </c>
    </row>
    <row r="42" spans="1:12" ht="12.75" customHeight="1" x14ac:dyDescent="0.2">
      <c r="A42" s="51" t="str">
        <f>IF('EVENT ASSIGNMENT'!A31="","",'EVENT ASSIGNMENT'!A31)</f>
        <v/>
      </c>
      <c r="B42" s="52" t="str">
        <f>IF('EVENT ASSIGNMENT'!F31="","",'EVENT ASSIGNMENT'!F31)</f>
        <v/>
      </c>
      <c r="C42" s="52" t="str">
        <f>IF('EVENT ASSIGNMENT'!C31="","",'EVENT ASSIGNMENT'!C31)</f>
        <v/>
      </c>
      <c r="D42" s="52" t="str">
        <f>IF('EVENT ASSIGNMENT'!D31="","",'EVENT ASSIGNMENT'!D31)</f>
        <v/>
      </c>
      <c r="E42" s="52" t="str">
        <f>IF('EVENT ASSIGNMENT'!E31="","",'EVENT ASSIGNMENT'!E31)</f>
        <v/>
      </c>
      <c r="F42" s="54" t="str">
        <f>IF('EVENT ASSIGNMENT'!G31="","",'EVENT ASSIGNMENT'!G31)</f>
        <v/>
      </c>
      <c r="G42" s="53">
        <f>IF(E42="",0,SUMIFS('MSR DATA'!$I$2:$I$1001,'MSR DATA'!$D$2:$D$1001,E42))</f>
        <v>0</v>
      </c>
      <c r="H42" s="53">
        <f>IF(E42="",0,SUMIFS('MSR DATA'!$I$2:$I$1001,'MSR DATA'!$D$2:$D$1001,E42,'MSR DATA'!$G$2:$G$1001,"ALCOHOL"))</f>
        <v>0</v>
      </c>
      <c r="I42" s="53">
        <f t="shared" si="0"/>
        <v>0</v>
      </c>
      <c r="J42" s="53">
        <f t="shared" si="1"/>
        <v>0</v>
      </c>
      <c r="K42" s="53">
        <f t="shared" si="2"/>
        <v>0</v>
      </c>
      <c r="L42" s="52" t="str">
        <f t="shared" si="3"/>
        <v/>
      </c>
    </row>
    <row r="43" spans="1:12" ht="12.75" customHeight="1" x14ac:dyDescent="0.2">
      <c r="A43" s="51" t="str">
        <f>IF('EVENT ASSIGNMENT'!A32="","",'EVENT ASSIGNMENT'!A32)</f>
        <v/>
      </c>
      <c r="B43" s="52" t="str">
        <f>IF('EVENT ASSIGNMENT'!F32="","",'EVENT ASSIGNMENT'!F32)</f>
        <v/>
      </c>
      <c r="C43" s="52" t="str">
        <f>IF('EVENT ASSIGNMENT'!C32="","",'EVENT ASSIGNMENT'!C32)</f>
        <v/>
      </c>
      <c r="D43" s="52" t="str">
        <f>IF('EVENT ASSIGNMENT'!D32="","",'EVENT ASSIGNMENT'!D32)</f>
        <v/>
      </c>
      <c r="E43" s="52" t="str">
        <f>IF('EVENT ASSIGNMENT'!E32="","",'EVENT ASSIGNMENT'!E32)</f>
        <v/>
      </c>
      <c r="F43" s="54" t="str">
        <f>IF('EVENT ASSIGNMENT'!G32="","",'EVENT ASSIGNMENT'!G32)</f>
        <v/>
      </c>
      <c r="G43" s="53">
        <f>IF(E43="",0,SUMIFS('MSR DATA'!$I$2:$I$1001,'MSR DATA'!$D$2:$D$1001,E43))</f>
        <v>0</v>
      </c>
      <c r="H43" s="53">
        <f>IF(E43="",0,SUMIFS('MSR DATA'!$I$2:$I$1001,'MSR DATA'!$D$2:$D$1001,E43,'MSR DATA'!$G$2:$G$1001,"ALCOHOL"))</f>
        <v>0</v>
      </c>
      <c r="I43" s="53">
        <f t="shared" si="0"/>
        <v>0</v>
      </c>
      <c r="J43" s="53">
        <f t="shared" si="1"/>
        <v>0</v>
      </c>
      <c r="K43" s="53">
        <f t="shared" si="2"/>
        <v>0</v>
      </c>
      <c r="L43" s="52" t="str">
        <f t="shared" si="3"/>
        <v/>
      </c>
    </row>
    <row r="44" spans="1:12" ht="12.75" customHeight="1" x14ac:dyDescent="0.2">
      <c r="A44" s="51" t="str">
        <f>IF('EVENT ASSIGNMENT'!A33="","",'EVENT ASSIGNMENT'!A33)</f>
        <v/>
      </c>
      <c r="B44" s="52" t="str">
        <f>IF('EVENT ASSIGNMENT'!F33="","",'EVENT ASSIGNMENT'!F33)</f>
        <v/>
      </c>
      <c r="C44" s="52" t="str">
        <f>IF('EVENT ASSIGNMENT'!C33="","",'EVENT ASSIGNMENT'!C33)</f>
        <v/>
      </c>
      <c r="D44" s="52" t="str">
        <f>IF('EVENT ASSIGNMENT'!D33="","",'EVENT ASSIGNMENT'!D33)</f>
        <v/>
      </c>
      <c r="E44" s="52" t="str">
        <f>IF('EVENT ASSIGNMENT'!E33="","",'EVENT ASSIGNMENT'!E33)</f>
        <v/>
      </c>
      <c r="F44" s="54" t="str">
        <f>IF('EVENT ASSIGNMENT'!G33="","",'EVENT ASSIGNMENT'!G33)</f>
        <v/>
      </c>
      <c r="G44" s="53">
        <f>IF(E44="",0,SUMIFS('MSR DATA'!$I$2:$I$1001,'MSR DATA'!$D$2:$D$1001,E44))</f>
        <v>0</v>
      </c>
      <c r="H44" s="53">
        <f>IF(E44="",0,SUMIFS('MSR DATA'!$I$2:$I$1001,'MSR DATA'!$D$2:$D$1001,E44,'MSR DATA'!$G$2:$G$1001,"ALCOHOL"))</f>
        <v>0</v>
      </c>
      <c r="I44" s="53">
        <f t="shared" si="0"/>
        <v>0</v>
      </c>
      <c r="J44" s="53">
        <f t="shared" si="1"/>
        <v>0</v>
      </c>
      <c r="K44" s="53">
        <f t="shared" si="2"/>
        <v>0</v>
      </c>
      <c r="L44" s="52" t="str">
        <f t="shared" si="3"/>
        <v/>
      </c>
    </row>
    <row r="45" spans="1:12" ht="12.75" customHeight="1" x14ac:dyDescent="0.2">
      <c r="A45" s="51" t="str">
        <f>IF('EVENT ASSIGNMENT'!A34="","",'EVENT ASSIGNMENT'!A34)</f>
        <v/>
      </c>
      <c r="B45" s="52" t="str">
        <f>IF('EVENT ASSIGNMENT'!F34="","",'EVENT ASSIGNMENT'!F34)</f>
        <v/>
      </c>
      <c r="C45" s="52" t="str">
        <f>IF('EVENT ASSIGNMENT'!C34="","",'EVENT ASSIGNMENT'!C34)</f>
        <v/>
      </c>
      <c r="D45" s="52" t="str">
        <f>IF('EVENT ASSIGNMENT'!D34="","",'EVENT ASSIGNMENT'!D34)</f>
        <v/>
      </c>
      <c r="E45" s="52" t="str">
        <f>IF('EVENT ASSIGNMENT'!E34="","",'EVENT ASSIGNMENT'!E34)</f>
        <v/>
      </c>
      <c r="F45" s="54" t="str">
        <f>IF('EVENT ASSIGNMENT'!G34="","",'EVENT ASSIGNMENT'!G34)</f>
        <v/>
      </c>
      <c r="G45" s="53">
        <f>IF(E45="",0,SUMIFS('MSR DATA'!$I$2:$I$1001,'MSR DATA'!$D$2:$D$1001,E45))</f>
        <v>0</v>
      </c>
      <c r="H45" s="53">
        <f>IF(E45="",0,SUMIFS('MSR DATA'!$I$2:$I$1001,'MSR DATA'!$D$2:$D$1001,E45,'MSR DATA'!$G$2:$G$1001,"ALCOHOL"))</f>
        <v>0</v>
      </c>
      <c r="I45" s="53">
        <f t="shared" ref="I45:I76" si="4">G45-H45</f>
        <v>0</v>
      </c>
      <c r="J45" s="53">
        <f t="shared" ref="J45:J76" si="5">G45*IF(F45="",0,F45)</f>
        <v>0</v>
      </c>
      <c r="K45" s="53">
        <f t="shared" ref="K45:K76" si="6">I45*IF(F45="",0,F45)*$B$4+H45*IF(F45="",0,F45)*$B$5</f>
        <v>0</v>
      </c>
      <c r="L45" s="52" t="str">
        <f t="shared" ref="L45:L76" si="7">IF(B45="","",IF(F45="","MISSING ALLOCATION",IF(ABS(SUMIFS($F$13:$F$112,$A$13:$A$112,A45,$C$13:$C$112,C45)-1)&gt;0.0001,"REVIEW LOCATION ALLOCATION",IF(G45=0,"NO MSR SALES","OK"))))</f>
        <v/>
      </c>
    </row>
    <row r="46" spans="1:12" ht="12.75" customHeight="1" x14ac:dyDescent="0.2">
      <c r="A46" s="51" t="str">
        <f>IF('EVENT ASSIGNMENT'!A35="","",'EVENT ASSIGNMENT'!A35)</f>
        <v/>
      </c>
      <c r="B46" s="52" t="str">
        <f>IF('EVENT ASSIGNMENT'!F35="","",'EVENT ASSIGNMENT'!F35)</f>
        <v/>
      </c>
      <c r="C46" s="52" t="str">
        <f>IF('EVENT ASSIGNMENT'!C35="","",'EVENT ASSIGNMENT'!C35)</f>
        <v/>
      </c>
      <c r="D46" s="52" t="str">
        <f>IF('EVENT ASSIGNMENT'!D35="","",'EVENT ASSIGNMENT'!D35)</f>
        <v/>
      </c>
      <c r="E46" s="52" t="str">
        <f>IF('EVENT ASSIGNMENT'!E35="","",'EVENT ASSIGNMENT'!E35)</f>
        <v/>
      </c>
      <c r="F46" s="54" t="str">
        <f>IF('EVENT ASSIGNMENT'!G35="","",'EVENT ASSIGNMENT'!G35)</f>
        <v/>
      </c>
      <c r="G46" s="53">
        <f>IF(E46="",0,SUMIFS('MSR DATA'!$I$2:$I$1001,'MSR DATA'!$D$2:$D$1001,E46))</f>
        <v>0</v>
      </c>
      <c r="H46" s="53">
        <f>IF(E46="",0,SUMIFS('MSR DATA'!$I$2:$I$1001,'MSR DATA'!$D$2:$D$1001,E46,'MSR DATA'!$G$2:$G$1001,"ALCOHOL"))</f>
        <v>0</v>
      </c>
      <c r="I46" s="53">
        <f t="shared" si="4"/>
        <v>0</v>
      </c>
      <c r="J46" s="53">
        <f t="shared" si="5"/>
        <v>0</v>
      </c>
      <c r="K46" s="53">
        <f t="shared" si="6"/>
        <v>0</v>
      </c>
      <c r="L46" s="52" t="str">
        <f t="shared" si="7"/>
        <v/>
      </c>
    </row>
    <row r="47" spans="1:12" ht="12.75" customHeight="1" x14ac:dyDescent="0.2">
      <c r="A47" s="51" t="str">
        <f>IF('EVENT ASSIGNMENT'!A36="","",'EVENT ASSIGNMENT'!A36)</f>
        <v/>
      </c>
      <c r="B47" s="52" t="str">
        <f>IF('EVENT ASSIGNMENT'!F36="","",'EVENT ASSIGNMENT'!F36)</f>
        <v/>
      </c>
      <c r="C47" s="52" t="str">
        <f>IF('EVENT ASSIGNMENT'!C36="","",'EVENT ASSIGNMENT'!C36)</f>
        <v/>
      </c>
      <c r="D47" s="52" t="str">
        <f>IF('EVENT ASSIGNMENT'!D36="","",'EVENT ASSIGNMENT'!D36)</f>
        <v/>
      </c>
      <c r="E47" s="52" t="str">
        <f>IF('EVENT ASSIGNMENT'!E36="","",'EVENT ASSIGNMENT'!E36)</f>
        <v/>
      </c>
      <c r="F47" s="54" t="str">
        <f>IF('EVENT ASSIGNMENT'!G36="","",'EVENT ASSIGNMENT'!G36)</f>
        <v/>
      </c>
      <c r="G47" s="53">
        <f>IF(E47="",0,SUMIFS('MSR DATA'!$I$2:$I$1001,'MSR DATA'!$D$2:$D$1001,E47))</f>
        <v>0</v>
      </c>
      <c r="H47" s="53">
        <f>IF(E47="",0,SUMIFS('MSR DATA'!$I$2:$I$1001,'MSR DATA'!$D$2:$D$1001,E47,'MSR DATA'!$G$2:$G$1001,"ALCOHOL"))</f>
        <v>0</v>
      </c>
      <c r="I47" s="53">
        <f t="shared" si="4"/>
        <v>0</v>
      </c>
      <c r="J47" s="53">
        <f t="shared" si="5"/>
        <v>0</v>
      </c>
      <c r="K47" s="53">
        <f t="shared" si="6"/>
        <v>0</v>
      </c>
      <c r="L47" s="52" t="str">
        <f t="shared" si="7"/>
        <v/>
      </c>
    </row>
    <row r="48" spans="1:12" ht="12.75" customHeight="1" x14ac:dyDescent="0.2">
      <c r="A48" s="51" t="str">
        <f>IF('EVENT ASSIGNMENT'!A37="","",'EVENT ASSIGNMENT'!A37)</f>
        <v/>
      </c>
      <c r="B48" s="52" t="str">
        <f>IF('EVENT ASSIGNMENT'!F37="","",'EVENT ASSIGNMENT'!F37)</f>
        <v/>
      </c>
      <c r="C48" s="52" t="str">
        <f>IF('EVENT ASSIGNMENT'!C37="","",'EVENT ASSIGNMENT'!C37)</f>
        <v/>
      </c>
      <c r="D48" s="52" t="str">
        <f>IF('EVENT ASSIGNMENT'!D37="","",'EVENT ASSIGNMENT'!D37)</f>
        <v/>
      </c>
      <c r="E48" s="52" t="str">
        <f>IF('EVENT ASSIGNMENT'!E37="","",'EVENT ASSIGNMENT'!E37)</f>
        <v/>
      </c>
      <c r="F48" s="54" t="str">
        <f>IF('EVENT ASSIGNMENT'!G37="","",'EVENT ASSIGNMENT'!G37)</f>
        <v/>
      </c>
      <c r="G48" s="53">
        <f>IF(E48="",0,SUMIFS('MSR DATA'!$I$2:$I$1001,'MSR DATA'!$D$2:$D$1001,E48))</f>
        <v>0</v>
      </c>
      <c r="H48" s="53">
        <f>IF(E48="",0,SUMIFS('MSR DATA'!$I$2:$I$1001,'MSR DATA'!$D$2:$D$1001,E48,'MSR DATA'!$G$2:$G$1001,"ALCOHOL"))</f>
        <v>0</v>
      </c>
      <c r="I48" s="53">
        <f t="shared" si="4"/>
        <v>0</v>
      </c>
      <c r="J48" s="53">
        <f t="shared" si="5"/>
        <v>0</v>
      </c>
      <c r="K48" s="53">
        <f t="shared" si="6"/>
        <v>0</v>
      </c>
      <c r="L48" s="52" t="str">
        <f t="shared" si="7"/>
        <v/>
      </c>
    </row>
    <row r="49" spans="1:12" ht="12.75" customHeight="1" x14ac:dyDescent="0.2">
      <c r="A49" s="51" t="str">
        <f>IF('EVENT ASSIGNMENT'!A38="","",'EVENT ASSIGNMENT'!A38)</f>
        <v/>
      </c>
      <c r="B49" s="52" t="str">
        <f>IF('EVENT ASSIGNMENT'!F38="","",'EVENT ASSIGNMENT'!F38)</f>
        <v/>
      </c>
      <c r="C49" s="52" t="str">
        <f>IF('EVENT ASSIGNMENT'!C38="","",'EVENT ASSIGNMENT'!C38)</f>
        <v/>
      </c>
      <c r="D49" s="52" t="str">
        <f>IF('EVENT ASSIGNMENT'!D38="","",'EVENT ASSIGNMENT'!D38)</f>
        <v/>
      </c>
      <c r="E49" s="52" t="str">
        <f>IF('EVENT ASSIGNMENT'!E38="","",'EVENT ASSIGNMENT'!E38)</f>
        <v/>
      </c>
      <c r="F49" s="54" t="str">
        <f>IF('EVENT ASSIGNMENT'!G38="","",'EVENT ASSIGNMENT'!G38)</f>
        <v/>
      </c>
      <c r="G49" s="53">
        <f>IF(E49="",0,SUMIFS('MSR DATA'!$I$2:$I$1001,'MSR DATA'!$D$2:$D$1001,E49))</f>
        <v>0</v>
      </c>
      <c r="H49" s="53">
        <f>IF(E49="",0,SUMIFS('MSR DATA'!$I$2:$I$1001,'MSR DATA'!$D$2:$D$1001,E49,'MSR DATA'!$G$2:$G$1001,"ALCOHOL"))</f>
        <v>0</v>
      </c>
      <c r="I49" s="53">
        <f t="shared" si="4"/>
        <v>0</v>
      </c>
      <c r="J49" s="53">
        <f t="shared" si="5"/>
        <v>0</v>
      </c>
      <c r="K49" s="53">
        <f t="shared" si="6"/>
        <v>0</v>
      </c>
      <c r="L49" s="52" t="str">
        <f t="shared" si="7"/>
        <v/>
      </c>
    </row>
    <row r="50" spans="1:12" ht="12.75" customHeight="1" x14ac:dyDescent="0.2">
      <c r="A50" s="51" t="str">
        <f>IF('EVENT ASSIGNMENT'!A39="","",'EVENT ASSIGNMENT'!A39)</f>
        <v/>
      </c>
      <c r="B50" s="52" t="str">
        <f>IF('EVENT ASSIGNMENT'!F39="","",'EVENT ASSIGNMENT'!F39)</f>
        <v/>
      </c>
      <c r="C50" s="52" t="str">
        <f>IF('EVENT ASSIGNMENT'!C39="","",'EVENT ASSIGNMENT'!C39)</f>
        <v/>
      </c>
      <c r="D50" s="52" t="str">
        <f>IF('EVENT ASSIGNMENT'!D39="","",'EVENT ASSIGNMENT'!D39)</f>
        <v/>
      </c>
      <c r="E50" s="52" t="str">
        <f>IF('EVENT ASSIGNMENT'!E39="","",'EVENT ASSIGNMENT'!E39)</f>
        <v/>
      </c>
      <c r="F50" s="54" t="str">
        <f>IF('EVENT ASSIGNMENT'!G39="","",'EVENT ASSIGNMENT'!G39)</f>
        <v/>
      </c>
      <c r="G50" s="53">
        <f>IF(E50="",0,SUMIFS('MSR DATA'!$I$2:$I$1001,'MSR DATA'!$D$2:$D$1001,E50))</f>
        <v>0</v>
      </c>
      <c r="H50" s="53">
        <f>IF(E50="",0,SUMIFS('MSR DATA'!$I$2:$I$1001,'MSR DATA'!$D$2:$D$1001,E50,'MSR DATA'!$G$2:$G$1001,"ALCOHOL"))</f>
        <v>0</v>
      </c>
      <c r="I50" s="53">
        <f t="shared" si="4"/>
        <v>0</v>
      </c>
      <c r="J50" s="53">
        <f t="shared" si="5"/>
        <v>0</v>
      </c>
      <c r="K50" s="53">
        <f t="shared" si="6"/>
        <v>0</v>
      </c>
      <c r="L50" s="52" t="str">
        <f t="shared" si="7"/>
        <v/>
      </c>
    </row>
    <row r="51" spans="1:12" ht="12.75" customHeight="1" x14ac:dyDescent="0.2">
      <c r="A51" s="51" t="str">
        <f>IF('EVENT ASSIGNMENT'!A40="","",'EVENT ASSIGNMENT'!A40)</f>
        <v/>
      </c>
      <c r="B51" s="52" t="str">
        <f>IF('EVENT ASSIGNMENT'!F40="","",'EVENT ASSIGNMENT'!F40)</f>
        <v/>
      </c>
      <c r="C51" s="52" t="str">
        <f>IF('EVENT ASSIGNMENT'!C40="","",'EVENT ASSIGNMENT'!C40)</f>
        <v/>
      </c>
      <c r="D51" s="52" t="str">
        <f>IF('EVENT ASSIGNMENT'!D40="","",'EVENT ASSIGNMENT'!D40)</f>
        <v/>
      </c>
      <c r="E51" s="52" t="str">
        <f>IF('EVENT ASSIGNMENT'!E40="","",'EVENT ASSIGNMENT'!E40)</f>
        <v/>
      </c>
      <c r="F51" s="54" t="str">
        <f>IF('EVENT ASSIGNMENT'!G40="","",'EVENT ASSIGNMENT'!G40)</f>
        <v/>
      </c>
      <c r="G51" s="53">
        <f>IF(E51="",0,SUMIFS('MSR DATA'!$I$2:$I$1001,'MSR DATA'!$D$2:$D$1001,E51))</f>
        <v>0</v>
      </c>
      <c r="H51" s="53">
        <f>IF(E51="",0,SUMIFS('MSR DATA'!$I$2:$I$1001,'MSR DATA'!$D$2:$D$1001,E51,'MSR DATA'!$G$2:$G$1001,"ALCOHOL"))</f>
        <v>0</v>
      </c>
      <c r="I51" s="53">
        <f t="shared" si="4"/>
        <v>0</v>
      </c>
      <c r="J51" s="53">
        <f t="shared" si="5"/>
        <v>0</v>
      </c>
      <c r="K51" s="53">
        <f t="shared" si="6"/>
        <v>0</v>
      </c>
      <c r="L51" s="52" t="str">
        <f t="shared" si="7"/>
        <v/>
      </c>
    </row>
    <row r="52" spans="1:12" ht="12.75" customHeight="1" x14ac:dyDescent="0.2">
      <c r="A52" s="51" t="str">
        <f>IF('EVENT ASSIGNMENT'!A41="","",'EVENT ASSIGNMENT'!A41)</f>
        <v/>
      </c>
      <c r="B52" s="52" t="str">
        <f>IF('EVENT ASSIGNMENT'!F41="","",'EVENT ASSIGNMENT'!F41)</f>
        <v/>
      </c>
      <c r="C52" s="52" t="str">
        <f>IF('EVENT ASSIGNMENT'!C41="","",'EVENT ASSIGNMENT'!C41)</f>
        <v/>
      </c>
      <c r="D52" s="52" t="str">
        <f>IF('EVENT ASSIGNMENT'!D41="","",'EVENT ASSIGNMENT'!D41)</f>
        <v/>
      </c>
      <c r="E52" s="52" t="str">
        <f>IF('EVENT ASSIGNMENT'!E41="","",'EVENT ASSIGNMENT'!E41)</f>
        <v/>
      </c>
      <c r="F52" s="54" t="str">
        <f>IF('EVENT ASSIGNMENT'!G41="","",'EVENT ASSIGNMENT'!G41)</f>
        <v/>
      </c>
      <c r="G52" s="53">
        <f>IF(E52="",0,SUMIFS('MSR DATA'!$I$2:$I$1001,'MSR DATA'!$D$2:$D$1001,E52))</f>
        <v>0</v>
      </c>
      <c r="H52" s="53">
        <f>IF(E52="",0,SUMIFS('MSR DATA'!$I$2:$I$1001,'MSR DATA'!$D$2:$D$1001,E52,'MSR DATA'!$G$2:$G$1001,"ALCOHOL"))</f>
        <v>0</v>
      </c>
      <c r="I52" s="53">
        <f t="shared" si="4"/>
        <v>0</v>
      </c>
      <c r="J52" s="53">
        <f t="shared" si="5"/>
        <v>0</v>
      </c>
      <c r="K52" s="53">
        <f t="shared" si="6"/>
        <v>0</v>
      </c>
      <c r="L52" s="52" t="str">
        <f t="shared" si="7"/>
        <v/>
      </c>
    </row>
    <row r="53" spans="1:12" ht="12.75" customHeight="1" x14ac:dyDescent="0.2">
      <c r="A53" s="51" t="str">
        <f>IF('EVENT ASSIGNMENT'!A42="","",'EVENT ASSIGNMENT'!A42)</f>
        <v/>
      </c>
      <c r="B53" s="52" t="str">
        <f>IF('EVENT ASSIGNMENT'!F42="","",'EVENT ASSIGNMENT'!F42)</f>
        <v/>
      </c>
      <c r="C53" s="52" t="str">
        <f>IF('EVENT ASSIGNMENT'!C42="","",'EVENT ASSIGNMENT'!C42)</f>
        <v/>
      </c>
      <c r="D53" s="52" t="str">
        <f>IF('EVENT ASSIGNMENT'!D42="","",'EVENT ASSIGNMENT'!D42)</f>
        <v/>
      </c>
      <c r="E53" s="52" t="str">
        <f>IF('EVENT ASSIGNMENT'!E42="","",'EVENT ASSIGNMENT'!E42)</f>
        <v/>
      </c>
      <c r="F53" s="54" t="str">
        <f>IF('EVENT ASSIGNMENT'!G42="","",'EVENT ASSIGNMENT'!G42)</f>
        <v/>
      </c>
      <c r="G53" s="53">
        <f>IF(E53="",0,SUMIFS('MSR DATA'!$I$2:$I$1001,'MSR DATA'!$D$2:$D$1001,E53))</f>
        <v>0</v>
      </c>
      <c r="H53" s="53">
        <f>IF(E53="",0,SUMIFS('MSR DATA'!$I$2:$I$1001,'MSR DATA'!$D$2:$D$1001,E53,'MSR DATA'!$G$2:$G$1001,"ALCOHOL"))</f>
        <v>0</v>
      </c>
      <c r="I53" s="53">
        <f t="shared" si="4"/>
        <v>0</v>
      </c>
      <c r="J53" s="53">
        <f t="shared" si="5"/>
        <v>0</v>
      </c>
      <c r="K53" s="53">
        <f t="shared" si="6"/>
        <v>0</v>
      </c>
      <c r="L53" s="52" t="str">
        <f t="shared" si="7"/>
        <v/>
      </c>
    </row>
    <row r="54" spans="1:12" ht="12.75" customHeight="1" x14ac:dyDescent="0.2">
      <c r="A54" s="51" t="str">
        <f>IF('EVENT ASSIGNMENT'!A43="","",'EVENT ASSIGNMENT'!A43)</f>
        <v/>
      </c>
      <c r="B54" s="52" t="str">
        <f>IF('EVENT ASSIGNMENT'!F43="","",'EVENT ASSIGNMENT'!F43)</f>
        <v/>
      </c>
      <c r="C54" s="52" t="str">
        <f>IF('EVENT ASSIGNMENT'!C43="","",'EVENT ASSIGNMENT'!C43)</f>
        <v/>
      </c>
      <c r="D54" s="52" t="str">
        <f>IF('EVENT ASSIGNMENT'!D43="","",'EVENT ASSIGNMENT'!D43)</f>
        <v/>
      </c>
      <c r="E54" s="52" t="str">
        <f>IF('EVENT ASSIGNMENT'!E43="","",'EVENT ASSIGNMENT'!E43)</f>
        <v/>
      </c>
      <c r="F54" s="54" t="str">
        <f>IF('EVENT ASSIGNMENT'!G43="","",'EVENT ASSIGNMENT'!G43)</f>
        <v/>
      </c>
      <c r="G54" s="53">
        <f>IF(E54="",0,SUMIFS('MSR DATA'!$I$2:$I$1001,'MSR DATA'!$D$2:$D$1001,E54))</f>
        <v>0</v>
      </c>
      <c r="H54" s="53">
        <f>IF(E54="",0,SUMIFS('MSR DATA'!$I$2:$I$1001,'MSR DATA'!$D$2:$D$1001,E54,'MSR DATA'!$G$2:$G$1001,"ALCOHOL"))</f>
        <v>0</v>
      </c>
      <c r="I54" s="53">
        <f t="shared" si="4"/>
        <v>0</v>
      </c>
      <c r="J54" s="53">
        <f t="shared" si="5"/>
        <v>0</v>
      </c>
      <c r="K54" s="53">
        <f t="shared" si="6"/>
        <v>0</v>
      </c>
      <c r="L54" s="52" t="str">
        <f t="shared" si="7"/>
        <v/>
      </c>
    </row>
    <row r="55" spans="1:12" ht="12.75" customHeight="1" x14ac:dyDescent="0.2">
      <c r="A55" s="51" t="str">
        <f>IF('EVENT ASSIGNMENT'!A44="","",'EVENT ASSIGNMENT'!A44)</f>
        <v/>
      </c>
      <c r="B55" s="52" t="str">
        <f>IF('EVENT ASSIGNMENT'!F44="","",'EVENT ASSIGNMENT'!F44)</f>
        <v/>
      </c>
      <c r="C55" s="52" t="str">
        <f>IF('EVENT ASSIGNMENT'!C44="","",'EVENT ASSIGNMENT'!C44)</f>
        <v/>
      </c>
      <c r="D55" s="52" t="str">
        <f>IF('EVENT ASSIGNMENT'!D44="","",'EVENT ASSIGNMENT'!D44)</f>
        <v/>
      </c>
      <c r="E55" s="52" t="str">
        <f>IF('EVENT ASSIGNMENT'!E44="","",'EVENT ASSIGNMENT'!E44)</f>
        <v/>
      </c>
      <c r="F55" s="54" t="str">
        <f>IF('EVENT ASSIGNMENT'!G44="","",'EVENT ASSIGNMENT'!G44)</f>
        <v/>
      </c>
      <c r="G55" s="53">
        <f>IF(E55="",0,SUMIFS('MSR DATA'!$I$2:$I$1001,'MSR DATA'!$D$2:$D$1001,E55))</f>
        <v>0</v>
      </c>
      <c r="H55" s="53">
        <f>IF(E55="",0,SUMIFS('MSR DATA'!$I$2:$I$1001,'MSR DATA'!$D$2:$D$1001,E55,'MSR DATA'!$G$2:$G$1001,"ALCOHOL"))</f>
        <v>0</v>
      </c>
      <c r="I55" s="53">
        <f t="shared" si="4"/>
        <v>0</v>
      </c>
      <c r="J55" s="53">
        <f t="shared" si="5"/>
        <v>0</v>
      </c>
      <c r="K55" s="53">
        <f t="shared" si="6"/>
        <v>0</v>
      </c>
      <c r="L55" s="52" t="str">
        <f t="shared" si="7"/>
        <v/>
      </c>
    </row>
    <row r="56" spans="1:12" ht="12.75" customHeight="1" x14ac:dyDescent="0.2">
      <c r="A56" s="51" t="str">
        <f>IF('EVENT ASSIGNMENT'!A45="","",'EVENT ASSIGNMENT'!A45)</f>
        <v/>
      </c>
      <c r="B56" s="52" t="str">
        <f>IF('EVENT ASSIGNMENT'!F45="","",'EVENT ASSIGNMENT'!F45)</f>
        <v/>
      </c>
      <c r="C56" s="52" t="str">
        <f>IF('EVENT ASSIGNMENT'!C45="","",'EVENT ASSIGNMENT'!C45)</f>
        <v/>
      </c>
      <c r="D56" s="52" t="str">
        <f>IF('EVENT ASSIGNMENT'!D45="","",'EVENT ASSIGNMENT'!D45)</f>
        <v/>
      </c>
      <c r="E56" s="52" t="str">
        <f>IF('EVENT ASSIGNMENT'!E45="","",'EVENT ASSIGNMENT'!E45)</f>
        <v/>
      </c>
      <c r="F56" s="54" t="str">
        <f>IF('EVENT ASSIGNMENT'!G45="","",'EVENT ASSIGNMENT'!G45)</f>
        <v/>
      </c>
      <c r="G56" s="53">
        <f>IF(E56="",0,SUMIFS('MSR DATA'!$I$2:$I$1001,'MSR DATA'!$D$2:$D$1001,E56))</f>
        <v>0</v>
      </c>
      <c r="H56" s="53">
        <f>IF(E56="",0,SUMIFS('MSR DATA'!$I$2:$I$1001,'MSR DATA'!$D$2:$D$1001,E56,'MSR DATA'!$G$2:$G$1001,"ALCOHOL"))</f>
        <v>0</v>
      </c>
      <c r="I56" s="53">
        <f t="shared" si="4"/>
        <v>0</v>
      </c>
      <c r="J56" s="53">
        <f t="shared" si="5"/>
        <v>0</v>
      </c>
      <c r="K56" s="53">
        <f t="shared" si="6"/>
        <v>0</v>
      </c>
      <c r="L56" s="52" t="str">
        <f t="shared" si="7"/>
        <v/>
      </c>
    </row>
    <row r="57" spans="1:12" ht="12.75" customHeight="1" x14ac:dyDescent="0.2">
      <c r="A57" s="51" t="str">
        <f>IF('EVENT ASSIGNMENT'!A46="","",'EVENT ASSIGNMENT'!A46)</f>
        <v/>
      </c>
      <c r="B57" s="52" t="str">
        <f>IF('EVENT ASSIGNMENT'!F46="","",'EVENT ASSIGNMENT'!F46)</f>
        <v/>
      </c>
      <c r="C57" s="52" t="str">
        <f>IF('EVENT ASSIGNMENT'!C46="","",'EVENT ASSIGNMENT'!C46)</f>
        <v/>
      </c>
      <c r="D57" s="52" t="str">
        <f>IF('EVENT ASSIGNMENT'!D46="","",'EVENT ASSIGNMENT'!D46)</f>
        <v/>
      </c>
      <c r="E57" s="52" t="str">
        <f>IF('EVENT ASSIGNMENT'!E46="","",'EVENT ASSIGNMENT'!E46)</f>
        <v/>
      </c>
      <c r="F57" s="54" t="str">
        <f>IF('EVENT ASSIGNMENT'!G46="","",'EVENT ASSIGNMENT'!G46)</f>
        <v/>
      </c>
      <c r="G57" s="53">
        <f>IF(E57="",0,SUMIFS('MSR DATA'!$I$2:$I$1001,'MSR DATA'!$D$2:$D$1001,E57))</f>
        <v>0</v>
      </c>
      <c r="H57" s="53">
        <f>IF(E57="",0,SUMIFS('MSR DATA'!$I$2:$I$1001,'MSR DATA'!$D$2:$D$1001,E57,'MSR DATA'!$G$2:$G$1001,"ALCOHOL"))</f>
        <v>0</v>
      </c>
      <c r="I57" s="53">
        <f t="shared" si="4"/>
        <v>0</v>
      </c>
      <c r="J57" s="53">
        <f t="shared" si="5"/>
        <v>0</v>
      </c>
      <c r="K57" s="53">
        <f t="shared" si="6"/>
        <v>0</v>
      </c>
      <c r="L57" s="52" t="str">
        <f t="shared" si="7"/>
        <v/>
      </c>
    </row>
    <row r="58" spans="1:12" ht="12.75" customHeight="1" x14ac:dyDescent="0.2">
      <c r="A58" s="51" t="str">
        <f>IF('EVENT ASSIGNMENT'!A47="","",'EVENT ASSIGNMENT'!A47)</f>
        <v/>
      </c>
      <c r="B58" s="52" t="str">
        <f>IF('EVENT ASSIGNMENT'!F47="","",'EVENT ASSIGNMENT'!F47)</f>
        <v/>
      </c>
      <c r="C58" s="52" t="str">
        <f>IF('EVENT ASSIGNMENT'!C47="","",'EVENT ASSIGNMENT'!C47)</f>
        <v/>
      </c>
      <c r="D58" s="52" t="str">
        <f>IF('EVENT ASSIGNMENT'!D47="","",'EVENT ASSIGNMENT'!D47)</f>
        <v/>
      </c>
      <c r="E58" s="52" t="str">
        <f>IF('EVENT ASSIGNMENT'!E47="","",'EVENT ASSIGNMENT'!E47)</f>
        <v/>
      </c>
      <c r="F58" s="54" t="str">
        <f>IF('EVENT ASSIGNMENT'!G47="","",'EVENT ASSIGNMENT'!G47)</f>
        <v/>
      </c>
      <c r="G58" s="53">
        <f>IF(E58="",0,SUMIFS('MSR DATA'!$I$2:$I$1001,'MSR DATA'!$D$2:$D$1001,E58))</f>
        <v>0</v>
      </c>
      <c r="H58" s="53">
        <f>IF(E58="",0,SUMIFS('MSR DATA'!$I$2:$I$1001,'MSR DATA'!$D$2:$D$1001,E58,'MSR DATA'!$G$2:$G$1001,"ALCOHOL"))</f>
        <v>0</v>
      </c>
      <c r="I58" s="53">
        <f t="shared" si="4"/>
        <v>0</v>
      </c>
      <c r="J58" s="53">
        <f t="shared" si="5"/>
        <v>0</v>
      </c>
      <c r="K58" s="53">
        <f t="shared" si="6"/>
        <v>0</v>
      </c>
      <c r="L58" s="52" t="str">
        <f t="shared" si="7"/>
        <v/>
      </c>
    </row>
    <row r="59" spans="1:12" ht="12.75" customHeight="1" x14ac:dyDescent="0.2">
      <c r="A59" s="51" t="str">
        <f>IF('EVENT ASSIGNMENT'!A48="","",'EVENT ASSIGNMENT'!A48)</f>
        <v/>
      </c>
      <c r="B59" s="52" t="str">
        <f>IF('EVENT ASSIGNMENT'!F48="","",'EVENT ASSIGNMENT'!F48)</f>
        <v/>
      </c>
      <c r="C59" s="52" t="str">
        <f>IF('EVENT ASSIGNMENT'!C48="","",'EVENT ASSIGNMENT'!C48)</f>
        <v/>
      </c>
      <c r="D59" s="52" t="str">
        <f>IF('EVENT ASSIGNMENT'!D48="","",'EVENT ASSIGNMENT'!D48)</f>
        <v/>
      </c>
      <c r="E59" s="52" t="str">
        <f>IF('EVENT ASSIGNMENT'!E48="","",'EVENT ASSIGNMENT'!E48)</f>
        <v/>
      </c>
      <c r="F59" s="54" t="str">
        <f>IF('EVENT ASSIGNMENT'!G48="","",'EVENT ASSIGNMENT'!G48)</f>
        <v/>
      </c>
      <c r="G59" s="53">
        <f>IF(E59="",0,SUMIFS('MSR DATA'!$I$2:$I$1001,'MSR DATA'!$D$2:$D$1001,E59))</f>
        <v>0</v>
      </c>
      <c r="H59" s="53">
        <f>IF(E59="",0,SUMIFS('MSR DATA'!$I$2:$I$1001,'MSR DATA'!$D$2:$D$1001,E59,'MSR DATA'!$G$2:$G$1001,"ALCOHOL"))</f>
        <v>0</v>
      </c>
      <c r="I59" s="53">
        <f t="shared" si="4"/>
        <v>0</v>
      </c>
      <c r="J59" s="53">
        <f t="shared" si="5"/>
        <v>0</v>
      </c>
      <c r="K59" s="53">
        <f t="shared" si="6"/>
        <v>0</v>
      </c>
      <c r="L59" s="52" t="str">
        <f t="shared" si="7"/>
        <v/>
      </c>
    </row>
    <row r="60" spans="1:12" ht="12.75" customHeight="1" x14ac:dyDescent="0.2">
      <c r="A60" s="51" t="str">
        <f>IF('EVENT ASSIGNMENT'!A49="","",'EVENT ASSIGNMENT'!A49)</f>
        <v/>
      </c>
      <c r="B60" s="52" t="str">
        <f>IF('EVENT ASSIGNMENT'!F49="","",'EVENT ASSIGNMENT'!F49)</f>
        <v/>
      </c>
      <c r="C60" s="52" t="str">
        <f>IF('EVENT ASSIGNMENT'!C49="","",'EVENT ASSIGNMENT'!C49)</f>
        <v/>
      </c>
      <c r="D60" s="52" t="str">
        <f>IF('EVENT ASSIGNMENT'!D49="","",'EVENT ASSIGNMENT'!D49)</f>
        <v/>
      </c>
      <c r="E60" s="52" t="str">
        <f>IF('EVENT ASSIGNMENT'!E49="","",'EVENT ASSIGNMENT'!E49)</f>
        <v/>
      </c>
      <c r="F60" s="54" t="str">
        <f>IF('EVENT ASSIGNMENT'!G49="","",'EVENT ASSIGNMENT'!G49)</f>
        <v/>
      </c>
      <c r="G60" s="53">
        <f>IF(E60="",0,SUMIFS('MSR DATA'!$I$2:$I$1001,'MSR DATA'!$D$2:$D$1001,E60))</f>
        <v>0</v>
      </c>
      <c r="H60" s="53">
        <f>IF(E60="",0,SUMIFS('MSR DATA'!$I$2:$I$1001,'MSR DATA'!$D$2:$D$1001,E60,'MSR DATA'!$G$2:$G$1001,"ALCOHOL"))</f>
        <v>0</v>
      </c>
      <c r="I60" s="53">
        <f t="shared" si="4"/>
        <v>0</v>
      </c>
      <c r="J60" s="53">
        <f t="shared" si="5"/>
        <v>0</v>
      </c>
      <c r="K60" s="53">
        <f t="shared" si="6"/>
        <v>0</v>
      </c>
      <c r="L60" s="52" t="str">
        <f t="shared" si="7"/>
        <v/>
      </c>
    </row>
    <row r="61" spans="1:12" ht="12.75" customHeight="1" x14ac:dyDescent="0.2">
      <c r="A61" s="51" t="str">
        <f>IF('EVENT ASSIGNMENT'!A50="","",'EVENT ASSIGNMENT'!A50)</f>
        <v/>
      </c>
      <c r="B61" s="52" t="str">
        <f>IF('EVENT ASSIGNMENT'!F50="","",'EVENT ASSIGNMENT'!F50)</f>
        <v/>
      </c>
      <c r="C61" s="52" t="str">
        <f>IF('EVENT ASSIGNMENT'!C50="","",'EVENT ASSIGNMENT'!C50)</f>
        <v/>
      </c>
      <c r="D61" s="52" t="str">
        <f>IF('EVENT ASSIGNMENT'!D50="","",'EVENT ASSIGNMENT'!D50)</f>
        <v/>
      </c>
      <c r="E61" s="52" t="str">
        <f>IF('EVENT ASSIGNMENT'!E50="","",'EVENT ASSIGNMENT'!E50)</f>
        <v/>
      </c>
      <c r="F61" s="54" t="str">
        <f>IF('EVENT ASSIGNMENT'!G50="","",'EVENT ASSIGNMENT'!G50)</f>
        <v/>
      </c>
      <c r="G61" s="53">
        <f>IF(E61="",0,SUMIFS('MSR DATA'!$I$2:$I$1001,'MSR DATA'!$D$2:$D$1001,E61))</f>
        <v>0</v>
      </c>
      <c r="H61" s="53">
        <f>IF(E61="",0,SUMIFS('MSR DATA'!$I$2:$I$1001,'MSR DATA'!$D$2:$D$1001,E61,'MSR DATA'!$G$2:$G$1001,"ALCOHOL"))</f>
        <v>0</v>
      </c>
      <c r="I61" s="53">
        <f t="shared" si="4"/>
        <v>0</v>
      </c>
      <c r="J61" s="53">
        <f t="shared" si="5"/>
        <v>0</v>
      </c>
      <c r="K61" s="53">
        <f t="shared" si="6"/>
        <v>0</v>
      </c>
      <c r="L61" s="52" t="str">
        <f t="shared" si="7"/>
        <v/>
      </c>
    </row>
    <row r="62" spans="1:12" ht="12.75" customHeight="1" x14ac:dyDescent="0.2">
      <c r="A62" s="51" t="str">
        <f>IF('EVENT ASSIGNMENT'!A51="","",'EVENT ASSIGNMENT'!A51)</f>
        <v/>
      </c>
      <c r="B62" s="52" t="str">
        <f>IF('EVENT ASSIGNMENT'!F51="","",'EVENT ASSIGNMENT'!F51)</f>
        <v/>
      </c>
      <c r="C62" s="52" t="str">
        <f>IF('EVENT ASSIGNMENT'!C51="","",'EVENT ASSIGNMENT'!C51)</f>
        <v/>
      </c>
      <c r="D62" s="52" t="str">
        <f>IF('EVENT ASSIGNMENT'!D51="","",'EVENT ASSIGNMENT'!D51)</f>
        <v/>
      </c>
      <c r="E62" s="52" t="str">
        <f>IF('EVENT ASSIGNMENT'!E51="","",'EVENT ASSIGNMENT'!E51)</f>
        <v/>
      </c>
      <c r="F62" s="54" t="str">
        <f>IF('EVENT ASSIGNMENT'!G51="","",'EVENT ASSIGNMENT'!G51)</f>
        <v/>
      </c>
      <c r="G62" s="53">
        <f>IF(E62="",0,SUMIFS('MSR DATA'!$I$2:$I$1001,'MSR DATA'!$D$2:$D$1001,E62))</f>
        <v>0</v>
      </c>
      <c r="H62" s="53">
        <f>IF(E62="",0,SUMIFS('MSR DATA'!$I$2:$I$1001,'MSR DATA'!$D$2:$D$1001,E62,'MSR DATA'!$G$2:$G$1001,"ALCOHOL"))</f>
        <v>0</v>
      </c>
      <c r="I62" s="53">
        <f t="shared" si="4"/>
        <v>0</v>
      </c>
      <c r="J62" s="53">
        <f t="shared" si="5"/>
        <v>0</v>
      </c>
      <c r="K62" s="53">
        <f t="shared" si="6"/>
        <v>0</v>
      </c>
      <c r="L62" s="52" t="str">
        <f t="shared" si="7"/>
        <v/>
      </c>
    </row>
    <row r="63" spans="1:12" ht="12.75" customHeight="1" x14ac:dyDescent="0.2">
      <c r="A63" s="51" t="str">
        <f>IF('EVENT ASSIGNMENT'!A52="","",'EVENT ASSIGNMENT'!A52)</f>
        <v/>
      </c>
      <c r="B63" s="52" t="str">
        <f>IF('EVENT ASSIGNMENT'!F52="","",'EVENT ASSIGNMENT'!F52)</f>
        <v/>
      </c>
      <c r="C63" s="52" t="str">
        <f>IF('EVENT ASSIGNMENT'!C52="","",'EVENT ASSIGNMENT'!C52)</f>
        <v/>
      </c>
      <c r="D63" s="52" t="str">
        <f>IF('EVENT ASSIGNMENT'!D52="","",'EVENT ASSIGNMENT'!D52)</f>
        <v/>
      </c>
      <c r="E63" s="52" t="str">
        <f>IF('EVENT ASSIGNMENT'!E52="","",'EVENT ASSIGNMENT'!E52)</f>
        <v/>
      </c>
      <c r="F63" s="54" t="str">
        <f>IF('EVENT ASSIGNMENT'!G52="","",'EVENT ASSIGNMENT'!G52)</f>
        <v/>
      </c>
      <c r="G63" s="53">
        <f>IF(E63="",0,SUMIFS('MSR DATA'!$I$2:$I$1001,'MSR DATA'!$D$2:$D$1001,E63))</f>
        <v>0</v>
      </c>
      <c r="H63" s="53">
        <f>IF(E63="",0,SUMIFS('MSR DATA'!$I$2:$I$1001,'MSR DATA'!$D$2:$D$1001,E63,'MSR DATA'!$G$2:$G$1001,"ALCOHOL"))</f>
        <v>0</v>
      </c>
      <c r="I63" s="53">
        <f t="shared" si="4"/>
        <v>0</v>
      </c>
      <c r="J63" s="53">
        <f t="shared" si="5"/>
        <v>0</v>
      </c>
      <c r="K63" s="53">
        <f t="shared" si="6"/>
        <v>0</v>
      </c>
      <c r="L63" s="52" t="str">
        <f t="shared" si="7"/>
        <v/>
      </c>
    </row>
    <row r="64" spans="1:12" ht="12.75" customHeight="1" x14ac:dyDescent="0.2">
      <c r="A64" s="51" t="str">
        <f>IF('EVENT ASSIGNMENT'!A53="","",'EVENT ASSIGNMENT'!A53)</f>
        <v/>
      </c>
      <c r="B64" s="52" t="str">
        <f>IF('EVENT ASSIGNMENT'!F53="","",'EVENT ASSIGNMENT'!F53)</f>
        <v/>
      </c>
      <c r="C64" s="52" t="str">
        <f>IF('EVENT ASSIGNMENT'!C53="","",'EVENT ASSIGNMENT'!C53)</f>
        <v/>
      </c>
      <c r="D64" s="52" t="str">
        <f>IF('EVENT ASSIGNMENT'!D53="","",'EVENT ASSIGNMENT'!D53)</f>
        <v/>
      </c>
      <c r="E64" s="52" t="str">
        <f>IF('EVENT ASSIGNMENT'!E53="","",'EVENT ASSIGNMENT'!E53)</f>
        <v/>
      </c>
      <c r="F64" s="54" t="str">
        <f>IF('EVENT ASSIGNMENT'!G53="","",'EVENT ASSIGNMENT'!G53)</f>
        <v/>
      </c>
      <c r="G64" s="53">
        <f>IF(E64="",0,SUMIFS('MSR DATA'!$I$2:$I$1001,'MSR DATA'!$D$2:$D$1001,E64))</f>
        <v>0</v>
      </c>
      <c r="H64" s="53">
        <f>IF(E64="",0,SUMIFS('MSR DATA'!$I$2:$I$1001,'MSR DATA'!$D$2:$D$1001,E64,'MSR DATA'!$G$2:$G$1001,"ALCOHOL"))</f>
        <v>0</v>
      </c>
      <c r="I64" s="53">
        <f t="shared" si="4"/>
        <v>0</v>
      </c>
      <c r="J64" s="53">
        <f t="shared" si="5"/>
        <v>0</v>
      </c>
      <c r="K64" s="53">
        <f t="shared" si="6"/>
        <v>0</v>
      </c>
      <c r="L64" s="52" t="str">
        <f t="shared" si="7"/>
        <v/>
      </c>
    </row>
    <row r="65" spans="1:12" ht="12.75" customHeight="1" x14ac:dyDescent="0.2">
      <c r="A65" s="51" t="str">
        <f>IF('EVENT ASSIGNMENT'!A54="","",'EVENT ASSIGNMENT'!A54)</f>
        <v/>
      </c>
      <c r="B65" s="52" t="str">
        <f>IF('EVENT ASSIGNMENT'!F54="","",'EVENT ASSIGNMENT'!F54)</f>
        <v/>
      </c>
      <c r="C65" s="52" t="str">
        <f>IF('EVENT ASSIGNMENT'!C54="","",'EVENT ASSIGNMENT'!C54)</f>
        <v/>
      </c>
      <c r="D65" s="52" t="str">
        <f>IF('EVENT ASSIGNMENT'!D54="","",'EVENT ASSIGNMENT'!D54)</f>
        <v/>
      </c>
      <c r="E65" s="52" t="str">
        <f>IF('EVENT ASSIGNMENT'!E54="","",'EVENT ASSIGNMENT'!E54)</f>
        <v/>
      </c>
      <c r="F65" s="54" t="str">
        <f>IF('EVENT ASSIGNMENT'!G54="","",'EVENT ASSIGNMENT'!G54)</f>
        <v/>
      </c>
      <c r="G65" s="53">
        <f>IF(E65="",0,SUMIFS('MSR DATA'!$I$2:$I$1001,'MSR DATA'!$D$2:$D$1001,E65))</f>
        <v>0</v>
      </c>
      <c r="H65" s="53">
        <f>IF(E65="",0,SUMIFS('MSR DATA'!$I$2:$I$1001,'MSR DATA'!$D$2:$D$1001,E65,'MSR DATA'!$G$2:$G$1001,"ALCOHOL"))</f>
        <v>0</v>
      </c>
      <c r="I65" s="53">
        <f t="shared" si="4"/>
        <v>0</v>
      </c>
      <c r="J65" s="53">
        <f t="shared" si="5"/>
        <v>0</v>
      </c>
      <c r="K65" s="53">
        <f t="shared" si="6"/>
        <v>0</v>
      </c>
      <c r="L65" s="52" t="str">
        <f t="shared" si="7"/>
        <v/>
      </c>
    </row>
    <row r="66" spans="1:12" ht="12.75" customHeight="1" x14ac:dyDescent="0.2">
      <c r="A66" s="51" t="str">
        <f>IF('EVENT ASSIGNMENT'!A55="","",'EVENT ASSIGNMENT'!A55)</f>
        <v/>
      </c>
      <c r="B66" s="52" t="str">
        <f>IF('EVENT ASSIGNMENT'!F55="","",'EVENT ASSIGNMENT'!F55)</f>
        <v/>
      </c>
      <c r="C66" s="52" t="str">
        <f>IF('EVENT ASSIGNMENT'!C55="","",'EVENT ASSIGNMENT'!C55)</f>
        <v/>
      </c>
      <c r="D66" s="52" t="str">
        <f>IF('EVENT ASSIGNMENT'!D55="","",'EVENT ASSIGNMENT'!D55)</f>
        <v/>
      </c>
      <c r="E66" s="52" t="str">
        <f>IF('EVENT ASSIGNMENT'!E55="","",'EVENT ASSIGNMENT'!E55)</f>
        <v/>
      </c>
      <c r="F66" s="54" t="str">
        <f>IF('EVENT ASSIGNMENT'!G55="","",'EVENT ASSIGNMENT'!G55)</f>
        <v/>
      </c>
      <c r="G66" s="53">
        <f>IF(E66="",0,SUMIFS('MSR DATA'!$I$2:$I$1001,'MSR DATA'!$D$2:$D$1001,E66))</f>
        <v>0</v>
      </c>
      <c r="H66" s="53">
        <f>IF(E66="",0,SUMIFS('MSR DATA'!$I$2:$I$1001,'MSR DATA'!$D$2:$D$1001,E66,'MSR DATA'!$G$2:$G$1001,"ALCOHOL"))</f>
        <v>0</v>
      </c>
      <c r="I66" s="53">
        <f t="shared" si="4"/>
        <v>0</v>
      </c>
      <c r="J66" s="53">
        <f t="shared" si="5"/>
        <v>0</v>
      </c>
      <c r="K66" s="53">
        <f t="shared" si="6"/>
        <v>0</v>
      </c>
      <c r="L66" s="52" t="str">
        <f t="shared" si="7"/>
        <v/>
      </c>
    </row>
    <row r="67" spans="1:12" ht="12.75" customHeight="1" x14ac:dyDescent="0.2">
      <c r="A67" s="51" t="str">
        <f>IF('EVENT ASSIGNMENT'!A56="","",'EVENT ASSIGNMENT'!A56)</f>
        <v/>
      </c>
      <c r="B67" s="52" t="str">
        <f>IF('EVENT ASSIGNMENT'!F56="","",'EVENT ASSIGNMENT'!F56)</f>
        <v/>
      </c>
      <c r="C67" s="52" t="str">
        <f>IF('EVENT ASSIGNMENT'!C56="","",'EVENT ASSIGNMENT'!C56)</f>
        <v/>
      </c>
      <c r="D67" s="52" t="str">
        <f>IF('EVENT ASSIGNMENT'!D56="","",'EVENT ASSIGNMENT'!D56)</f>
        <v/>
      </c>
      <c r="E67" s="52" t="str">
        <f>IF('EVENT ASSIGNMENT'!E56="","",'EVENT ASSIGNMENT'!E56)</f>
        <v/>
      </c>
      <c r="F67" s="54" t="str">
        <f>IF('EVENT ASSIGNMENT'!G56="","",'EVENT ASSIGNMENT'!G56)</f>
        <v/>
      </c>
      <c r="G67" s="53">
        <f>IF(E67="",0,SUMIFS('MSR DATA'!$I$2:$I$1001,'MSR DATA'!$D$2:$D$1001,E67))</f>
        <v>0</v>
      </c>
      <c r="H67" s="53">
        <f>IF(E67="",0,SUMIFS('MSR DATA'!$I$2:$I$1001,'MSR DATA'!$D$2:$D$1001,E67,'MSR DATA'!$G$2:$G$1001,"ALCOHOL"))</f>
        <v>0</v>
      </c>
      <c r="I67" s="53">
        <f t="shared" si="4"/>
        <v>0</v>
      </c>
      <c r="J67" s="53">
        <f t="shared" si="5"/>
        <v>0</v>
      </c>
      <c r="K67" s="53">
        <f t="shared" si="6"/>
        <v>0</v>
      </c>
      <c r="L67" s="52" t="str">
        <f t="shared" si="7"/>
        <v/>
      </c>
    </row>
    <row r="68" spans="1:12" ht="12.75" customHeight="1" x14ac:dyDescent="0.2">
      <c r="A68" s="51" t="str">
        <f>IF('EVENT ASSIGNMENT'!A57="","",'EVENT ASSIGNMENT'!A57)</f>
        <v/>
      </c>
      <c r="B68" s="52" t="str">
        <f>IF('EVENT ASSIGNMENT'!F57="","",'EVENT ASSIGNMENT'!F57)</f>
        <v/>
      </c>
      <c r="C68" s="52" t="str">
        <f>IF('EVENT ASSIGNMENT'!C57="","",'EVENT ASSIGNMENT'!C57)</f>
        <v/>
      </c>
      <c r="D68" s="52" t="str">
        <f>IF('EVENT ASSIGNMENT'!D57="","",'EVENT ASSIGNMENT'!D57)</f>
        <v/>
      </c>
      <c r="E68" s="52" t="str">
        <f>IF('EVENT ASSIGNMENT'!E57="","",'EVENT ASSIGNMENT'!E57)</f>
        <v/>
      </c>
      <c r="F68" s="54" t="str">
        <f>IF('EVENT ASSIGNMENT'!G57="","",'EVENT ASSIGNMENT'!G57)</f>
        <v/>
      </c>
      <c r="G68" s="53">
        <f>IF(E68="",0,SUMIFS('MSR DATA'!$I$2:$I$1001,'MSR DATA'!$D$2:$D$1001,E68))</f>
        <v>0</v>
      </c>
      <c r="H68" s="53">
        <f>IF(E68="",0,SUMIFS('MSR DATA'!$I$2:$I$1001,'MSR DATA'!$D$2:$D$1001,E68,'MSR DATA'!$G$2:$G$1001,"ALCOHOL"))</f>
        <v>0</v>
      </c>
      <c r="I68" s="53">
        <f t="shared" si="4"/>
        <v>0</v>
      </c>
      <c r="J68" s="53">
        <f t="shared" si="5"/>
        <v>0</v>
      </c>
      <c r="K68" s="53">
        <f t="shared" si="6"/>
        <v>0</v>
      </c>
      <c r="L68" s="52" t="str">
        <f t="shared" si="7"/>
        <v/>
      </c>
    </row>
    <row r="69" spans="1:12" ht="12.75" customHeight="1" x14ac:dyDescent="0.2">
      <c r="A69" s="51" t="str">
        <f>IF('EVENT ASSIGNMENT'!A58="","",'EVENT ASSIGNMENT'!A58)</f>
        <v/>
      </c>
      <c r="B69" s="52" t="str">
        <f>IF('EVENT ASSIGNMENT'!F58="","",'EVENT ASSIGNMENT'!F58)</f>
        <v/>
      </c>
      <c r="C69" s="52" t="str">
        <f>IF('EVENT ASSIGNMENT'!C58="","",'EVENT ASSIGNMENT'!C58)</f>
        <v/>
      </c>
      <c r="D69" s="52" t="str">
        <f>IF('EVENT ASSIGNMENT'!D58="","",'EVENT ASSIGNMENT'!D58)</f>
        <v/>
      </c>
      <c r="E69" s="52" t="str">
        <f>IF('EVENT ASSIGNMENT'!E58="","",'EVENT ASSIGNMENT'!E58)</f>
        <v/>
      </c>
      <c r="F69" s="54" t="str">
        <f>IF('EVENT ASSIGNMENT'!G58="","",'EVENT ASSIGNMENT'!G58)</f>
        <v/>
      </c>
      <c r="G69" s="53">
        <f>IF(E69="",0,SUMIFS('MSR DATA'!$I$2:$I$1001,'MSR DATA'!$D$2:$D$1001,E69))</f>
        <v>0</v>
      </c>
      <c r="H69" s="53">
        <f>IF(E69="",0,SUMIFS('MSR DATA'!$I$2:$I$1001,'MSR DATA'!$D$2:$D$1001,E69,'MSR DATA'!$G$2:$G$1001,"ALCOHOL"))</f>
        <v>0</v>
      </c>
      <c r="I69" s="53">
        <f t="shared" si="4"/>
        <v>0</v>
      </c>
      <c r="J69" s="53">
        <f t="shared" si="5"/>
        <v>0</v>
      </c>
      <c r="K69" s="53">
        <f t="shared" si="6"/>
        <v>0</v>
      </c>
      <c r="L69" s="52" t="str">
        <f t="shared" si="7"/>
        <v/>
      </c>
    </row>
    <row r="70" spans="1:12" ht="12.75" customHeight="1" x14ac:dyDescent="0.2">
      <c r="A70" s="51" t="str">
        <f>IF('EVENT ASSIGNMENT'!A59="","",'EVENT ASSIGNMENT'!A59)</f>
        <v/>
      </c>
      <c r="B70" s="52" t="str">
        <f>IF('EVENT ASSIGNMENT'!F59="","",'EVENT ASSIGNMENT'!F59)</f>
        <v/>
      </c>
      <c r="C70" s="52" t="str">
        <f>IF('EVENT ASSIGNMENT'!C59="","",'EVENT ASSIGNMENT'!C59)</f>
        <v/>
      </c>
      <c r="D70" s="52" t="str">
        <f>IF('EVENT ASSIGNMENT'!D59="","",'EVENT ASSIGNMENT'!D59)</f>
        <v/>
      </c>
      <c r="E70" s="52" t="str">
        <f>IF('EVENT ASSIGNMENT'!E59="","",'EVENT ASSIGNMENT'!E59)</f>
        <v/>
      </c>
      <c r="F70" s="54" t="str">
        <f>IF('EVENT ASSIGNMENT'!G59="","",'EVENT ASSIGNMENT'!G59)</f>
        <v/>
      </c>
      <c r="G70" s="53">
        <f>IF(E70="",0,SUMIFS('MSR DATA'!$I$2:$I$1001,'MSR DATA'!$D$2:$D$1001,E70))</f>
        <v>0</v>
      </c>
      <c r="H70" s="53">
        <f>IF(E70="",0,SUMIFS('MSR DATA'!$I$2:$I$1001,'MSR DATA'!$D$2:$D$1001,E70,'MSR DATA'!$G$2:$G$1001,"ALCOHOL"))</f>
        <v>0</v>
      </c>
      <c r="I70" s="53">
        <f t="shared" si="4"/>
        <v>0</v>
      </c>
      <c r="J70" s="53">
        <f t="shared" si="5"/>
        <v>0</v>
      </c>
      <c r="K70" s="53">
        <f t="shared" si="6"/>
        <v>0</v>
      </c>
      <c r="L70" s="52" t="str">
        <f t="shared" si="7"/>
        <v/>
      </c>
    </row>
    <row r="71" spans="1:12" ht="12.75" customHeight="1" x14ac:dyDescent="0.2">
      <c r="A71" s="51" t="str">
        <f>IF('EVENT ASSIGNMENT'!A60="","",'EVENT ASSIGNMENT'!A60)</f>
        <v/>
      </c>
      <c r="B71" s="52" t="str">
        <f>IF('EVENT ASSIGNMENT'!F60="","",'EVENT ASSIGNMENT'!F60)</f>
        <v/>
      </c>
      <c r="C71" s="52" t="str">
        <f>IF('EVENT ASSIGNMENT'!C60="","",'EVENT ASSIGNMENT'!C60)</f>
        <v/>
      </c>
      <c r="D71" s="52" t="str">
        <f>IF('EVENT ASSIGNMENT'!D60="","",'EVENT ASSIGNMENT'!D60)</f>
        <v/>
      </c>
      <c r="E71" s="52" t="str">
        <f>IF('EVENT ASSIGNMENT'!E60="","",'EVENT ASSIGNMENT'!E60)</f>
        <v/>
      </c>
      <c r="F71" s="54" t="str">
        <f>IF('EVENT ASSIGNMENT'!G60="","",'EVENT ASSIGNMENT'!G60)</f>
        <v/>
      </c>
      <c r="G71" s="53">
        <f>IF(E71="",0,SUMIFS('MSR DATA'!$I$2:$I$1001,'MSR DATA'!$D$2:$D$1001,E71))</f>
        <v>0</v>
      </c>
      <c r="H71" s="53">
        <f>IF(E71="",0,SUMIFS('MSR DATA'!$I$2:$I$1001,'MSR DATA'!$D$2:$D$1001,E71,'MSR DATA'!$G$2:$G$1001,"ALCOHOL"))</f>
        <v>0</v>
      </c>
      <c r="I71" s="53">
        <f t="shared" si="4"/>
        <v>0</v>
      </c>
      <c r="J71" s="53">
        <f t="shared" si="5"/>
        <v>0</v>
      </c>
      <c r="K71" s="53">
        <f t="shared" si="6"/>
        <v>0</v>
      </c>
      <c r="L71" s="52" t="str">
        <f t="shared" si="7"/>
        <v/>
      </c>
    </row>
    <row r="72" spans="1:12" ht="12.75" customHeight="1" x14ac:dyDescent="0.2">
      <c r="A72" s="51" t="str">
        <f>IF('EVENT ASSIGNMENT'!A61="","",'EVENT ASSIGNMENT'!A61)</f>
        <v/>
      </c>
      <c r="B72" s="52" t="str">
        <f>IF('EVENT ASSIGNMENT'!F61="","",'EVENT ASSIGNMENT'!F61)</f>
        <v/>
      </c>
      <c r="C72" s="52" t="str">
        <f>IF('EVENT ASSIGNMENT'!C61="","",'EVENT ASSIGNMENT'!C61)</f>
        <v/>
      </c>
      <c r="D72" s="52" t="str">
        <f>IF('EVENT ASSIGNMENT'!D61="","",'EVENT ASSIGNMENT'!D61)</f>
        <v/>
      </c>
      <c r="E72" s="52" t="str">
        <f>IF('EVENT ASSIGNMENT'!E61="","",'EVENT ASSIGNMENT'!E61)</f>
        <v/>
      </c>
      <c r="F72" s="54" t="str">
        <f>IF('EVENT ASSIGNMENT'!G61="","",'EVENT ASSIGNMENT'!G61)</f>
        <v/>
      </c>
      <c r="G72" s="53">
        <f>IF(E72="",0,SUMIFS('MSR DATA'!$I$2:$I$1001,'MSR DATA'!$D$2:$D$1001,E72))</f>
        <v>0</v>
      </c>
      <c r="H72" s="53">
        <f>IF(E72="",0,SUMIFS('MSR DATA'!$I$2:$I$1001,'MSR DATA'!$D$2:$D$1001,E72,'MSR DATA'!$G$2:$G$1001,"ALCOHOL"))</f>
        <v>0</v>
      </c>
      <c r="I72" s="53">
        <f t="shared" si="4"/>
        <v>0</v>
      </c>
      <c r="J72" s="53">
        <f t="shared" si="5"/>
        <v>0</v>
      </c>
      <c r="K72" s="53">
        <f t="shared" si="6"/>
        <v>0</v>
      </c>
      <c r="L72" s="52" t="str">
        <f t="shared" si="7"/>
        <v/>
      </c>
    </row>
    <row r="73" spans="1:12" ht="12.75" customHeight="1" x14ac:dyDescent="0.2">
      <c r="A73" s="51" t="str">
        <f>IF('EVENT ASSIGNMENT'!A62="","",'EVENT ASSIGNMENT'!A62)</f>
        <v/>
      </c>
      <c r="B73" s="52" t="str">
        <f>IF('EVENT ASSIGNMENT'!F62="","",'EVENT ASSIGNMENT'!F62)</f>
        <v/>
      </c>
      <c r="C73" s="52" t="str">
        <f>IF('EVENT ASSIGNMENT'!C62="","",'EVENT ASSIGNMENT'!C62)</f>
        <v/>
      </c>
      <c r="D73" s="52" t="str">
        <f>IF('EVENT ASSIGNMENT'!D62="","",'EVENT ASSIGNMENT'!D62)</f>
        <v/>
      </c>
      <c r="E73" s="52" t="str">
        <f>IF('EVENT ASSIGNMENT'!E62="","",'EVENT ASSIGNMENT'!E62)</f>
        <v/>
      </c>
      <c r="F73" s="54" t="str">
        <f>IF('EVENT ASSIGNMENT'!G62="","",'EVENT ASSIGNMENT'!G62)</f>
        <v/>
      </c>
      <c r="G73" s="53">
        <f>IF(E73="",0,SUMIFS('MSR DATA'!$I$2:$I$1001,'MSR DATA'!$D$2:$D$1001,E73))</f>
        <v>0</v>
      </c>
      <c r="H73" s="53">
        <f>IF(E73="",0,SUMIFS('MSR DATA'!$I$2:$I$1001,'MSR DATA'!$D$2:$D$1001,E73,'MSR DATA'!$G$2:$G$1001,"ALCOHOL"))</f>
        <v>0</v>
      </c>
      <c r="I73" s="53">
        <f t="shared" si="4"/>
        <v>0</v>
      </c>
      <c r="J73" s="53">
        <f t="shared" si="5"/>
        <v>0</v>
      </c>
      <c r="K73" s="53">
        <f t="shared" si="6"/>
        <v>0</v>
      </c>
      <c r="L73" s="52" t="str">
        <f t="shared" si="7"/>
        <v/>
      </c>
    </row>
    <row r="74" spans="1:12" ht="12.75" customHeight="1" x14ac:dyDescent="0.2">
      <c r="A74" s="51" t="str">
        <f>IF('EVENT ASSIGNMENT'!A63="","",'EVENT ASSIGNMENT'!A63)</f>
        <v/>
      </c>
      <c r="B74" s="52" t="str">
        <f>IF('EVENT ASSIGNMENT'!F63="","",'EVENT ASSIGNMENT'!F63)</f>
        <v/>
      </c>
      <c r="C74" s="52" t="str">
        <f>IF('EVENT ASSIGNMENT'!C63="","",'EVENT ASSIGNMENT'!C63)</f>
        <v/>
      </c>
      <c r="D74" s="52" t="str">
        <f>IF('EVENT ASSIGNMENT'!D63="","",'EVENT ASSIGNMENT'!D63)</f>
        <v/>
      </c>
      <c r="E74" s="52" t="str">
        <f>IF('EVENT ASSIGNMENT'!E63="","",'EVENT ASSIGNMENT'!E63)</f>
        <v/>
      </c>
      <c r="F74" s="54" t="str">
        <f>IF('EVENT ASSIGNMENT'!G63="","",'EVENT ASSIGNMENT'!G63)</f>
        <v/>
      </c>
      <c r="G74" s="53">
        <f>IF(E74="",0,SUMIFS('MSR DATA'!$I$2:$I$1001,'MSR DATA'!$D$2:$D$1001,E74))</f>
        <v>0</v>
      </c>
      <c r="H74" s="53">
        <f>IF(E74="",0,SUMIFS('MSR DATA'!$I$2:$I$1001,'MSR DATA'!$D$2:$D$1001,E74,'MSR DATA'!$G$2:$G$1001,"ALCOHOL"))</f>
        <v>0</v>
      </c>
      <c r="I74" s="53">
        <f t="shared" si="4"/>
        <v>0</v>
      </c>
      <c r="J74" s="53">
        <f t="shared" si="5"/>
        <v>0</v>
      </c>
      <c r="K74" s="53">
        <f t="shared" si="6"/>
        <v>0</v>
      </c>
      <c r="L74" s="52" t="str">
        <f t="shared" si="7"/>
        <v/>
      </c>
    </row>
    <row r="75" spans="1:12" ht="12.75" customHeight="1" x14ac:dyDescent="0.2">
      <c r="A75" s="51" t="str">
        <f>IF('EVENT ASSIGNMENT'!A64="","",'EVENT ASSIGNMENT'!A64)</f>
        <v/>
      </c>
      <c r="B75" s="52" t="str">
        <f>IF('EVENT ASSIGNMENT'!F64="","",'EVENT ASSIGNMENT'!F64)</f>
        <v/>
      </c>
      <c r="C75" s="52" t="str">
        <f>IF('EVENT ASSIGNMENT'!C64="","",'EVENT ASSIGNMENT'!C64)</f>
        <v/>
      </c>
      <c r="D75" s="52" t="str">
        <f>IF('EVENT ASSIGNMENT'!D64="","",'EVENT ASSIGNMENT'!D64)</f>
        <v/>
      </c>
      <c r="E75" s="52" t="str">
        <f>IF('EVENT ASSIGNMENT'!E64="","",'EVENT ASSIGNMENT'!E64)</f>
        <v/>
      </c>
      <c r="F75" s="54" t="str">
        <f>IF('EVENT ASSIGNMENT'!G64="","",'EVENT ASSIGNMENT'!G64)</f>
        <v/>
      </c>
      <c r="G75" s="53">
        <f>IF(E75="",0,SUMIFS('MSR DATA'!$I$2:$I$1001,'MSR DATA'!$D$2:$D$1001,E75))</f>
        <v>0</v>
      </c>
      <c r="H75" s="53">
        <f>IF(E75="",0,SUMIFS('MSR DATA'!$I$2:$I$1001,'MSR DATA'!$D$2:$D$1001,E75,'MSR DATA'!$G$2:$G$1001,"ALCOHOL"))</f>
        <v>0</v>
      </c>
      <c r="I75" s="53">
        <f t="shared" si="4"/>
        <v>0</v>
      </c>
      <c r="J75" s="53">
        <f t="shared" si="5"/>
        <v>0</v>
      </c>
      <c r="K75" s="53">
        <f t="shared" si="6"/>
        <v>0</v>
      </c>
      <c r="L75" s="52" t="str">
        <f t="shared" si="7"/>
        <v/>
      </c>
    </row>
    <row r="76" spans="1:12" ht="12.75" customHeight="1" x14ac:dyDescent="0.2">
      <c r="A76" s="51" t="str">
        <f>IF('EVENT ASSIGNMENT'!A65="","",'EVENT ASSIGNMENT'!A65)</f>
        <v/>
      </c>
      <c r="B76" s="52" t="str">
        <f>IF('EVENT ASSIGNMENT'!F65="","",'EVENT ASSIGNMENT'!F65)</f>
        <v/>
      </c>
      <c r="C76" s="52" t="str">
        <f>IF('EVENT ASSIGNMENT'!C65="","",'EVENT ASSIGNMENT'!C65)</f>
        <v/>
      </c>
      <c r="D76" s="52" t="str">
        <f>IF('EVENT ASSIGNMENT'!D65="","",'EVENT ASSIGNMENT'!D65)</f>
        <v/>
      </c>
      <c r="E76" s="52" t="str">
        <f>IF('EVENT ASSIGNMENT'!E65="","",'EVENT ASSIGNMENT'!E65)</f>
        <v/>
      </c>
      <c r="F76" s="54" t="str">
        <f>IF('EVENT ASSIGNMENT'!G65="","",'EVENT ASSIGNMENT'!G65)</f>
        <v/>
      </c>
      <c r="G76" s="53">
        <f>IF(E76="",0,SUMIFS('MSR DATA'!$I$2:$I$1001,'MSR DATA'!$D$2:$D$1001,E76))</f>
        <v>0</v>
      </c>
      <c r="H76" s="53">
        <f>IF(E76="",0,SUMIFS('MSR DATA'!$I$2:$I$1001,'MSR DATA'!$D$2:$D$1001,E76,'MSR DATA'!$G$2:$G$1001,"ALCOHOL"))</f>
        <v>0</v>
      </c>
      <c r="I76" s="53">
        <f t="shared" si="4"/>
        <v>0</v>
      </c>
      <c r="J76" s="53">
        <f t="shared" si="5"/>
        <v>0</v>
      </c>
      <c r="K76" s="53">
        <f t="shared" si="6"/>
        <v>0</v>
      </c>
      <c r="L76" s="52" t="str">
        <f t="shared" si="7"/>
        <v/>
      </c>
    </row>
    <row r="77" spans="1:12" ht="12.75" customHeight="1" x14ac:dyDescent="0.2">
      <c r="A77" s="51" t="str">
        <f>IF('EVENT ASSIGNMENT'!A66="","",'EVENT ASSIGNMENT'!A66)</f>
        <v/>
      </c>
      <c r="B77" s="52" t="str">
        <f>IF('EVENT ASSIGNMENT'!F66="","",'EVENT ASSIGNMENT'!F66)</f>
        <v/>
      </c>
      <c r="C77" s="52" t="str">
        <f>IF('EVENT ASSIGNMENT'!C66="","",'EVENT ASSIGNMENT'!C66)</f>
        <v/>
      </c>
      <c r="D77" s="52" t="str">
        <f>IF('EVENT ASSIGNMENT'!D66="","",'EVENT ASSIGNMENT'!D66)</f>
        <v/>
      </c>
      <c r="E77" s="52" t="str">
        <f>IF('EVENT ASSIGNMENT'!E66="","",'EVENT ASSIGNMENT'!E66)</f>
        <v/>
      </c>
      <c r="F77" s="54" t="str">
        <f>IF('EVENT ASSIGNMENT'!G66="","",'EVENT ASSIGNMENT'!G66)</f>
        <v/>
      </c>
      <c r="G77" s="53">
        <f>IF(E77="",0,SUMIFS('MSR DATA'!$I$2:$I$1001,'MSR DATA'!$D$2:$D$1001,E77))</f>
        <v>0</v>
      </c>
      <c r="H77" s="53">
        <f>IF(E77="",0,SUMIFS('MSR DATA'!$I$2:$I$1001,'MSR DATA'!$D$2:$D$1001,E77,'MSR DATA'!$G$2:$G$1001,"ALCOHOL"))</f>
        <v>0</v>
      </c>
      <c r="I77" s="53">
        <f t="shared" ref="I77:I108" si="8">G77-H77</f>
        <v>0</v>
      </c>
      <c r="J77" s="53">
        <f t="shared" ref="J77:J112" si="9">G77*IF(F77="",0,F77)</f>
        <v>0</v>
      </c>
      <c r="K77" s="53">
        <f t="shared" ref="K77:K112" si="10">I77*IF(F77="",0,F77)*$B$4+H77*IF(F77="",0,F77)*$B$5</f>
        <v>0</v>
      </c>
      <c r="L77" s="52" t="str">
        <f t="shared" ref="L77:L112" si="11">IF(B77="","",IF(F77="","MISSING ALLOCATION",IF(ABS(SUMIFS($F$13:$F$112,$A$13:$A$112,A77,$C$13:$C$112,C77)-1)&gt;0.0001,"REVIEW LOCATION ALLOCATION",IF(G77=0,"NO MSR SALES","OK"))))</f>
        <v/>
      </c>
    </row>
    <row r="78" spans="1:12" ht="12.75" customHeight="1" x14ac:dyDescent="0.2">
      <c r="A78" s="51" t="str">
        <f>IF('EVENT ASSIGNMENT'!A67="","",'EVENT ASSIGNMENT'!A67)</f>
        <v/>
      </c>
      <c r="B78" s="52" t="str">
        <f>IF('EVENT ASSIGNMENT'!F67="","",'EVENT ASSIGNMENT'!F67)</f>
        <v/>
      </c>
      <c r="C78" s="52" t="str">
        <f>IF('EVENT ASSIGNMENT'!C67="","",'EVENT ASSIGNMENT'!C67)</f>
        <v/>
      </c>
      <c r="D78" s="52" t="str">
        <f>IF('EVENT ASSIGNMENT'!D67="","",'EVENT ASSIGNMENT'!D67)</f>
        <v/>
      </c>
      <c r="E78" s="52" t="str">
        <f>IF('EVENT ASSIGNMENT'!E67="","",'EVENT ASSIGNMENT'!E67)</f>
        <v/>
      </c>
      <c r="F78" s="54" t="str">
        <f>IF('EVENT ASSIGNMENT'!G67="","",'EVENT ASSIGNMENT'!G67)</f>
        <v/>
      </c>
      <c r="G78" s="53">
        <f>IF(E78="",0,SUMIFS('MSR DATA'!$I$2:$I$1001,'MSR DATA'!$D$2:$D$1001,E78))</f>
        <v>0</v>
      </c>
      <c r="H78" s="53">
        <f>IF(E78="",0,SUMIFS('MSR DATA'!$I$2:$I$1001,'MSR DATA'!$D$2:$D$1001,E78,'MSR DATA'!$G$2:$G$1001,"ALCOHOL"))</f>
        <v>0</v>
      </c>
      <c r="I78" s="53">
        <f t="shared" si="8"/>
        <v>0</v>
      </c>
      <c r="J78" s="53">
        <f t="shared" si="9"/>
        <v>0</v>
      </c>
      <c r="K78" s="53">
        <f t="shared" si="10"/>
        <v>0</v>
      </c>
      <c r="L78" s="52" t="str">
        <f t="shared" si="11"/>
        <v/>
      </c>
    </row>
    <row r="79" spans="1:12" ht="12.75" customHeight="1" x14ac:dyDescent="0.2">
      <c r="A79" s="51" t="str">
        <f>IF('EVENT ASSIGNMENT'!A68="","",'EVENT ASSIGNMENT'!A68)</f>
        <v/>
      </c>
      <c r="B79" s="52" t="str">
        <f>IF('EVENT ASSIGNMENT'!F68="","",'EVENT ASSIGNMENT'!F68)</f>
        <v/>
      </c>
      <c r="C79" s="52" t="str">
        <f>IF('EVENT ASSIGNMENT'!C68="","",'EVENT ASSIGNMENT'!C68)</f>
        <v/>
      </c>
      <c r="D79" s="52" t="str">
        <f>IF('EVENT ASSIGNMENT'!D68="","",'EVENT ASSIGNMENT'!D68)</f>
        <v/>
      </c>
      <c r="E79" s="52" t="str">
        <f>IF('EVENT ASSIGNMENT'!E68="","",'EVENT ASSIGNMENT'!E68)</f>
        <v/>
      </c>
      <c r="F79" s="54" t="str">
        <f>IF('EVENT ASSIGNMENT'!G68="","",'EVENT ASSIGNMENT'!G68)</f>
        <v/>
      </c>
      <c r="G79" s="53">
        <f>IF(E79="",0,SUMIFS('MSR DATA'!$I$2:$I$1001,'MSR DATA'!$D$2:$D$1001,E79))</f>
        <v>0</v>
      </c>
      <c r="H79" s="53">
        <f>IF(E79="",0,SUMIFS('MSR DATA'!$I$2:$I$1001,'MSR DATA'!$D$2:$D$1001,E79,'MSR DATA'!$G$2:$G$1001,"ALCOHOL"))</f>
        <v>0</v>
      </c>
      <c r="I79" s="53">
        <f t="shared" si="8"/>
        <v>0</v>
      </c>
      <c r="J79" s="53">
        <f t="shared" si="9"/>
        <v>0</v>
      </c>
      <c r="K79" s="53">
        <f t="shared" si="10"/>
        <v>0</v>
      </c>
      <c r="L79" s="52" t="str">
        <f t="shared" si="11"/>
        <v/>
      </c>
    </row>
    <row r="80" spans="1:12" ht="12.75" customHeight="1" x14ac:dyDescent="0.2">
      <c r="A80" s="51" t="str">
        <f>IF('EVENT ASSIGNMENT'!A69="","",'EVENT ASSIGNMENT'!A69)</f>
        <v/>
      </c>
      <c r="B80" s="52" t="str">
        <f>IF('EVENT ASSIGNMENT'!F69="","",'EVENT ASSIGNMENT'!F69)</f>
        <v/>
      </c>
      <c r="C80" s="52" t="str">
        <f>IF('EVENT ASSIGNMENT'!C69="","",'EVENT ASSIGNMENT'!C69)</f>
        <v/>
      </c>
      <c r="D80" s="52" t="str">
        <f>IF('EVENT ASSIGNMENT'!D69="","",'EVENT ASSIGNMENT'!D69)</f>
        <v/>
      </c>
      <c r="E80" s="52" t="str">
        <f>IF('EVENT ASSIGNMENT'!E69="","",'EVENT ASSIGNMENT'!E69)</f>
        <v/>
      </c>
      <c r="F80" s="54" t="str">
        <f>IF('EVENT ASSIGNMENT'!G69="","",'EVENT ASSIGNMENT'!G69)</f>
        <v/>
      </c>
      <c r="G80" s="53">
        <f>IF(E80="",0,SUMIFS('MSR DATA'!$I$2:$I$1001,'MSR DATA'!$D$2:$D$1001,E80))</f>
        <v>0</v>
      </c>
      <c r="H80" s="53">
        <f>IF(E80="",0,SUMIFS('MSR DATA'!$I$2:$I$1001,'MSR DATA'!$D$2:$D$1001,E80,'MSR DATA'!$G$2:$G$1001,"ALCOHOL"))</f>
        <v>0</v>
      </c>
      <c r="I80" s="53">
        <f t="shared" si="8"/>
        <v>0</v>
      </c>
      <c r="J80" s="53">
        <f t="shared" si="9"/>
        <v>0</v>
      </c>
      <c r="K80" s="53">
        <f t="shared" si="10"/>
        <v>0</v>
      </c>
      <c r="L80" s="52" t="str">
        <f t="shared" si="11"/>
        <v/>
      </c>
    </row>
    <row r="81" spans="1:12" ht="12.75" customHeight="1" x14ac:dyDescent="0.2">
      <c r="A81" s="51" t="str">
        <f>IF('EVENT ASSIGNMENT'!A70="","",'EVENT ASSIGNMENT'!A70)</f>
        <v/>
      </c>
      <c r="B81" s="52" t="str">
        <f>IF('EVENT ASSIGNMENT'!F70="","",'EVENT ASSIGNMENT'!F70)</f>
        <v/>
      </c>
      <c r="C81" s="52" t="str">
        <f>IF('EVENT ASSIGNMENT'!C70="","",'EVENT ASSIGNMENT'!C70)</f>
        <v/>
      </c>
      <c r="D81" s="52" t="str">
        <f>IF('EVENT ASSIGNMENT'!D70="","",'EVENT ASSIGNMENT'!D70)</f>
        <v/>
      </c>
      <c r="E81" s="52" t="str">
        <f>IF('EVENT ASSIGNMENT'!E70="","",'EVENT ASSIGNMENT'!E70)</f>
        <v/>
      </c>
      <c r="F81" s="54" t="str">
        <f>IF('EVENT ASSIGNMENT'!G70="","",'EVENT ASSIGNMENT'!G70)</f>
        <v/>
      </c>
      <c r="G81" s="53">
        <f>IF(E81="",0,SUMIFS('MSR DATA'!$I$2:$I$1001,'MSR DATA'!$D$2:$D$1001,E81))</f>
        <v>0</v>
      </c>
      <c r="H81" s="53">
        <f>IF(E81="",0,SUMIFS('MSR DATA'!$I$2:$I$1001,'MSR DATA'!$D$2:$D$1001,E81,'MSR DATA'!$G$2:$G$1001,"ALCOHOL"))</f>
        <v>0</v>
      </c>
      <c r="I81" s="53">
        <f t="shared" si="8"/>
        <v>0</v>
      </c>
      <c r="J81" s="53">
        <f t="shared" si="9"/>
        <v>0</v>
      </c>
      <c r="K81" s="53">
        <f t="shared" si="10"/>
        <v>0</v>
      </c>
      <c r="L81" s="52" t="str">
        <f t="shared" si="11"/>
        <v/>
      </c>
    </row>
    <row r="82" spans="1:12" ht="12.75" customHeight="1" x14ac:dyDescent="0.2">
      <c r="A82" s="51" t="str">
        <f>IF('EVENT ASSIGNMENT'!A71="","",'EVENT ASSIGNMENT'!A71)</f>
        <v/>
      </c>
      <c r="B82" s="52" t="str">
        <f>IF('EVENT ASSIGNMENT'!F71="","",'EVENT ASSIGNMENT'!F71)</f>
        <v/>
      </c>
      <c r="C82" s="52" t="str">
        <f>IF('EVENT ASSIGNMENT'!C71="","",'EVENT ASSIGNMENT'!C71)</f>
        <v/>
      </c>
      <c r="D82" s="52" t="str">
        <f>IF('EVENT ASSIGNMENT'!D71="","",'EVENT ASSIGNMENT'!D71)</f>
        <v/>
      </c>
      <c r="E82" s="52" t="str">
        <f>IF('EVENT ASSIGNMENT'!E71="","",'EVENT ASSIGNMENT'!E71)</f>
        <v/>
      </c>
      <c r="F82" s="54" t="str">
        <f>IF('EVENT ASSIGNMENT'!G71="","",'EVENT ASSIGNMENT'!G71)</f>
        <v/>
      </c>
      <c r="G82" s="53">
        <f>IF(E82="",0,SUMIFS('MSR DATA'!$I$2:$I$1001,'MSR DATA'!$D$2:$D$1001,E82))</f>
        <v>0</v>
      </c>
      <c r="H82" s="53">
        <f>IF(E82="",0,SUMIFS('MSR DATA'!$I$2:$I$1001,'MSR DATA'!$D$2:$D$1001,E82,'MSR DATA'!$G$2:$G$1001,"ALCOHOL"))</f>
        <v>0</v>
      </c>
      <c r="I82" s="53">
        <f t="shared" si="8"/>
        <v>0</v>
      </c>
      <c r="J82" s="53">
        <f t="shared" si="9"/>
        <v>0</v>
      </c>
      <c r="K82" s="53">
        <f t="shared" si="10"/>
        <v>0</v>
      </c>
      <c r="L82" s="52" t="str">
        <f t="shared" si="11"/>
        <v/>
      </c>
    </row>
    <row r="83" spans="1:12" ht="12.75" customHeight="1" x14ac:dyDescent="0.2">
      <c r="A83" s="51" t="str">
        <f>IF('EVENT ASSIGNMENT'!A72="","",'EVENT ASSIGNMENT'!A72)</f>
        <v/>
      </c>
      <c r="B83" s="52" t="str">
        <f>IF('EVENT ASSIGNMENT'!F72="","",'EVENT ASSIGNMENT'!F72)</f>
        <v/>
      </c>
      <c r="C83" s="52" t="str">
        <f>IF('EVENT ASSIGNMENT'!C72="","",'EVENT ASSIGNMENT'!C72)</f>
        <v/>
      </c>
      <c r="D83" s="52" t="str">
        <f>IF('EVENT ASSIGNMENT'!D72="","",'EVENT ASSIGNMENT'!D72)</f>
        <v/>
      </c>
      <c r="E83" s="52" t="str">
        <f>IF('EVENT ASSIGNMENT'!E72="","",'EVENT ASSIGNMENT'!E72)</f>
        <v/>
      </c>
      <c r="F83" s="54" t="str">
        <f>IF('EVENT ASSIGNMENT'!G72="","",'EVENT ASSIGNMENT'!G72)</f>
        <v/>
      </c>
      <c r="G83" s="53">
        <f>IF(E83="",0,SUMIFS('MSR DATA'!$I$2:$I$1001,'MSR DATA'!$D$2:$D$1001,E83))</f>
        <v>0</v>
      </c>
      <c r="H83" s="53">
        <f>IF(E83="",0,SUMIFS('MSR DATA'!$I$2:$I$1001,'MSR DATA'!$D$2:$D$1001,E83,'MSR DATA'!$G$2:$G$1001,"ALCOHOL"))</f>
        <v>0</v>
      </c>
      <c r="I83" s="53">
        <f t="shared" si="8"/>
        <v>0</v>
      </c>
      <c r="J83" s="53">
        <f t="shared" si="9"/>
        <v>0</v>
      </c>
      <c r="K83" s="53">
        <f t="shared" si="10"/>
        <v>0</v>
      </c>
      <c r="L83" s="52" t="str">
        <f t="shared" si="11"/>
        <v/>
      </c>
    </row>
    <row r="84" spans="1:12" ht="12.75" customHeight="1" x14ac:dyDescent="0.2">
      <c r="A84" s="51" t="str">
        <f>IF('EVENT ASSIGNMENT'!A73="","",'EVENT ASSIGNMENT'!A73)</f>
        <v/>
      </c>
      <c r="B84" s="52" t="str">
        <f>IF('EVENT ASSIGNMENT'!F73="","",'EVENT ASSIGNMENT'!F73)</f>
        <v/>
      </c>
      <c r="C84" s="52" t="str">
        <f>IF('EVENT ASSIGNMENT'!C73="","",'EVENT ASSIGNMENT'!C73)</f>
        <v/>
      </c>
      <c r="D84" s="52" t="str">
        <f>IF('EVENT ASSIGNMENT'!D73="","",'EVENT ASSIGNMENT'!D73)</f>
        <v/>
      </c>
      <c r="E84" s="52" t="str">
        <f>IF('EVENT ASSIGNMENT'!E73="","",'EVENT ASSIGNMENT'!E73)</f>
        <v/>
      </c>
      <c r="F84" s="54" t="str">
        <f>IF('EVENT ASSIGNMENT'!G73="","",'EVENT ASSIGNMENT'!G73)</f>
        <v/>
      </c>
      <c r="G84" s="53">
        <f>IF(E84="",0,SUMIFS('MSR DATA'!$I$2:$I$1001,'MSR DATA'!$D$2:$D$1001,E84))</f>
        <v>0</v>
      </c>
      <c r="H84" s="53">
        <f>IF(E84="",0,SUMIFS('MSR DATA'!$I$2:$I$1001,'MSR DATA'!$D$2:$D$1001,E84,'MSR DATA'!$G$2:$G$1001,"ALCOHOL"))</f>
        <v>0</v>
      </c>
      <c r="I84" s="53">
        <f t="shared" si="8"/>
        <v>0</v>
      </c>
      <c r="J84" s="53">
        <f t="shared" si="9"/>
        <v>0</v>
      </c>
      <c r="K84" s="53">
        <f t="shared" si="10"/>
        <v>0</v>
      </c>
      <c r="L84" s="52" t="str">
        <f t="shared" si="11"/>
        <v/>
      </c>
    </row>
    <row r="85" spans="1:12" ht="12.75" customHeight="1" x14ac:dyDescent="0.2">
      <c r="A85" s="51" t="str">
        <f>IF('EVENT ASSIGNMENT'!A74="","",'EVENT ASSIGNMENT'!A74)</f>
        <v/>
      </c>
      <c r="B85" s="52" t="str">
        <f>IF('EVENT ASSIGNMENT'!F74="","",'EVENT ASSIGNMENT'!F74)</f>
        <v/>
      </c>
      <c r="C85" s="52" t="str">
        <f>IF('EVENT ASSIGNMENT'!C74="","",'EVENT ASSIGNMENT'!C74)</f>
        <v/>
      </c>
      <c r="D85" s="52" t="str">
        <f>IF('EVENT ASSIGNMENT'!D74="","",'EVENT ASSIGNMENT'!D74)</f>
        <v/>
      </c>
      <c r="E85" s="52" t="str">
        <f>IF('EVENT ASSIGNMENT'!E74="","",'EVENT ASSIGNMENT'!E74)</f>
        <v/>
      </c>
      <c r="F85" s="54" t="str">
        <f>IF('EVENT ASSIGNMENT'!G74="","",'EVENT ASSIGNMENT'!G74)</f>
        <v/>
      </c>
      <c r="G85" s="53">
        <f>IF(E85="",0,SUMIFS('MSR DATA'!$I$2:$I$1001,'MSR DATA'!$D$2:$D$1001,E85))</f>
        <v>0</v>
      </c>
      <c r="H85" s="53">
        <f>IF(E85="",0,SUMIFS('MSR DATA'!$I$2:$I$1001,'MSR DATA'!$D$2:$D$1001,E85,'MSR DATA'!$G$2:$G$1001,"ALCOHOL"))</f>
        <v>0</v>
      </c>
      <c r="I85" s="53">
        <f t="shared" si="8"/>
        <v>0</v>
      </c>
      <c r="J85" s="53">
        <f t="shared" si="9"/>
        <v>0</v>
      </c>
      <c r="K85" s="53">
        <f t="shared" si="10"/>
        <v>0</v>
      </c>
      <c r="L85" s="52" t="str">
        <f t="shared" si="11"/>
        <v/>
      </c>
    </row>
    <row r="86" spans="1:12" ht="12.75" customHeight="1" x14ac:dyDescent="0.2">
      <c r="A86" s="51" t="str">
        <f>IF('EVENT ASSIGNMENT'!A75="","",'EVENT ASSIGNMENT'!A75)</f>
        <v/>
      </c>
      <c r="B86" s="52" t="str">
        <f>IF('EVENT ASSIGNMENT'!F75="","",'EVENT ASSIGNMENT'!F75)</f>
        <v/>
      </c>
      <c r="C86" s="52" t="str">
        <f>IF('EVENT ASSIGNMENT'!C75="","",'EVENT ASSIGNMENT'!C75)</f>
        <v/>
      </c>
      <c r="D86" s="52" t="str">
        <f>IF('EVENT ASSIGNMENT'!D75="","",'EVENT ASSIGNMENT'!D75)</f>
        <v/>
      </c>
      <c r="E86" s="52" t="str">
        <f>IF('EVENT ASSIGNMENT'!E75="","",'EVENT ASSIGNMENT'!E75)</f>
        <v/>
      </c>
      <c r="F86" s="54" t="str">
        <f>IF('EVENT ASSIGNMENT'!G75="","",'EVENT ASSIGNMENT'!G75)</f>
        <v/>
      </c>
      <c r="G86" s="53">
        <f>IF(E86="",0,SUMIFS('MSR DATA'!$I$2:$I$1001,'MSR DATA'!$D$2:$D$1001,E86))</f>
        <v>0</v>
      </c>
      <c r="H86" s="53">
        <f>IF(E86="",0,SUMIFS('MSR DATA'!$I$2:$I$1001,'MSR DATA'!$D$2:$D$1001,E86,'MSR DATA'!$G$2:$G$1001,"ALCOHOL"))</f>
        <v>0</v>
      </c>
      <c r="I86" s="53">
        <f t="shared" si="8"/>
        <v>0</v>
      </c>
      <c r="J86" s="53">
        <f t="shared" si="9"/>
        <v>0</v>
      </c>
      <c r="K86" s="53">
        <f t="shared" si="10"/>
        <v>0</v>
      </c>
      <c r="L86" s="52" t="str">
        <f t="shared" si="11"/>
        <v/>
      </c>
    </row>
    <row r="87" spans="1:12" ht="12.75" customHeight="1" x14ac:dyDescent="0.2">
      <c r="A87" s="51" t="str">
        <f>IF('EVENT ASSIGNMENT'!A76="","",'EVENT ASSIGNMENT'!A76)</f>
        <v/>
      </c>
      <c r="B87" s="52" t="str">
        <f>IF('EVENT ASSIGNMENT'!F76="","",'EVENT ASSIGNMENT'!F76)</f>
        <v/>
      </c>
      <c r="C87" s="52" t="str">
        <f>IF('EVENT ASSIGNMENT'!C76="","",'EVENT ASSIGNMENT'!C76)</f>
        <v/>
      </c>
      <c r="D87" s="52" t="str">
        <f>IF('EVENT ASSIGNMENT'!D76="","",'EVENT ASSIGNMENT'!D76)</f>
        <v/>
      </c>
      <c r="E87" s="52" t="str">
        <f>IF('EVENT ASSIGNMENT'!E76="","",'EVENT ASSIGNMENT'!E76)</f>
        <v/>
      </c>
      <c r="F87" s="54" t="str">
        <f>IF('EVENT ASSIGNMENT'!G76="","",'EVENT ASSIGNMENT'!G76)</f>
        <v/>
      </c>
      <c r="G87" s="53">
        <f>IF(E87="",0,SUMIFS('MSR DATA'!$I$2:$I$1001,'MSR DATA'!$D$2:$D$1001,E87))</f>
        <v>0</v>
      </c>
      <c r="H87" s="53">
        <f>IF(E87="",0,SUMIFS('MSR DATA'!$I$2:$I$1001,'MSR DATA'!$D$2:$D$1001,E87,'MSR DATA'!$G$2:$G$1001,"ALCOHOL"))</f>
        <v>0</v>
      </c>
      <c r="I87" s="53">
        <f t="shared" si="8"/>
        <v>0</v>
      </c>
      <c r="J87" s="53">
        <f t="shared" si="9"/>
        <v>0</v>
      </c>
      <c r="K87" s="53">
        <f t="shared" si="10"/>
        <v>0</v>
      </c>
      <c r="L87" s="52" t="str">
        <f t="shared" si="11"/>
        <v/>
      </c>
    </row>
    <row r="88" spans="1:12" ht="12.75" customHeight="1" x14ac:dyDescent="0.2">
      <c r="A88" s="51" t="str">
        <f>IF('EVENT ASSIGNMENT'!A77="","",'EVENT ASSIGNMENT'!A77)</f>
        <v/>
      </c>
      <c r="B88" s="52" t="str">
        <f>IF('EVENT ASSIGNMENT'!F77="","",'EVENT ASSIGNMENT'!F77)</f>
        <v/>
      </c>
      <c r="C88" s="52" t="str">
        <f>IF('EVENT ASSIGNMENT'!C77="","",'EVENT ASSIGNMENT'!C77)</f>
        <v/>
      </c>
      <c r="D88" s="52" t="str">
        <f>IF('EVENT ASSIGNMENT'!D77="","",'EVENT ASSIGNMENT'!D77)</f>
        <v/>
      </c>
      <c r="E88" s="52" t="str">
        <f>IF('EVENT ASSIGNMENT'!E77="","",'EVENT ASSIGNMENT'!E77)</f>
        <v/>
      </c>
      <c r="F88" s="54" t="str">
        <f>IF('EVENT ASSIGNMENT'!G77="","",'EVENT ASSIGNMENT'!G77)</f>
        <v/>
      </c>
      <c r="G88" s="53">
        <f>IF(E88="",0,SUMIFS('MSR DATA'!$I$2:$I$1001,'MSR DATA'!$D$2:$D$1001,E88))</f>
        <v>0</v>
      </c>
      <c r="H88" s="53">
        <f>IF(E88="",0,SUMIFS('MSR DATA'!$I$2:$I$1001,'MSR DATA'!$D$2:$D$1001,E88,'MSR DATA'!$G$2:$G$1001,"ALCOHOL"))</f>
        <v>0</v>
      </c>
      <c r="I88" s="53">
        <f t="shared" si="8"/>
        <v>0</v>
      </c>
      <c r="J88" s="53">
        <f t="shared" si="9"/>
        <v>0</v>
      </c>
      <c r="K88" s="53">
        <f t="shared" si="10"/>
        <v>0</v>
      </c>
      <c r="L88" s="52" t="str">
        <f t="shared" si="11"/>
        <v/>
      </c>
    </row>
    <row r="89" spans="1:12" ht="12.75" customHeight="1" x14ac:dyDescent="0.2">
      <c r="A89" s="51" t="str">
        <f>IF('EVENT ASSIGNMENT'!A78="","",'EVENT ASSIGNMENT'!A78)</f>
        <v/>
      </c>
      <c r="B89" s="52" t="str">
        <f>IF('EVENT ASSIGNMENT'!F78="","",'EVENT ASSIGNMENT'!F78)</f>
        <v/>
      </c>
      <c r="C89" s="52" t="str">
        <f>IF('EVENT ASSIGNMENT'!C78="","",'EVENT ASSIGNMENT'!C78)</f>
        <v/>
      </c>
      <c r="D89" s="52" t="str">
        <f>IF('EVENT ASSIGNMENT'!D78="","",'EVENT ASSIGNMENT'!D78)</f>
        <v/>
      </c>
      <c r="E89" s="52" t="str">
        <f>IF('EVENT ASSIGNMENT'!E78="","",'EVENT ASSIGNMENT'!E78)</f>
        <v/>
      </c>
      <c r="F89" s="54" t="str">
        <f>IF('EVENT ASSIGNMENT'!G78="","",'EVENT ASSIGNMENT'!G78)</f>
        <v/>
      </c>
      <c r="G89" s="53">
        <f>IF(E89="",0,SUMIFS('MSR DATA'!$I$2:$I$1001,'MSR DATA'!$D$2:$D$1001,E89))</f>
        <v>0</v>
      </c>
      <c r="H89" s="53">
        <f>IF(E89="",0,SUMIFS('MSR DATA'!$I$2:$I$1001,'MSR DATA'!$D$2:$D$1001,E89,'MSR DATA'!$G$2:$G$1001,"ALCOHOL"))</f>
        <v>0</v>
      </c>
      <c r="I89" s="53">
        <f t="shared" si="8"/>
        <v>0</v>
      </c>
      <c r="J89" s="53">
        <f t="shared" si="9"/>
        <v>0</v>
      </c>
      <c r="K89" s="53">
        <f t="shared" si="10"/>
        <v>0</v>
      </c>
      <c r="L89" s="52" t="str">
        <f t="shared" si="11"/>
        <v/>
      </c>
    </row>
    <row r="90" spans="1:12" ht="12.75" customHeight="1" x14ac:dyDescent="0.2">
      <c r="A90" s="51" t="str">
        <f>IF('EVENT ASSIGNMENT'!A79="","",'EVENT ASSIGNMENT'!A79)</f>
        <v/>
      </c>
      <c r="B90" s="52" t="str">
        <f>IF('EVENT ASSIGNMENT'!F79="","",'EVENT ASSIGNMENT'!F79)</f>
        <v/>
      </c>
      <c r="C90" s="52" t="str">
        <f>IF('EVENT ASSIGNMENT'!C79="","",'EVENT ASSIGNMENT'!C79)</f>
        <v/>
      </c>
      <c r="D90" s="52" t="str">
        <f>IF('EVENT ASSIGNMENT'!D79="","",'EVENT ASSIGNMENT'!D79)</f>
        <v/>
      </c>
      <c r="E90" s="52" t="str">
        <f>IF('EVENT ASSIGNMENT'!E79="","",'EVENT ASSIGNMENT'!E79)</f>
        <v/>
      </c>
      <c r="F90" s="54" t="str">
        <f>IF('EVENT ASSIGNMENT'!G79="","",'EVENT ASSIGNMENT'!G79)</f>
        <v/>
      </c>
      <c r="G90" s="53">
        <f>IF(E90="",0,SUMIFS('MSR DATA'!$I$2:$I$1001,'MSR DATA'!$D$2:$D$1001,E90))</f>
        <v>0</v>
      </c>
      <c r="H90" s="53">
        <f>IF(E90="",0,SUMIFS('MSR DATA'!$I$2:$I$1001,'MSR DATA'!$D$2:$D$1001,E90,'MSR DATA'!$G$2:$G$1001,"ALCOHOL"))</f>
        <v>0</v>
      </c>
      <c r="I90" s="53">
        <f t="shared" si="8"/>
        <v>0</v>
      </c>
      <c r="J90" s="53">
        <f t="shared" si="9"/>
        <v>0</v>
      </c>
      <c r="K90" s="53">
        <f t="shared" si="10"/>
        <v>0</v>
      </c>
      <c r="L90" s="52" t="str">
        <f t="shared" si="11"/>
        <v/>
      </c>
    </row>
    <row r="91" spans="1:12" ht="12.75" customHeight="1" x14ac:dyDescent="0.2">
      <c r="A91" s="51" t="str">
        <f>IF('EVENT ASSIGNMENT'!A80="","",'EVENT ASSIGNMENT'!A80)</f>
        <v/>
      </c>
      <c r="B91" s="52" t="str">
        <f>IF('EVENT ASSIGNMENT'!F80="","",'EVENT ASSIGNMENT'!F80)</f>
        <v/>
      </c>
      <c r="C91" s="52" t="str">
        <f>IF('EVENT ASSIGNMENT'!C80="","",'EVENT ASSIGNMENT'!C80)</f>
        <v/>
      </c>
      <c r="D91" s="52" t="str">
        <f>IF('EVENT ASSIGNMENT'!D80="","",'EVENT ASSIGNMENT'!D80)</f>
        <v/>
      </c>
      <c r="E91" s="52" t="str">
        <f>IF('EVENT ASSIGNMENT'!E80="","",'EVENT ASSIGNMENT'!E80)</f>
        <v/>
      </c>
      <c r="F91" s="54" t="str">
        <f>IF('EVENT ASSIGNMENT'!G80="","",'EVENT ASSIGNMENT'!G80)</f>
        <v/>
      </c>
      <c r="G91" s="53">
        <f>IF(E91="",0,SUMIFS('MSR DATA'!$I$2:$I$1001,'MSR DATA'!$D$2:$D$1001,E91))</f>
        <v>0</v>
      </c>
      <c r="H91" s="53">
        <f>IF(E91="",0,SUMIFS('MSR DATA'!$I$2:$I$1001,'MSR DATA'!$D$2:$D$1001,E91,'MSR DATA'!$G$2:$G$1001,"ALCOHOL"))</f>
        <v>0</v>
      </c>
      <c r="I91" s="53">
        <f t="shared" si="8"/>
        <v>0</v>
      </c>
      <c r="J91" s="53">
        <f t="shared" si="9"/>
        <v>0</v>
      </c>
      <c r="K91" s="53">
        <f t="shared" si="10"/>
        <v>0</v>
      </c>
      <c r="L91" s="52" t="str">
        <f t="shared" si="11"/>
        <v/>
      </c>
    </row>
    <row r="92" spans="1:12" ht="12.75" customHeight="1" x14ac:dyDescent="0.2">
      <c r="A92" s="51" t="str">
        <f>IF('EVENT ASSIGNMENT'!A81="","",'EVENT ASSIGNMENT'!A81)</f>
        <v/>
      </c>
      <c r="B92" s="52" t="str">
        <f>IF('EVENT ASSIGNMENT'!F81="","",'EVENT ASSIGNMENT'!F81)</f>
        <v/>
      </c>
      <c r="C92" s="52" t="str">
        <f>IF('EVENT ASSIGNMENT'!C81="","",'EVENT ASSIGNMENT'!C81)</f>
        <v/>
      </c>
      <c r="D92" s="52" t="str">
        <f>IF('EVENT ASSIGNMENT'!D81="","",'EVENT ASSIGNMENT'!D81)</f>
        <v/>
      </c>
      <c r="E92" s="52" t="str">
        <f>IF('EVENT ASSIGNMENT'!E81="","",'EVENT ASSIGNMENT'!E81)</f>
        <v/>
      </c>
      <c r="F92" s="54" t="str">
        <f>IF('EVENT ASSIGNMENT'!G81="","",'EVENT ASSIGNMENT'!G81)</f>
        <v/>
      </c>
      <c r="G92" s="53">
        <f>IF(E92="",0,SUMIFS('MSR DATA'!$I$2:$I$1001,'MSR DATA'!$D$2:$D$1001,E92))</f>
        <v>0</v>
      </c>
      <c r="H92" s="53">
        <f>IF(E92="",0,SUMIFS('MSR DATA'!$I$2:$I$1001,'MSR DATA'!$D$2:$D$1001,E92,'MSR DATA'!$G$2:$G$1001,"ALCOHOL"))</f>
        <v>0</v>
      </c>
      <c r="I92" s="53">
        <f t="shared" si="8"/>
        <v>0</v>
      </c>
      <c r="J92" s="53">
        <f t="shared" si="9"/>
        <v>0</v>
      </c>
      <c r="K92" s="53">
        <f t="shared" si="10"/>
        <v>0</v>
      </c>
      <c r="L92" s="52" t="str">
        <f t="shared" si="11"/>
        <v/>
      </c>
    </row>
    <row r="93" spans="1:12" ht="12.75" customHeight="1" x14ac:dyDescent="0.2">
      <c r="A93" s="51" t="str">
        <f>IF('EVENT ASSIGNMENT'!A82="","",'EVENT ASSIGNMENT'!A82)</f>
        <v/>
      </c>
      <c r="B93" s="52" t="str">
        <f>IF('EVENT ASSIGNMENT'!F82="","",'EVENT ASSIGNMENT'!F82)</f>
        <v/>
      </c>
      <c r="C93" s="52" t="str">
        <f>IF('EVENT ASSIGNMENT'!C82="","",'EVENT ASSIGNMENT'!C82)</f>
        <v/>
      </c>
      <c r="D93" s="52" t="str">
        <f>IF('EVENT ASSIGNMENT'!D82="","",'EVENT ASSIGNMENT'!D82)</f>
        <v/>
      </c>
      <c r="E93" s="52" t="str">
        <f>IF('EVENT ASSIGNMENT'!E82="","",'EVENT ASSIGNMENT'!E82)</f>
        <v/>
      </c>
      <c r="F93" s="54" t="str">
        <f>IF('EVENT ASSIGNMENT'!G82="","",'EVENT ASSIGNMENT'!G82)</f>
        <v/>
      </c>
      <c r="G93" s="53">
        <f>IF(E93="",0,SUMIFS('MSR DATA'!$I$2:$I$1001,'MSR DATA'!$D$2:$D$1001,E93))</f>
        <v>0</v>
      </c>
      <c r="H93" s="53">
        <f>IF(E93="",0,SUMIFS('MSR DATA'!$I$2:$I$1001,'MSR DATA'!$D$2:$D$1001,E93,'MSR DATA'!$G$2:$G$1001,"ALCOHOL"))</f>
        <v>0</v>
      </c>
      <c r="I93" s="53">
        <f t="shared" si="8"/>
        <v>0</v>
      </c>
      <c r="J93" s="53">
        <f t="shared" si="9"/>
        <v>0</v>
      </c>
      <c r="K93" s="53">
        <f t="shared" si="10"/>
        <v>0</v>
      </c>
      <c r="L93" s="52" t="str">
        <f t="shared" si="11"/>
        <v/>
      </c>
    </row>
    <row r="94" spans="1:12" ht="12.75" customHeight="1" x14ac:dyDescent="0.2">
      <c r="A94" s="51" t="str">
        <f>IF('EVENT ASSIGNMENT'!A83="","",'EVENT ASSIGNMENT'!A83)</f>
        <v/>
      </c>
      <c r="B94" s="52" t="str">
        <f>IF('EVENT ASSIGNMENT'!F83="","",'EVENT ASSIGNMENT'!F83)</f>
        <v/>
      </c>
      <c r="C94" s="52" t="str">
        <f>IF('EVENT ASSIGNMENT'!C83="","",'EVENT ASSIGNMENT'!C83)</f>
        <v/>
      </c>
      <c r="D94" s="52" t="str">
        <f>IF('EVENT ASSIGNMENT'!D83="","",'EVENT ASSIGNMENT'!D83)</f>
        <v/>
      </c>
      <c r="E94" s="52" t="str">
        <f>IF('EVENT ASSIGNMENT'!E83="","",'EVENT ASSIGNMENT'!E83)</f>
        <v/>
      </c>
      <c r="F94" s="54" t="str">
        <f>IF('EVENT ASSIGNMENT'!G83="","",'EVENT ASSIGNMENT'!G83)</f>
        <v/>
      </c>
      <c r="G94" s="53">
        <f>IF(E94="",0,SUMIFS('MSR DATA'!$I$2:$I$1001,'MSR DATA'!$D$2:$D$1001,E94))</f>
        <v>0</v>
      </c>
      <c r="H94" s="53">
        <f>IF(E94="",0,SUMIFS('MSR DATA'!$I$2:$I$1001,'MSR DATA'!$D$2:$D$1001,E94,'MSR DATA'!$G$2:$G$1001,"ALCOHOL"))</f>
        <v>0</v>
      </c>
      <c r="I94" s="53">
        <f t="shared" si="8"/>
        <v>0</v>
      </c>
      <c r="J94" s="53">
        <f t="shared" si="9"/>
        <v>0</v>
      </c>
      <c r="K94" s="53">
        <f t="shared" si="10"/>
        <v>0</v>
      </c>
      <c r="L94" s="52" t="str">
        <f t="shared" si="11"/>
        <v/>
      </c>
    </row>
    <row r="95" spans="1:12" ht="12.75" customHeight="1" x14ac:dyDescent="0.2">
      <c r="A95" s="51" t="str">
        <f>IF('EVENT ASSIGNMENT'!A84="","",'EVENT ASSIGNMENT'!A84)</f>
        <v/>
      </c>
      <c r="B95" s="52" t="str">
        <f>IF('EVENT ASSIGNMENT'!F84="","",'EVENT ASSIGNMENT'!F84)</f>
        <v/>
      </c>
      <c r="C95" s="52" t="str">
        <f>IF('EVENT ASSIGNMENT'!C84="","",'EVENT ASSIGNMENT'!C84)</f>
        <v/>
      </c>
      <c r="D95" s="52" t="str">
        <f>IF('EVENT ASSIGNMENT'!D84="","",'EVENT ASSIGNMENT'!D84)</f>
        <v/>
      </c>
      <c r="E95" s="52" t="str">
        <f>IF('EVENT ASSIGNMENT'!E84="","",'EVENT ASSIGNMENT'!E84)</f>
        <v/>
      </c>
      <c r="F95" s="54" t="str">
        <f>IF('EVENT ASSIGNMENT'!G84="","",'EVENT ASSIGNMENT'!G84)</f>
        <v/>
      </c>
      <c r="G95" s="53">
        <f>IF(E95="",0,SUMIFS('MSR DATA'!$I$2:$I$1001,'MSR DATA'!$D$2:$D$1001,E95))</f>
        <v>0</v>
      </c>
      <c r="H95" s="53">
        <f>IF(E95="",0,SUMIFS('MSR DATA'!$I$2:$I$1001,'MSR DATA'!$D$2:$D$1001,E95,'MSR DATA'!$G$2:$G$1001,"ALCOHOL"))</f>
        <v>0</v>
      </c>
      <c r="I95" s="53">
        <f t="shared" si="8"/>
        <v>0</v>
      </c>
      <c r="J95" s="53">
        <f t="shared" si="9"/>
        <v>0</v>
      </c>
      <c r="K95" s="53">
        <f t="shared" si="10"/>
        <v>0</v>
      </c>
      <c r="L95" s="52" t="str">
        <f t="shared" si="11"/>
        <v/>
      </c>
    </row>
    <row r="96" spans="1:12" ht="12.75" customHeight="1" x14ac:dyDescent="0.2">
      <c r="A96" s="51" t="str">
        <f>IF('EVENT ASSIGNMENT'!A85="","",'EVENT ASSIGNMENT'!A85)</f>
        <v/>
      </c>
      <c r="B96" s="52" t="str">
        <f>IF('EVENT ASSIGNMENT'!F85="","",'EVENT ASSIGNMENT'!F85)</f>
        <v/>
      </c>
      <c r="C96" s="52" t="str">
        <f>IF('EVENT ASSIGNMENT'!C85="","",'EVENT ASSIGNMENT'!C85)</f>
        <v/>
      </c>
      <c r="D96" s="52" t="str">
        <f>IF('EVENT ASSIGNMENT'!D85="","",'EVENT ASSIGNMENT'!D85)</f>
        <v/>
      </c>
      <c r="E96" s="52" t="str">
        <f>IF('EVENT ASSIGNMENT'!E85="","",'EVENT ASSIGNMENT'!E85)</f>
        <v/>
      </c>
      <c r="F96" s="54" t="str">
        <f>IF('EVENT ASSIGNMENT'!G85="","",'EVENT ASSIGNMENT'!G85)</f>
        <v/>
      </c>
      <c r="G96" s="53">
        <f>IF(E96="",0,SUMIFS('MSR DATA'!$I$2:$I$1001,'MSR DATA'!$D$2:$D$1001,E96))</f>
        <v>0</v>
      </c>
      <c r="H96" s="53">
        <f>IF(E96="",0,SUMIFS('MSR DATA'!$I$2:$I$1001,'MSR DATA'!$D$2:$D$1001,E96,'MSR DATA'!$G$2:$G$1001,"ALCOHOL"))</f>
        <v>0</v>
      </c>
      <c r="I96" s="53">
        <f t="shared" si="8"/>
        <v>0</v>
      </c>
      <c r="J96" s="53">
        <f t="shared" si="9"/>
        <v>0</v>
      </c>
      <c r="K96" s="53">
        <f t="shared" si="10"/>
        <v>0</v>
      </c>
      <c r="L96" s="52" t="str">
        <f t="shared" si="11"/>
        <v/>
      </c>
    </row>
    <row r="97" spans="1:12" ht="12.75" customHeight="1" x14ac:dyDescent="0.2">
      <c r="A97" s="51" t="str">
        <f>IF('EVENT ASSIGNMENT'!A86="","",'EVENT ASSIGNMENT'!A86)</f>
        <v/>
      </c>
      <c r="B97" s="52" t="str">
        <f>IF('EVENT ASSIGNMENT'!F86="","",'EVENT ASSIGNMENT'!F86)</f>
        <v/>
      </c>
      <c r="C97" s="52" t="str">
        <f>IF('EVENT ASSIGNMENT'!C86="","",'EVENT ASSIGNMENT'!C86)</f>
        <v/>
      </c>
      <c r="D97" s="52" t="str">
        <f>IF('EVENT ASSIGNMENT'!D86="","",'EVENT ASSIGNMENT'!D86)</f>
        <v/>
      </c>
      <c r="E97" s="52" t="str">
        <f>IF('EVENT ASSIGNMENT'!E86="","",'EVENT ASSIGNMENT'!E86)</f>
        <v/>
      </c>
      <c r="F97" s="54" t="str">
        <f>IF('EVENT ASSIGNMENT'!G86="","",'EVENT ASSIGNMENT'!G86)</f>
        <v/>
      </c>
      <c r="G97" s="53">
        <f>IF(E97="",0,SUMIFS('MSR DATA'!$I$2:$I$1001,'MSR DATA'!$D$2:$D$1001,E97))</f>
        <v>0</v>
      </c>
      <c r="H97" s="53">
        <f>IF(E97="",0,SUMIFS('MSR DATA'!$I$2:$I$1001,'MSR DATA'!$D$2:$D$1001,E97,'MSR DATA'!$G$2:$G$1001,"ALCOHOL"))</f>
        <v>0</v>
      </c>
      <c r="I97" s="53">
        <f t="shared" si="8"/>
        <v>0</v>
      </c>
      <c r="J97" s="53">
        <f t="shared" si="9"/>
        <v>0</v>
      </c>
      <c r="K97" s="53">
        <f t="shared" si="10"/>
        <v>0</v>
      </c>
      <c r="L97" s="52" t="str">
        <f t="shared" si="11"/>
        <v/>
      </c>
    </row>
    <row r="98" spans="1:12" ht="12.75" customHeight="1" x14ac:dyDescent="0.2">
      <c r="A98" s="51" t="str">
        <f>IF('EVENT ASSIGNMENT'!A87="","",'EVENT ASSIGNMENT'!A87)</f>
        <v/>
      </c>
      <c r="B98" s="52" t="str">
        <f>IF('EVENT ASSIGNMENT'!F87="","",'EVENT ASSIGNMENT'!F87)</f>
        <v/>
      </c>
      <c r="C98" s="52" t="str">
        <f>IF('EVENT ASSIGNMENT'!C87="","",'EVENT ASSIGNMENT'!C87)</f>
        <v/>
      </c>
      <c r="D98" s="52" t="str">
        <f>IF('EVENT ASSIGNMENT'!D87="","",'EVENT ASSIGNMENT'!D87)</f>
        <v/>
      </c>
      <c r="E98" s="52" t="str">
        <f>IF('EVENT ASSIGNMENT'!E87="","",'EVENT ASSIGNMENT'!E87)</f>
        <v/>
      </c>
      <c r="F98" s="54" t="str">
        <f>IF('EVENT ASSIGNMENT'!G87="","",'EVENT ASSIGNMENT'!G87)</f>
        <v/>
      </c>
      <c r="G98" s="53">
        <f>IF(E98="",0,SUMIFS('MSR DATA'!$I$2:$I$1001,'MSR DATA'!$D$2:$D$1001,E98))</f>
        <v>0</v>
      </c>
      <c r="H98" s="53">
        <f>IF(E98="",0,SUMIFS('MSR DATA'!$I$2:$I$1001,'MSR DATA'!$D$2:$D$1001,E98,'MSR DATA'!$G$2:$G$1001,"ALCOHOL"))</f>
        <v>0</v>
      </c>
      <c r="I98" s="53">
        <f t="shared" si="8"/>
        <v>0</v>
      </c>
      <c r="J98" s="53">
        <f t="shared" si="9"/>
        <v>0</v>
      </c>
      <c r="K98" s="53">
        <f t="shared" si="10"/>
        <v>0</v>
      </c>
      <c r="L98" s="52" t="str">
        <f t="shared" si="11"/>
        <v/>
      </c>
    </row>
    <row r="99" spans="1:12" ht="12.75" customHeight="1" x14ac:dyDescent="0.2">
      <c r="A99" s="51" t="str">
        <f>IF('EVENT ASSIGNMENT'!A88="","",'EVENT ASSIGNMENT'!A88)</f>
        <v/>
      </c>
      <c r="B99" s="52" t="str">
        <f>IF('EVENT ASSIGNMENT'!F88="","",'EVENT ASSIGNMENT'!F88)</f>
        <v/>
      </c>
      <c r="C99" s="52" t="str">
        <f>IF('EVENT ASSIGNMENT'!C88="","",'EVENT ASSIGNMENT'!C88)</f>
        <v/>
      </c>
      <c r="D99" s="52" t="str">
        <f>IF('EVENT ASSIGNMENT'!D88="","",'EVENT ASSIGNMENT'!D88)</f>
        <v/>
      </c>
      <c r="E99" s="52" t="str">
        <f>IF('EVENT ASSIGNMENT'!E88="","",'EVENT ASSIGNMENT'!E88)</f>
        <v/>
      </c>
      <c r="F99" s="54" t="str">
        <f>IF('EVENT ASSIGNMENT'!G88="","",'EVENT ASSIGNMENT'!G88)</f>
        <v/>
      </c>
      <c r="G99" s="53">
        <f>IF(E99="",0,SUMIFS('MSR DATA'!$I$2:$I$1001,'MSR DATA'!$D$2:$D$1001,E99))</f>
        <v>0</v>
      </c>
      <c r="H99" s="53">
        <f>IF(E99="",0,SUMIFS('MSR DATA'!$I$2:$I$1001,'MSR DATA'!$D$2:$D$1001,E99,'MSR DATA'!$G$2:$G$1001,"ALCOHOL"))</f>
        <v>0</v>
      </c>
      <c r="I99" s="53">
        <f t="shared" si="8"/>
        <v>0</v>
      </c>
      <c r="J99" s="53">
        <f t="shared" si="9"/>
        <v>0</v>
      </c>
      <c r="K99" s="53">
        <f t="shared" si="10"/>
        <v>0</v>
      </c>
      <c r="L99" s="52" t="str">
        <f t="shared" si="11"/>
        <v/>
      </c>
    </row>
    <row r="100" spans="1:12" ht="12.75" customHeight="1" x14ac:dyDescent="0.2">
      <c r="A100" s="51" t="str">
        <f>IF('EVENT ASSIGNMENT'!A89="","",'EVENT ASSIGNMENT'!A89)</f>
        <v/>
      </c>
      <c r="B100" s="52" t="str">
        <f>IF('EVENT ASSIGNMENT'!F89="","",'EVENT ASSIGNMENT'!F89)</f>
        <v/>
      </c>
      <c r="C100" s="52" t="str">
        <f>IF('EVENT ASSIGNMENT'!C89="","",'EVENT ASSIGNMENT'!C89)</f>
        <v/>
      </c>
      <c r="D100" s="52" t="str">
        <f>IF('EVENT ASSIGNMENT'!D89="","",'EVENT ASSIGNMENT'!D89)</f>
        <v/>
      </c>
      <c r="E100" s="52" t="str">
        <f>IF('EVENT ASSIGNMENT'!E89="","",'EVENT ASSIGNMENT'!E89)</f>
        <v/>
      </c>
      <c r="F100" s="54" t="str">
        <f>IF('EVENT ASSIGNMENT'!G89="","",'EVENT ASSIGNMENT'!G89)</f>
        <v/>
      </c>
      <c r="G100" s="53">
        <f>IF(E100="",0,SUMIFS('MSR DATA'!$I$2:$I$1001,'MSR DATA'!$D$2:$D$1001,E100))</f>
        <v>0</v>
      </c>
      <c r="H100" s="53">
        <f>IF(E100="",0,SUMIFS('MSR DATA'!$I$2:$I$1001,'MSR DATA'!$D$2:$D$1001,E100,'MSR DATA'!$G$2:$G$1001,"ALCOHOL"))</f>
        <v>0</v>
      </c>
      <c r="I100" s="53">
        <f t="shared" si="8"/>
        <v>0</v>
      </c>
      <c r="J100" s="53">
        <f t="shared" si="9"/>
        <v>0</v>
      </c>
      <c r="K100" s="53">
        <f t="shared" si="10"/>
        <v>0</v>
      </c>
      <c r="L100" s="52" t="str">
        <f t="shared" si="11"/>
        <v/>
      </c>
    </row>
    <row r="101" spans="1:12" ht="12.75" customHeight="1" x14ac:dyDescent="0.2">
      <c r="A101" s="51" t="str">
        <f>IF('EVENT ASSIGNMENT'!A90="","",'EVENT ASSIGNMENT'!A90)</f>
        <v/>
      </c>
      <c r="B101" s="52" t="str">
        <f>IF('EVENT ASSIGNMENT'!F90="","",'EVENT ASSIGNMENT'!F90)</f>
        <v/>
      </c>
      <c r="C101" s="52" t="str">
        <f>IF('EVENT ASSIGNMENT'!C90="","",'EVENT ASSIGNMENT'!C90)</f>
        <v/>
      </c>
      <c r="D101" s="52" t="str">
        <f>IF('EVENT ASSIGNMENT'!D90="","",'EVENT ASSIGNMENT'!D90)</f>
        <v/>
      </c>
      <c r="E101" s="52" t="str">
        <f>IF('EVENT ASSIGNMENT'!E90="","",'EVENT ASSIGNMENT'!E90)</f>
        <v/>
      </c>
      <c r="F101" s="54" t="str">
        <f>IF('EVENT ASSIGNMENT'!G90="","",'EVENT ASSIGNMENT'!G90)</f>
        <v/>
      </c>
      <c r="G101" s="53">
        <f>IF(E101="",0,SUMIFS('MSR DATA'!$I$2:$I$1001,'MSR DATA'!$D$2:$D$1001,E101))</f>
        <v>0</v>
      </c>
      <c r="H101" s="53">
        <f>IF(E101="",0,SUMIFS('MSR DATA'!$I$2:$I$1001,'MSR DATA'!$D$2:$D$1001,E101,'MSR DATA'!$G$2:$G$1001,"ALCOHOL"))</f>
        <v>0</v>
      </c>
      <c r="I101" s="53">
        <f t="shared" si="8"/>
        <v>0</v>
      </c>
      <c r="J101" s="53">
        <f t="shared" si="9"/>
        <v>0</v>
      </c>
      <c r="K101" s="53">
        <f t="shared" si="10"/>
        <v>0</v>
      </c>
      <c r="L101" s="52" t="str">
        <f t="shared" si="11"/>
        <v/>
      </c>
    </row>
    <row r="102" spans="1:12" ht="12.75" customHeight="1" x14ac:dyDescent="0.2">
      <c r="A102" s="51" t="str">
        <f>IF('EVENT ASSIGNMENT'!A91="","",'EVENT ASSIGNMENT'!A91)</f>
        <v/>
      </c>
      <c r="B102" s="52" t="str">
        <f>IF('EVENT ASSIGNMENT'!F91="","",'EVENT ASSIGNMENT'!F91)</f>
        <v/>
      </c>
      <c r="C102" s="52" t="str">
        <f>IF('EVENT ASSIGNMENT'!C91="","",'EVENT ASSIGNMENT'!C91)</f>
        <v/>
      </c>
      <c r="D102" s="52" t="str">
        <f>IF('EVENT ASSIGNMENT'!D91="","",'EVENT ASSIGNMENT'!D91)</f>
        <v/>
      </c>
      <c r="E102" s="52" t="str">
        <f>IF('EVENT ASSIGNMENT'!E91="","",'EVENT ASSIGNMENT'!E91)</f>
        <v/>
      </c>
      <c r="F102" s="54" t="str">
        <f>IF('EVENT ASSIGNMENT'!G91="","",'EVENT ASSIGNMENT'!G91)</f>
        <v/>
      </c>
      <c r="G102" s="53">
        <f>IF(E102="",0,SUMIFS('MSR DATA'!$I$2:$I$1001,'MSR DATA'!$D$2:$D$1001,E102))</f>
        <v>0</v>
      </c>
      <c r="H102" s="53">
        <f>IF(E102="",0,SUMIFS('MSR DATA'!$I$2:$I$1001,'MSR DATA'!$D$2:$D$1001,E102,'MSR DATA'!$G$2:$G$1001,"ALCOHOL"))</f>
        <v>0</v>
      </c>
      <c r="I102" s="53">
        <f t="shared" si="8"/>
        <v>0</v>
      </c>
      <c r="J102" s="53">
        <f t="shared" si="9"/>
        <v>0</v>
      </c>
      <c r="K102" s="53">
        <f t="shared" si="10"/>
        <v>0</v>
      </c>
      <c r="L102" s="52" t="str">
        <f t="shared" si="11"/>
        <v/>
      </c>
    </row>
    <row r="103" spans="1:12" ht="12.75" customHeight="1" x14ac:dyDescent="0.2">
      <c r="A103" s="51" t="str">
        <f>IF('EVENT ASSIGNMENT'!A92="","",'EVENT ASSIGNMENT'!A92)</f>
        <v/>
      </c>
      <c r="B103" s="52" t="str">
        <f>IF('EVENT ASSIGNMENT'!F92="","",'EVENT ASSIGNMENT'!F92)</f>
        <v/>
      </c>
      <c r="C103" s="52" t="str">
        <f>IF('EVENT ASSIGNMENT'!C92="","",'EVENT ASSIGNMENT'!C92)</f>
        <v/>
      </c>
      <c r="D103" s="52" t="str">
        <f>IF('EVENT ASSIGNMENT'!D92="","",'EVENT ASSIGNMENT'!D92)</f>
        <v/>
      </c>
      <c r="E103" s="52" t="str">
        <f>IF('EVENT ASSIGNMENT'!E92="","",'EVENT ASSIGNMENT'!E92)</f>
        <v/>
      </c>
      <c r="F103" s="54" t="str">
        <f>IF('EVENT ASSIGNMENT'!G92="","",'EVENT ASSIGNMENT'!G92)</f>
        <v/>
      </c>
      <c r="G103" s="53">
        <f>IF(E103="",0,SUMIFS('MSR DATA'!$I$2:$I$1001,'MSR DATA'!$D$2:$D$1001,E103))</f>
        <v>0</v>
      </c>
      <c r="H103" s="53">
        <f>IF(E103="",0,SUMIFS('MSR DATA'!$I$2:$I$1001,'MSR DATA'!$D$2:$D$1001,E103,'MSR DATA'!$G$2:$G$1001,"ALCOHOL"))</f>
        <v>0</v>
      </c>
      <c r="I103" s="53">
        <f t="shared" si="8"/>
        <v>0</v>
      </c>
      <c r="J103" s="53">
        <f t="shared" si="9"/>
        <v>0</v>
      </c>
      <c r="K103" s="53">
        <f t="shared" si="10"/>
        <v>0</v>
      </c>
      <c r="L103" s="52" t="str">
        <f t="shared" si="11"/>
        <v/>
      </c>
    </row>
    <row r="104" spans="1:12" ht="12.75" customHeight="1" x14ac:dyDescent="0.2">
      <c r="A104" s="51" t="str">
        <f>IF('EVENT ASSIGNMENT'!A93="","",'EVENT ASSIGNMENT'!A93)</f>
        <v/>
      </c>
      <c r="B104" s="52" t="str">
        <f>IF('EVENT ASSIGNMENT'!F93="","",'EVENT ASSIGNMENT'!F93)</f>
        <v/>
      </c>
      <c r="C104" s="52" t="str">
        <f>IF('EVENT ASSIGNMENT'!C93="","",'EVENT ASSIGNMENT'!C93)</f>
        <v/>
      </c>
      <c r="D104" s="52" t="str">
        <f>IF('EVENT ASSIGNMENT'!D93="","",'EVENT ASSIGNMENT'!D93)</f>
        <v/>
      </c>
      <c r="E104" s="52" t="str">
        <f>IF('EVENT ASSIGNMENT'!E93="","",'EVENT ASSIGNMENT'!E93)</f>
        <v/>
      </c>
      <c r="F104" s="54" t="str">
        <f>IF('EVENT ASSIGNMENT'!G93="","",'EVENT ASSIGNMENT'!G93)</f>
        <v/>
      </c>
      <c r="G104" s="53">
        <f>IF(E104="",0,SUMIFS('MSR DATA'!$I$2:$I$1001,'MSR DATA'!$D$2:$D$1001,E104))</f>
        <v>0</v>
      </c>
      <c r="H104" s="53">
        <f>IF(E104="",0,SUMIFS('MSR DATA'!$I$2:$I$1001,'MSR DATA'!$D$2:$D$1001,E104,'MSR DATA'!$G$2:$G$1001,"ALCOHOL"))</f>
        <v>0</v>
      </c>
      <c r="I104" s="53">
        <f t="shared" si="8"/>
        <v>0</v>
      </c>
      <c r="J104" s="53">
        <f t="shared" si="9"/>
        <v>0</v>
      </c>
      <c r="K104" s="53">
        <f t="shared" si="10"/>
        <v>0</v>
      </c>
      <c r="L104" s="52" t="str">
        <f t="shared" si="11"/>
        <v/>
      </c>
    </row>
    <row r="105" spans="1:12" ht="12.75" customHeight="1" x14ac:dyDescent="0.2">
      <c r="A105" s="51" t="str">
        <f>IF('EVENT ASSIGNMENT'!A94="","",'EVENT ASSIGNMENT'!A94)</f>
        <v/>
      </c>
      <c r="B105" s="52" t="str">
        <f>IF('EVENT ASSIGNMENT'!F94="","",'EVENT ASSIGNMENT'!F94)</f>
        <v/>
      </c>
      <c r="C105" s="52" t="str">
        <f>IF('EVENT ASSIGNMENT'!C94="","",'EVENT ASSIGNMENT'!C94)</f>
        <v/>
      </c>
      <c r="D105" s="52" t="str">
        <f>IF('EVENT ASSIGNMENT'!D94="","",'EVENT ASSIGNMENT'!D94)</f>
        <v/>
      </c>
      <c r="E105" s="52" t="str">
        <f>IF('EVENT ASSIGNMENT'!E94="","",'EVENT ASSIGNMENT'!E94)</f>
        <v/>
      </c>
      <c r="F105" s="54" t="str">
        <f>IF('EVENT ASSIGNMENT'!G94="","",'EVENT ASSIGNMENT'!G94)</f>
        <v/>
      </c>
      <c r="G105" s="53">
        <f>IF(E105="",0,SUMIFS('MSR DATA'!$I$2:$I$1001,'MSR DATA'!$D$2:$D$1001,E105))</f>
        <v>0</v>
      </c>
      <c r="H105" s="53">
        <f>IF(E105="",0,SUMIFS('MSR DATA'!$I$2:$I$1001,'MSR DATA'!$D$2:$D$1001,E105,'MSR DATA'!$G$2:$G$1001,"ALCOHOL"))</f>
        <v>0</v>
      </c>
      <c r="I105" s="53">
        <f t="shared" si="8"/>
        <v>0</v>
      </c>
      <c r="J105" s="53">
        <f t="shared" si="9"/>
        <v>0</v>
      </c>
      <c r="K105" s="53">
        <f t="shared" si="10"/>
        <v>0</v>
      </c>
      <c r="L105" s="52" t="str">
        <f t="shared" si="11"/>
        <v/>
      </c>
    </row>
    <row r="106" spans="1:12" ht="12.75" customHeight="1" x14ac:dyDescent="0.2">
      <c r="A106" s="51" t="str">
        <f>IF('EVENT ASSIGNMENT'!A95="","",'EVENT ASSIGNMENT'!A95)</f>
        <v/>
      </c>
      <c r="B106" s="52" t="str">
        <f>IF('EVENT ASSIGNMENT'!F95="","",'EVENT ASSIGNMENT'!F95)</f>
        <v/>
      </c>
      <c r="C106" s="52" t="str">
        <f>IF('EVENT ASSIGNMENT'!C95="","",'EVENT ASSIGNMENT'!C95)</f>
        <v/>
      </c>
      <c r="D106" s="52" t="str">
        <f>IF('EVENT ASSIGNMENT'!D95="","",'EVENT ASSIGNMENT'!D95)</f>
        <v/>
      </c>
      <c r="E106" s="52" t="str">
        <f>IF('EVENT ASSIGNMENT'!E95="","",'EVENT ASSIGNMENT'!E95)</f>
        <v/>
      </c>
      <c r="F106" s="54" t="str">
        <f>IF('EVENT ASSIGNMENT'!G95="","",'EVENT ASSIGNMENT'!G95)</f>
        <v/>
      </c>
      <c r="G106" s="53">
        <f>IF(E106="",0,SUMIFS('MSR DATA'!$I$2:$I$1001,'MSR DATA'!$D$2:$D$1001,E106))</f>
        <v>0</v>
      </c>
      <c r="H106" s="53">
        <f>IF(E106="",0,SUMIFS('MSR DATA'!$I$2:$I$1001,'MSR DATA'!$D$2:$D$1001,E106,'MSR DATA'!$G$2:$G$1001,"ALCOHOL"))</f>
        <v>0</v>
      </c>
      <c r="I106" s="53">
        <f t="shared" si="8"/>
        <v>0</v>
      </c>
      <c r="J106" s="53">
        <f t="shared" si="9"/>
        <v>0</v>
      </c>
      <c r="K106" s="53">
        <f t="shared" si="10"/>
        <v>0</v>
      </c>
      <c r="L106" s="52" t="str">
        <f t="shared" si="11"/>
        <v/>
      </c>
    </row>
    <row r="107" spans="1:12" ht="12.75" customHeight="1" x14ac:dyDescent="0.2">
      <c r="A107" s="51" t="str">
        <f>IF('EVENT ASSIGNMENT'!A96="","",'EVENT ASSIGNMENT'!A96)</f>
        <v/>
      </c>
      <c r="B107" s="52" t="str">
        <f>IF('EVENT ASSIGNMENT'!F96="","",'EVENT ASSIGNMENT'!F96)</f>
        <v/>
      </c>
      <c r="C107" s="52" t="str">
        <f>IF('EVENT ASSIGNMENT'!C96="","",'EVENT ASSIGNMENT'!C96)</f>
        <v/>
      </c>
      <c r="D107" s="52" t="str">
        <f>IF('EVENT ASSIGNMENT'!D96="","",'EVENT ASSIGNMENT'!D96)</f>
        <v/>
      </c>
      <c r="E107" s="52" t="str">
        <f>IF('EVENT ASSIGNMENT'!E96="","",'EVENT ASSIGNMENT'!E96)</f>
        <v/>
      </c>
      <c r="F107" s="54" t="str">
        <f>IF('EVENT ASSIGNMENT'!G96="","",'EVENT ASSIGNMENT'!G96)</f>
        <v/>
      </c>
      <c r="G107" s="53">
        <f>IF(E107="",0,SUMIFS('MSR DATA'!$I$2:$I$1001,'MSR DATA'!$D$2:$D$1001,E107))</f>
        <v>0</v>
      </c>
      <c r="H107" s="53">
        <f>IF(E107="",0,SUMIFS('MSR DATA'!$I$2:$I$1001,'MSR DATA'!$D$2:$D$1001,E107,'MSR DATA'!$G$2:$G$1001,"ALCOHOL"))</f>
        <v>0</v>
      </c>
      <c r="I107" s="53">
        <f t="shared" si="8"/>
        <v>0</v>
      </c>
      <c r="J107" s="53">
        <f t="shared" si="9"/>
        <v>0</v>
      </c>
      <c r="K107" s="53">
        <f t="shared" si="10"/>
        <v>0</v>
      </c>
      <c r="L107" s="52" t="str">
        <f t="shared" si="11"/>
        <v/>
      </c>
    </row>
    <row r="108" spans="1:12" ht="12.75" customHeight="1" x14ac:dyDescent="0.2">
      <c r="A108" s="51" t="str">
        <f>IF('EVENT ASSIGNMENT'!A97="","",'EVENT ASSIGNMENT'!A97)</f>
        <v/>
      </c>
      <c r="B108" s="52" t="str">
        <f>IF('EVENT ASSIGNMENT'!F97="","",'EVENT ASSIGNMENT'!F97)</f>
        <v/>
      </c>
      <c r="C108" s="52" t="str">
        <f>IF('EVENT ASSIGNMENT'!C97="","",'EVENT ASSIGNMENT'!C97)</f>
        <v/>
      </c>
      <c r="D108" s="52" t="str">
        <f>IF('EVENT ASSIGNMENT'!D97="","",'EVENT ASSIGNMENT'!D97)</f>
        <v/>
      </c>
      <c r="E108" s="52" t="str">
        <f>IF('EVENT ASSIGNMENT'!E97="","",'EVENT ASSIGNMENT'!E97)</f>
        <v/>
      </c>
      <c r="F108" s="54" t="str">
        <f>IF('EVENT ASSIGNMENT'!G97="","",'EVENT ASSIGNMENT'!G97)</f>
        <v/>
      </c>
      <c r="G108" s="53">
        <f>IF(E108="",0,SUMIFS('MSR DATA'!$I$2:$I$1001,'MSR DATA'!$D$2:$D$1001,E108))</f>
        <v>0</v>
      </c>
      <c r="H108" s="53">
        <f>IF(E108="",0,SUMIFS('MSR DATA'!$I$2:$I$1001,'MSR DATA'!$D$2:$D$1001,E108,'MSR DATA'!$G$2:$G$1001,"ALCOHOL"))</f>
        <v>0</v>
      </c>
      <c r="I108" s="53">
        <f t="shared" si="8"/>
        <v>0</v>
      </c>
      <c r="J108" s="53">
        <f t="shared" si="9"/>
        <v>0</v>
      </c>
      <c r="K108" s="53">
        <f t="shared" si="10"/>
        <v>0</v>
      </c>
      <c r="L108" s="52" t="str">
        <f t="shared" si="11"/>
        <v/>
      </c>
    </row>
    <row r="109" spans="1:12" ht="12.75" customHeight="1" x14ac:dyDescent="0.2">
      <c r="A109" s="51" t="str">
        <f>IF('EVENT ASSIGNMENT'!A98="","",'EVENT ASSIGNMENT'!A98)</f>
        <v/>
      </c>
      <c r="B109" s="52" t="str">
        <f>IF('EVENT ASSIGNMENT'!F98="","",'EVENT ASSIGNMENT'!F98)</f>
        <v/>
      </c>
      <c r="C109" s="52" t="str">
        <f>IF('EVENT ASSIGNMENT'!C98="","",'EVENT ASSIGNMENT'!C98)</f>
        <v/>
      </c>
      <c r="D109" s="52" t="str">
        <f>IF('EVENT ASSIGNMENT'!D98="","",'EVENT ASSIGNMENT'!D98)</f>
        <v/>
      </c>
      <c r="E109" s="52" t="str">
        <f>IF('EVENT ASSIGNMENT'!E98="","",'EVENT ASSIGNMENT'!E98)</f>
        <v/>
      </c>
      <c r="F109" s="54" t="str">
        <f>IF('EVENT ASSIGNMENT'!G98="","",'EVENT ASSIGNMENT'!G98)</f>
        <v/>
      </c>
      <c r="G109" s="53">
        <f>IF(E109="",0,SUMIFS('MSR DATA'!$I$2:$I$1001,'MSR DATA'!$D$2:$D$1001,E109))</f>
        <v>0</v>
      </c>
      <c r="H109" s="53">
        <f>IF(E109="",0,SUMIFS('MSR DATA'!$I$2:$I$1001,'MSR DATA'!$D$2:$D$1001,E109,'MSR DATA'!$G$2:$G$1001,"ALCOHOL"))</f>
        <v>0</v>
      </c>
      <c r="I109" s="53">
        <f t="shared" ref="I109:I140" si="12">G109-H109</f>
        <v>0</v>
      </c>
      <c r="J109" s="53">
        <f t="shared" si="9"/>
        <v>0</v>
      </c>
      <c r="K109" s="53">
        <f t="shared" si="10"/>
        <v>0</v>
      </c>
      <c r="L109" s="52" t="str">
        <f t="shared" si="11"/>
        <v/>
      </c>
    </row>
    <row r="110" spans="1:12" ht="12.75" customHeight="1" x14ac:dyDescent="0.2">
      <c r="A110" s="51" t="str">
        <f>IF('EVENT ASSIGNMENT'!A99="","",'EVENT ASSIGNMENT'!A99)</f>
        <v/>
      </c>
      <c r="B110" s="52" t="str">
        <f>IF('EVENT ASSIGNMENT'!F99="","",'EVENT ASSIGNMENT'!F99)</f>
        <v/>
      </c>
      <c r="C110" s="52" t="str">
        <f>IF('EVENT ASSIGNMENT'!C99="","",'EVENT ASSIGNMENT'!C99)</f>
        <v/>
      </c>
      <c r="D110" s="52" t="str">
        <f>IF('EVENT ASSIGNMENT'!D99="","",'EVENT ASSIGNMENT'!D99)</f>
        <v/>
      </c>
      <c r="E110" s="52" t="str">
        <f>IF('EVENT ASSIGNMENT'!E99="","",'EVENT ASSIGNMENT'!E99)</f>
        <v/>
      </c>
      <c r="F110" s="54" t="str">
        <f>IF('EVENT ASSIGNMENT'!G99="","",'EVENT ASSIGNMENT'!G99)</f>
        <v/>
      </c>
      <c r="G110" s="53">
        <f>IF(E110="",0,SUMIFS('MSR DATA'!$I$2:$I$1001,'MSR DATA'!$D$2:$D$1001,E110))</f>
        <v>0</v>
      </c>
      <c r="H110" s="53">
        <f>IF(E110="",0,SUMIFS('MSR DATA'!$I$2:$I$1001,'MSR DATA'!$D$2:$D$1001,E110,'MSR DATA'!$G$2:$G$1001,"ALCOHOL"))</f>
        <v>0</v>
      </c>
      <c r="I110" s="53">
        <f t="shared" si="12"/>
        <v>0</v>
      </c>
      <c r="J110" s="53">
        <f t="shared" si="9"/>
        <v>0</v>
      </c>
      <c r="K110" s="53">
        <f t="shared" si="10"/>
        <v>0</v>
      </c>
      <c r="L110" s="52" t="str">
        <f t="shared" si="11"/>
        <v/>
      </c>
    </row>
    <row r="111" spans="1:12" ht="12.75" customHeight="1" x14ac:dyDescent="0.2">
      <c r="A111" s="51" t="str">
        <f>IF('EVENT ASSIGNMENT'!A100="","",'EVENT ASSIGNMENT'!A100)</f>
        <v/>
      </c>
      <c r="B111" s="52" t="str">
        <f>IF('EVENT ASSIGNMENT'!F100="","",'EVENT ASSIGNMENT'!F100)</f>
        <v/>
      </c>
      <c r="C111" s="52" t="str">
        <f>IF('EVENT ASSIGNMENT'!C100="","",'EVENT ASSIGNMENT'!C100)</f>
        <v/>
      </c>
      <c r="D111" s="52" t="str">
        <f>IF('EVENT ASSIGNMENT'!D100="","",'EVENT ASSIGNMENT'!D100)</f>
        <v/>
      </c>
      <c r="E111" s="52" t="str">
        <f>IF('EVENT ASSIGNMENT'!E100="","",'EVENT ASSIGNMENT'!E100)</f>
        <v/>
      </c>
      <c r="F111" s="54" t="str">
        <f>IF('EVENT ASSIGNMENT'!G100="","",'EVENT ASSIGNMENT'!G100)</f>
        <v/>
      </c>
      <c r="G111" s="53">
        <f>IF(E111="",0,SUMIFS('MSR DATA'!$I$2:$I$1001,'MSR DATA'!$D$2:$D$1001,E111))</f>
        <v>0</v>
      </c>
      <c r="H111" s="53">
        <f>IF(E111="",0,SUMIFS('MSR DATA'!$I$2:$I$1001,'MSR DATA'!$D$2:$D$1001,E111,'MSR DATA'!$G$2:$G$1001,"ALCOHOL"))</f>
        <v>0</v>
      </c>
      <c r="I111" s="53">
        <f t="shared" si="12"/>
        <v>0</v>
      </c>
      <c r="J111" s="53">
        <f t="shared" si="9"/>
        <v>0</v>
      </c>
      <c r="K111" s="53">
        <f t="shared" si="10"/>
        <v>0</v>
      </c>
      <c r="L111" s="52" t="str">
        <f t="shared" si="11"/>
        <v/>
      </c>
    </row>
    <row r="112" spans="1:12" ht="12.75" customHeight="1" x14ac:dyDescent="0.2">
      <c r="A112" s="51" t="str">
        <f>IF('EVENT ASSIGNMENT'!A101="","",'EVENT ASSIGNMENT'!A101)</f>
        <v/>
      </c>
      <c r="B112" s="52" t="str">
        <f>IF('EVENT ASSIGNMENT'!F101="","",'EVENT ASSIGNMENT'!F101)</f>
        <v/>
      </c>
      <c r="C112" s="52" t="str">
        <f>IF('EVENT ASSIGNMENT'!C101="","",'EVENT ASSIGNMENT'!C101)</f>
        <v/>
      </c>
      <c r="D112" s="52" t="str">
        <f>IF('EVENT ASSIGNMENT'!D101="","",'EVENT ASSIGNMENT'!D101)</f>
        <v/>
      </c>
      <c r="E112" s="52" t="str">
        <f>IF('EVENT ASSIGNMENT'!E101="","",'EVENT ASSIGNMENT'!E101)</f>
        <v/>
      </c>
      <c r="F112" s="54" t="str">
        <f>IF('EVENT ASSIGNMENT'!G101="","",'EVENT ASSIGNMENT'!G101)</f>
        <v/>
      </c>
      <c r="G112" s="53">
        <f>IF(E112="",0,SUMIFS('MSR DATA'!$I$2:$I$1001,'MSR DATA'!$D$2:$D$1001,E112))</f>
        <v>0</v>
      </c>
      <c r="H112" s="53">
        <f>IF(E112="",0,SUMIFS('MSR DATA'!$I$2:$I$1001,'MSR DATA'!$D$2:$D$1001,E112,'MSR DATA'!$G$2:$G$1001,"ALCOHOL"))</f>
        <v>0</v>
      </c>
      <c r="I112" s="53">
        <f t="shared" si="12"/>
        <v>0</v>
      </c>
      <c r="J112" s="53">
        <f t="shared" si="9"/>
        <v>0</v>
      </c>
      <c r="K112" s="53">
        <f t="shared" si="10"/>
        <v>0</v>
      </c>
      <c r="L112" s="52" t="str">
        <f t="shared" si="11"/>
        <v/>
      </c>
    </row>
    <row r="113" spans="1:12" ht="12.75" customHeight="1" x14ac:dyDescent="0.2">
      <c r="A113" s="60"/>
      <c r="B113" s="60" t="s">
        <v>27</v>
      </c>
      <c r="C113" s="60"/>
      <c r="D113" s="60"/>
      <c r="E113" s="60"/>
      <c r="F113" s="60"/>
      <c r="G113" s="61">
        <f>SUM(G13:G112)</f>
        <v>54718.5</v>
      </c>
      <c r="H113" s="61">
        <f>SUM(H13:H112)</f>
        <v>17095.5</v>
      </c>
      <c r="I113" s="61">
        <f>SUM(I13:I112)</f>
        <v>37623</v>
      </c>
      <c r="J113" s="61">
        <f>SUM(J13:J112)</f>
        <v>54718.5</v>
      </c>
      <c r="K113" s="61">
        <f>SUM(K13:K112)</f>
        <v>5129.9399999999996</v>
      </c>
      <c r="L113" s="60"/>
    </row>
  </sheetData>
  <autoFilter ref="A12:L112" xr:uid="{00000000-0009-0000-0000-000005000000}"/>
  <mergeCells count="2">
    <mergeCell ref="A2:L2"/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1"/>
  <sheetViews>
    <sheetView workbookViewId="0">
      <pane ySplit="1" topLeftCell="A2" activePane="bottomLeft" state="frozen"/>
      <selection pane="bottomLeft" activeCell="D17" sqref="D17"/>
    </sheetView>
  </sheetViews>
  <sheetFormatPr defaultRowHeight="12.75" x14ac:dyDescent="0.2"/>
  <cols>
    <col min="1" max="1" width="14" customWidth="1"/>
    <col min="2" max="2" width="24" customWidth="1"/>
    <col min="3" max="3" width="14" customWidth="1"/>
    <col min="4" max="4" width="32" customWidth="1"/>
    <col min="5" max="5" width="38" customWidth="1"/>
    <col min="6" max="6" width="20" customWidth="1"/>
    <col min="7" max="7" width="14" customWidth="1"/>
    <col min="8" max="8" width="20" customWidth="1"/>
    <col min="9" max="9" width="42" customWidth="1"/>
  </cols>
  <sheetData>
    <row r="1" spans="1:11" ht="13.5" x14ac:dyDescent="0.25">
      <c r="A1" s="38" t="s">
        <v>848</v>
      </c>
      <c r="B1" s="38" t="s">
        <v>859</v>
      </c>
      <c r="C1" s="38" t="s">
        <v>849</v>
      </c>
      <c r="D1" s="38" t="s">
        <v>850</v>
      </c>
      <c r="E1" s="38" t="s">
        <v>851</v>
      </c>
      <c r="F1" s="38" t="s">
        <v>60</v>
      </c>
      <c r="G1" s="38" t="s">
        <v>852</v>
      </c>
      <c r="H1" s="38" t="s">
        <v>860</v>
      </c>
      <c r="I1" s="38" t="s">
        <v>861</v>
      </c>
      <c r="J1" s="87" t="s">
        <v>862</v>
      </c>
      <c r="K1" s="87" t="s">
        <v>863</v>
      </c>
    </row>
    <row r="2" spans="1:11" ht="25.5" customHeight="1" x14ac:dyDescent="0.2">
      <c r="A2" s="62">
        <v>46270</v>
      </c>
      <c r="B2" s="63" t="s">
        <v>58</v>
      </c>
      <c r="C2" s="63" t="s">
        <v>864</v>
      </c>
      <c r="D2" s="63" t="s">
        <v>99</v>
      </c>
      <c r="E2" s="63" t="s">
        <v>865</v>
      </c>
      <c r="F2" s="63" t="s">
        <v>8</v>
      </c>
      <c r="G2" s="64">
        <v>1</v>
      </c>
      <c r="H2" s="63" t="s">
        <v>866</v>
      </c>
      <c r="I2" s="63"/>
      <c r="J2">
        <f>IF(OR(A2="",F2=""),"",COUNTIFS($A$2:A2,A2,$F$2:F2,F2))</f>
        <v>1</v>
      </c>
      <c r="K2" t="str">
        <f t="shared" ref="K2:K33" si="0">IF(OR(A2="",F2="",J2=""),"",TEXT(A2,"yyyymmdd")&amp;"|"&amp;F2&amp;"|"&amp;J2)</f>
        <v>20260905|ARVC|1</v>
      </c>
    </row>
    <row r="3" spans="1:11" ht="25.5" customHeight="1" x14ac:dyDescent="0.2">
      <c r="A3" s="62">
        <v>46270</v>
      </c>
      <c r="B3" s="63" t="s">
        <v>58</v>
      </c>
      <c r="C3" s="63" t="s">
        <v>867</v>
      </c>
      <c r="D3" s="63" t="s">
        <v>868</v>
      </c>
      <c r="E3" s="63" t="s">
        <v>869</v>
      </c>
      <c r="F3" s="63" t="s">
        <v>8</v>
      </c>
      <c r="G3" s="64">
        <v>1</v>
      </c>
      <c r="H3" s="63" t="s">
        <v>866</v>
      </c>
      <c r="I3" s="63"/>
      <c r="J3">
        <f>IF(OR(A3="",F3=""),"",COUNTIFS($A$2:A3,A3,$F$2:F3,F3))</f>
        <v>2</v>
      </c>
      <c r="K3" t="str">
        <f t="shared" si="0"/>
        <v>20260905|ARVC|2</v>
      </c>
    </row>
    <row r="4" spans="1:11" ht="25.5" customHeight="1" x14ac:dyDescent="0.2">
      <c r="A4" s="62">
        <v>46270</v>
      </c>
      <c r="B4" s="63" t="s">
        <v>58</v>
      </c>
      <c r="C4" s="63" t="s">
        <v>870</v>
      </c>
      <c r="D4" s="63" t="s">
        <v>871</v>
      </c>
      <c r="E4" s="63" t="s">
        <v>872</v>
      </c>
      <c r="F4" s="63" t="s">
        <v>8</v>
      </c>
      <c r="G4" s="64">
        <v>1</v>
      </c>
      <c r="H4" s="63" t="s">
        <v>866</v>
      </c>
      <c r="I4" s="63"/>
      <c r="J4">
        <f>IF(OR(A4="",F4=""),"",COUNTIFS($A$2:A4,A4,$F$2:F4,F4))</f>
        <v>3</v>
      </c>
      <c r="K4" t="str">
        <f t="shared" si="0"/>
        <v>20260905|ARVC|3</v>
      </c>
    </row>
    <row r="5" spans="1:11" ht="25.5" customHeight="1" x14ac:dyDescent="0.2">
      <c r="A5" s="62">
        <v>46270</v>
      </c>
      <c r="B5" s="63" t="s">
        <v>58</v>
      </c>
      <c r="C5" s="63" t="s">
        <v>873</v>
      </c>
      <c r="D5" s="63" t="s">
        <v>874</v>
      </c>
      <c r="E5" s="63" t="s">
        <v>875</v>
      </c>
      <c r="F5" s="63" t="s">
        <v>8</v>
      </c>
      <c r="G5" s="64">
        <v>1</v>
      </c>
      <c r="H5" s="63" t="s">
        <v>866</v>
      </c>
      <c r="I5" s="63"/>
      <c r="J5">
        <f>IF(OR(A5="",F5=""),"",COUNTIFS($A$2:A5,A5,$F$2:F5,F5))</f>
        <v>4</v>
      </c>
      <c r="K5" t="str">
        <f t="shared" si="0"/>
        <v>20260905|ARVC|4</v>
      </c>
    </row>
    <row r="6" spans="1:11" ht="25.5" customHeight="1" x14ac:dyDescent="0.2">
      <c r="A6" s="62">
        <v>46270</v>
      </c>
      <c r="B6" s="63" t="s">
        <v>58</v>
      </c>
      <c r="C6" s="63" t="s">
        <v>876</v>
      </c>
      <c r="D6" s="63" t="s">
        <v>101</v>
      </c>
      <c r="E6" s="63" t="s">
        <v>877</v>
      </c>
      <c r="F6" s="63" t="s">
        <v>8</v>
      </c>
      <c r="G6" s="64">
        <v>1</v>
      </c>
      <c r="H6" s="63" t="s">
        <v>866</v>
      </c>
      <c r="I6" s="63"/>
      <c r="J6">
        <f>IF(OR(A6="",F6=""),"",COUNTIFS($A$2:A6,A6,$F$2:F6,F6))</f>
        <v>5</v>
      </c>
      <c r="K6" t="str">
        <f t="shared" si="0"/>
        <v>20260905|ARVC|5</v>
      </c>
    </row>
    <row r="7" spans="1:11" ht="25.5" customHeight="1" x14ac:dyDescent="0.2">
      <c r="A7" s="62">
        <v>46270</v>
      </c>
      <c r="B7" s="63" t="s">
        <v>58</v>
      </c>
      <c r="C7" s="63" t="s">
        <v>148</v>
      </c>
      <c r="D7" s="63" t="s">
        <v>149</v>
      </c>
      <c r="E7" s="63" t="s">
        <v>878</v>
      </c>
      <c r="F7" s="63" t="s">
        <v>65</v>
      </c>
      <c r="G7" s="64">
        <v>1</v>
      </c>
      <c r="H7" s="63" t="s">
        <v>866</v>
      </c>
      <c r="I7" s="63"/>
      <c r="J7">
        <f>IF(OR(A7="",F7=""),"",COUNTIFS($A$2:A7,A7,$F$2:F7,F7))</f>
        <v>1</v>
      </c>
      <c r="K7" t="str">
        <f t="shared" si="0"/>
        <v>20260905|AIRFORCE|1</v>
      </c>
    </row>
    <row r="8" spans="1:11" ht="25.5" customHeight="1" x14ac:dyDescent="0.2">
      <c r="A8" s="62">
        <v>46270</v>
      </c>
      <c r="B8" s="63" t="s">
        <v>58</v>
      </c>
      <c r="C8" s="63" t="s">
        <v>156</v>
      </c>
      <c r="D8" s="63" t="s">
        <v>157</v>
      </c>
      <c r="E8" s="63" t="s">
        <v>879</v>
      </c>
      <c r="F8" s="63" t="s">
        <v>66</v>
      </c>
      <c r="G8" s="64">
        <v>1</v>
      </c>
      <c r="H8" s="63" t="s">
        <v>866</v>
      </c>
      <c r="I8" s="63"/>
      <c r="J8">
        <f>IF(OR(A8="",F8=""),"",COUNTIFS($A$2:A8,A8,$F$2:F8,F8))</f>
        <v>1</v>
      </c>
      <c r="K8" t="str">
        <f t="shared" si="0"/>
        <v>20260905|UNITED FIT|1</v>
      </c>
    </row>
    <row r="9" spans="1:11" ht="25.5" customHeight="1" x14ac:dyDescent="0.2">
      <c r="A9" s="62">
        <v>46270</v>
      </c>
      <c r="B9" s="63" t="s">
        <v>58</v>
      </c>
      <c r="C9" s="63" t="s">
        <v>152</v>
      </c>
      <c r="D9" s="63" t="s">
        <v>153</v>
      </c>
      <c r="E9" s="63" t="s">
        <v>880</v>
      </c>
      <c r="F9" s="63" t="s">
        <v>67</v>
      </c>
      <c r="G9" s="64">
        <v>1</v>
      </c>
      <c r="H9" s="63" t="s">
        <v>866</v>
      </c>
      <c r="I9" s="63"/>
      <c r="J9">
        <f>IF(OR(A9="",F9=""),"",COUNTIFS($A$2:A9,A9,$F$2:F9,F9))</f>
        <v>1</v>
      </c>
      <c r="K9" t="str">
        <f t="shared" si="0"/>
        <v>20260905|DCVA|1</v>
      </c>
    </row>
    <row r="10" spans="1:11" ht="25.5" customHeight="1" x14ac:dyDescent="0.2">
      <c r="A10" s="62">
        <v>46270</v>
      </c>
      <c r="B10" s="63" t="s">
        <v>58</v>
      </c>
      <c r="C10" s="63" t="s">
        <v>158</v>
      </c>
      <c r="D10" s="63" t="s">
        <v>159</v>
      </c>
      <c r="E10" s="63" t="s">
        <v>881</v>
      </c>
      <c r="F10" s="63" t="s">
        <v>67</v>
      </c>
      <c r="G10" s="64">
        <v>1</v>
      </c>
      <c r="H10" s="63" t="s">
        <v>866</v>
      </c>
      <c r="I10" s="63"/>
      <c r="J10">
        <f>IF(OR(A10="",F10=""),"",COUNTIFS($A$2:A10,A10,$F$2:F10,F10))</f>
        <v>2</v>
      </c>
      <c r="K10" t="str">
        <f t="shared" si="0"/>
        <v>20260905|DCVA|2</v>
      </c>
    </row>
    <row r="11" spans="1:11" ht="25.5" customHeight="1" x14ac:dyDescent="0.2">
      <c r="A11" s="62">
        <v>46270</v>
      </c>
      <c r="B11" s="63" t="s">
        <v>58</v>
      </c>
      <c r="C11" s="63" t="s">
        <v>141</v>
      </c>
      <c r="D11" s="63" t="s">
        <v>142</v>
      </c>
      <c r="E11" s="63" t="s">
        <v>882</v>
      </c>
      <c r="F11" s="63" t="s">
        <v>68</v>
      </c>
      <c r="G11" s="64">
        <v>1</v>
      </c>
      <c r="H11" s="63" t="s">
        <v>866</v>
      </c>
      <c r="I11" s="63"/>
      <c r="J11">
        <f>IF(OR(A11="",F11=""),"",COUNTIFS($A$2:A11,A11,$F$2:F11,F11))</f>
        <v>1</v>
      </c>
      <c r="K11" t="str">
        <f t="shared" si="0"/>
        <v>20260905|DEL N CHEER|1</v>
      </c>
    </row>
    <row r="12" spans="1:11" ht="25.5" customHeight="1" x14ac:dyDescent="0.2">
      <c r="A12" s="62">
        <v>46270</v>
      </c>
      <c r="B12" s="63" t="s">
        <v>58</v>
      </c>
      <c r="C12" s="63" t="s">
        <v>141</v>
      </c>
      <c r="D12" s="63" t="s">
        <v>142</v>
      </c>
      <c r="E12" s="63" t="s">
        <v>883</v>
      </c>
      <c r="F12" s="63" t="s">
        <v>68</v>
      </c>
      <c r="G12" s="64">
        <v>1</v>
      </c>
      <c r="H12" s="63" t="s">
        <v>866</v>
      </c>
      <c r="I12" s="63"/>
      <c r="J12">
        <f>IF(OR(A12="",F12=""),"",COUNTIFS($A$2:A12,A12,$F$2:F12,F12))</f>
        <v>2</v>
      </c>
      <c r="K12" t="str">
        <f t="shared" si="0"/>
        <v>20260905|DEL N CHEER|2</v>
      </c>
    </row>
    <row r="13" spans="1:11" ht="25.5" customHeight="1" x14ac:dyDescent="0.2">
      <c r="A13" s="62">
        <v>46270</v>
      </c>
      <c r="B13" s="63" t="s">
        <v>58</v>
      </c>
      <c r="C13" s="63" t="s">
        <v>160</v>
      </c>
      <c r="D13" s="63" t="s">
        <v>161</v>
      </c>
      <c r="E13" s="63" t="s">
        <v>884</v>
      </c>
      <c r="F13" s="63" t="s">
        <v>69</v>
      </c>
      <c r="G13" s="64">
        <v>1</v>
      </c>
      <c r="H13" s="63" t="s">
        <v>866</v>
      </c>
      <c r="I13" s="63"/>
      <c r="J13">
        <f>IF(OR(A13="",F13=""),"",COUNTIFS($A$2:A13,A13,$F$2:F13,F13))</f>
        <v>1</v>
      </c>
      <c r="K13" t="str">
        <f t="shared" si="0"/>
        <v>20260905|RIO GRANDE RGHS|1</v>
      </c>
    </row>
    <row r="14" spans="1:11" ht="25.5" customHeight="1" x14ac:dyDescent="0.2">
      <c r="A14" s="62">
        <v>46270</v>
      </c>
      <c r="B14" s="63" t="s">
        <v>58</v>
      </c>
      <c r="C14" s="63" t="s">
        <v>885</v>
      </c>
      <c r="D14" s="63" t="s">
        <v>886</v>
      </c>
      <c r="E14" s="63" t="s">
        <v>887</v>
      </c>
      <c r="F14" s="63" t="s">
        <v>70</v>
      </c>
      <c r="G14" s="64">
        <v>1</v>
      </c>
      <c r="H14" s="63" t="s">
        <v>866</v>
      </c>
      <c r="I14" s="63"/>
      <c r="J14">
        <f>IF(OR(A14="",F14=""),"",COUNTIFS($A$2:A14,A14,$F$2:F14,F14))</f>
        <v>1</v>
      </c>
      <c r="K14" t="str">
        <f t="shared" si="0"/>
        <v>20260905|VICTORY OUTREACH|1</v>
      </c>
    </row>
    <row r="15" spans="1:11" x14ac:dyDescent="0.2">
      <c r="A15" s="62"/>
      <c r="B15" s="63"/>
      <c r="C15" s="63"/>
      <c r="D15" s="63"/>
      <c r="E15" s="63"/>
      <c r="F15" s="63"/>
      <c r="G15" s="64"/>
      <c r="H15" s="63"/>
      <c r="I15" s="63"/>
      <c r="J15" t="str">
        <f>IF(OR(A15="",F15=""),"",COUNTIFS($A$2:A15,A15,$F$2:F15,F15))</f>
        <v/>
      </c>
      <c r="K15" t="str">
        <f t="shared" si="0"/>
        <v/>
      </c>
    </row>
    <row r="16" spans="1:11" x14ac:dyDescent="0.2">
      <c r="A16" s="62"/>
      <c r="B16" s="63"/>
      <c r="C16" s="63"/>
      <c r="D16" s="63"/>
      <c r="E16" s="63"/>
      <c r="F16" s="63"/>
      <c r="G16" s="64"/>
      <c r="H16" s="63"/>
      <c r="I16" s="63"/>
      <c r="J16" t="str">
        <f>IF(OR(A16="",F16=""),"",COUNTIFS($A$2:A16,A16,$F$2:F16,F16))</f>
        <v/>
      </c>
      <c r="K16" t="str">
        <f t="shared" si="0"/>
        <v/>
      </c>
    </row>
    <row r="17" spans="1:11" x14ac:dyDescent="0.2">
      <c r="A17" s="62"/>
      <c r="B17" s="63"/>
      <c r="C17" s="63"/>
      <c r="D17" s="63"/>
      <c r="E17" s="63"/>
      <c r="F17" s="63"/>
      <c r="G17" s="64"/>
      <c r="H17" s="63"/>
      <c r="I17" s="63"/>
      <c r="J17" t="str">
        <f>IF(OR(A17="",F17=""),"",COUNTIFS($A$2:A17,A17,$F$2:F17,F17))</f>
        <v/>
      </c>
      <c r="K17" t="str">
        <f t="shared" si="0"/>
        <v/>
      </c>
    </row>
    <row r="18" spans="1:11" x14ac:dyDescent="0.2">
      <c r="A18" s="62"/>
      <c r="B18" s="63"/>
      <c r="C18" s="63"/>
      <c r="D18" s="63"/>
      <c r="E18" s="63"/>
      <c r="F18" s="63"/>
      <c r="G18" s="64"/>
      <c r="H18" s="63"/>
      <c r="I18" s="63"/>
      <c r="J18" t="str">
        <f>IF(OR(A18="",F18=""),"",COUNTIFS($A$2:A18,A18,$F$2:F18,F18))</f>
        <v/>
      </c>
      <c r="K18" t="str">
        <f t="shared" si="0"/>
        <v/>
      </c>
    </row>
    <row r="19" spans="1:11" x14ac:dyDescent="0.2">
      <c r="A19" s="62"/>
      <c r="B19" s="63"/>
      <c r="C19" s="63"/>
      <c r="D19" s="63"/>
      <c r="E19" s="63"/>
      <c r="F19" s="63"/>
      <c r="G19" s="64"/>
      <c r="H19" s="63"/>
      <c r="I19" s="63"/>
      <c r="J19" t="str">
        <f>IF(OR(A19="",F19=""),"",COUNTIFS($A$2:A19,A19,$F$2:F19,F19))</f>
        <v/>
      </c>
      <c r="K19" t="str">
        <f t="shared" si="0"/>
        <v/>
      </c>
    </row>
    <row r="20" spans="1:11" x14ac:dyDescent="0.2">
      <c r="A20" s="62"/>
      <c r="B20" s="63"/>
      <c r="C20" s="63"/>
      <c r="D20" s="63"/>
      <c r="E20" s="63"/>
      <c r="F20" s="63"/>
      <c r="G20" s="64"/>
      <c r="H20" s="63"/>
      <c r="I20" s="63"/>
      <c r="J20" t="str">
        <f>IF(OR(A20="",F20=""),"",COUNTIFS($A$2:A20,A20,$F$2:F20,F20))</f>
        <v/>
      </c>
      <c r="K20" t="str">
        <f t="shared" si="0"/>
        <v/>
      </c>
    </row>
    <row r="21" spans="1:11" x14ac:dyDescent="0.2">
      <c r="A21" s="62"/>
      <c r="B21" s="63"/>
      <c r="C21" s="63"/>
      <c r="D21" s="63"/>
      <c r="E21" s="63"/>
      <c r="F21" s="63"/>
      <c r="G21" s="64"/>
      <c r="H21" s="63"/>
      <c r="I21" s="63"/>
      <c r="J21" t="str">
        <f>IF(OR(A21="",F21=""),"",COUNTIFS($A$2:A21,A21,$F$2:F21,F21))</f>
        <v/>
      </c>
      <c r="K21" t="str">
        <f t="shared" si="0"/>
        <v/>
      </c>
    </row>
    <row r="22" spans="1:11" x14ac:dyDescent="0.2">
      <c r="A22" s="62"/>
      <c r="B22" s="63"/>
      <c r="C22" s="63"/>
      <c r="D22" s="63"/>
      <c r="E22" s="63"/>
      <c r="F22" s="63"/>
      <c r="G22" s="64"/>
      <c r="H22" s="63"/>
      <c r="I22" s="63"/>
      <c r="J22" t="str">
        <f>IF(OR(A22="",F22=""),"",COUNTIFS($A$2:A22,A22,$F$2:F22,F22))</f>
        <v/>
      </c>
      <c r="K22" t="str">
        <f t="shared" si="0"/>
        <v/>
      </c>
    </row>
    <row r="23" spans="1:11" x14ac:dyDescent="0.2">
      <c r="A23" s="62"/>
      <c r="B23" s="63"/>
      <c r="C23" s="63"/>
      <c r="D23" s="63"/>
      <c r="E23" s="63"/>
      <c r="F23" s="63"/>
      <c r="G23" s="64"/>
      <c r="H23" s="63"/>
      <c r="I23" s="63"/>
      <c r="J23" t="str">
        <f>IF(OR(A23="",F23=""),"",COUNTIFS($A$2:A23,A23,$F$2:F23,F23))</f>
        <v/>
      </c>
      <c r="K23" t="str">
        <f t="shared" si="0"/>
        <v/>
      </c>
    </row>
    <row r="24" spans="1:11" x14ac:dyDescent="0.2">
      <c r="A24" s="62"/>
      <c r="B24" s="63"/>
      <c r="C24" s="63"/>
      <c r="D24" s="63"/>
      <c r="E24" s="63"/>
      <c r="F24" s="63"/>
      <c r="G24" s="64"/>
      <c r="H24" s="63"/>
      <c r="I24" s="63"/>
      <c r="J24" t="str">
        <f>IF(OR(A24="",F24=""),"",COUNTIFS($A$2:A24,A24,$F$2:F24,F24))</f>
        <v/>
      </c>
      <c r="K24" t="str">
        <f t="shared" si="0"/>
        <v/>
      </c>
    </row>
    <row r="25" spans="1:11" x14ac:dyDescent="0.2">
      <c r="A25" s="62"/>
      <c r="B25" s="63"/>
      <c r="C25" s="63"/>
      <c r="D25" s="63"/>
      <c r="E25" s="63"/>
      <c r="F25" s="63"/>
      <c r="G25" s="64"/>
      <c r="H25" s="63"/>
      <c r="I25" s="63"/>
      <c r="J25" t="str">
        <f>IF(OR(A25="",F25=""),"",COUNTIFS($A$2:A25,A25,$F$2:F25,F25))</f>
        <v/>
      </c>
      <c r="K25" t="str">
        <f t="shared" si="0"/>
        <v/>
      </c>
    </row>
    <row r="26" spans="1:11" x14ac:dyDescent="0.2">
      <c r="A26" s="62"/>
      <c r="B26" s="63"/>
      <c r="C26" s="63"/>
      <c r="D26" s="63"/>
      <c r="E26" s="63"/>
      <c r="F26" s="63"/>
      <c r="G26" s="64"/>
      <c r="H26" s="63"/>
      <c r="I26" s="63"/>
      <c r="J26" t="str">
        <f>IF(OR(A26="",F26=""),"",COUNTIFS($A$2:A26,A26,$F$2:F26,F26))</f>
        <v/>
      </c>
      <c r="K26" t="str">
        <f t="shared" si="0"/>
        <v/>
      </c>
    </row>
    <row r="27" spans="1:11" x14ac:dyDescent="0.2">
      <c r="A27" s="62"/>
      <c r="B27" s="63"/>
      <c r="C27" s="63"/>
      <c r="D27" s="63"/>
      <c r="E27" s="63"/>
      <c r="F27" s="63"/>
      <c r="G27" s="64"/>
      <c r="H27" s="63"/>
      <c r="I27" s="63"/>
      <c r="J27" t="str">
        <f>IF(OR(A27="",F27=""),"",COUNTIFS($A$2:A27,A27,$F$2:F27,F27))</f>
        <v/>
      </c>
      <c r="K27" t="str">
        <f t="shared" si="0"/>
        <v/>
      </c>
    </row>
    <row r="28" spans="1:11" x14ac:dyDescent="0.2">
      <c r="A28" s="62"/>
      <c r="B28" s="63"/>
      <c r="C28" s="63"/>
      <c r="D28" s="63"/>
      <c r="E28" s="63"/>
      <c r="F28" s="63"/>
      <c r="G28" s="64"/>
      <c r="H28" s="63"/>
      <c r="I28" s="63"/>
      <c r="J28" t="str">
        <f>IF(OR(A28="",F28=""),"",COUNTIFS($A$2:A28,A28,$F$2:F28,F28))</f>
        <v/>
      </c>
      <c r="K28" t="str">
        <f t="shared" si="0"/>
        <v/>
      </c>
    </row>
    <row r="29" spans="1:11" x14ac:dyDescent="0.2">
      <c r="A29" s="62"/>
      <c r="B29" s="63"/>
      <c r="C29" s="63"/>
      <c r="D29" s="63"/>
      <c r="E29" s="63"/>
      <c r="F29" s="63"/>
      <c r="G29" s="64"/>
      <c r="H29" s="63"/>
      <c r="I29" s="63"/>
      <c r="J29" t="str">
        <f>IF(OR(A29="",F29=""),"",COUNTIFS($A$2:A29,A29,$F$2:F29,F29))</f>
        <v/>
      </c>
      <c r="K29" t="str">
        <f t="shared" si="0"/>
        <v/>
      </c>
    </row>
    <row r="30" spans="1:11" x14ac:dyDescent="0.2">
      <c r="A30" s="62"/>
      <c r="B30" s="63"/>
      <c r="C30" s="63"/>
      <c r="D30" s="63"/>
      <c r="E30" s="63"/>
      <c r="F30" s="63"/>
      <c r="G30" s="64"/>
      <c r="H30" s="63"/>
      <c r="I30" s="63"/>
      <c r="J30" t="str">
        <f>IF(OR(A30="",F30=""),"",COUNTIFS($A$2:A30,A30,$F$2:F30,F30))</f>
        <v/>
      </c>
      <c r="K30" t="str">
        <f t="shared" si="0"/>
        <v/>
      </c>
    </row>
    <row r="31" spans="1:11" x14ac:dyDescent="0.2">
      <c r="A31" s="62"/>
      <c r="B31" s="63"/>
      <c r="C31" s="63"/>
      <c r="D31" s="63"/>
      <c r="E31" s="63"/>
      <c r="F31" s="63"/>
      <c r="G31" s="64"/>
      <c r="H31" s="63"/>
      <c r="I31" s="63"/>
      <c r="J31" t="str">
        <f>IF(OR(A31="",F31=""),"",COUNTIFS($A$2:A31,A31,$F$2:F31,F31))</f>
        <v/>
      </c>
      <c r="K31" t="str">
        <f t="shared" si="0"/>
        <v/>
      </c>
    </row>
    <row r="32" spans="1:11" x14ac:dyDescent="0.2">
      <c r="A32" s="62"/>
      <c r="B32" s="63"/>
      <c r="C32" s="63"/>
      <c r="D32" s="63"/>
      <c r="E32" s="63"/>
      <c r="F32" s="63"/>
      <c r="G32" s="64"/>
      <c r="H32" s="63"/>
      <c r="I32" s="63"/>
      <c r="J32" t="str">
        <f>IF(OR(A32="",F32=""),"",COUNTIFS($A$2:A32,A32,$F$2:F32,F32))</f>
        <v/>
      </c>
      <c r="K32" t="str">
        <f t="shared" si="0"/>
        <v/>
      </c>
    </row>
    <row r="33" spans="1:11" x14ac:dyDescent="0.2">
      <c r="A33" s="62"/>
      <c r="B33" s="63"/>
      <c r="C33" s="63"/>
      <c r="D33" s="63"/>
      <c r="E33" s="63"/>
      <c r="F33" s="63"/>
      <c r="G33" s="64"/>
      <c r="H33" s="63"/>
      <c r="I33" s="63"/>
      <c r="J33" t="str">
        <f>IF(OR(A33="",F33=""),"",COUNTIFS($A$2:A33,A33,$F$2:F33,F33))</f>
        <v/>
      </c>
      <c r="K33" t="str">
        <f t="shared" si="0"/>
        <v/>
      </c>
    </row>
    <row r="34" spans="1:11" x14ac:dyDescent="0.2">
      <c r="A34" s="62"/>
      <c r="B34" s="63"/>
      <c r="C34" s="63"/>
      <c r="D34" s="63"/>
      <c r="E34" s="63"/>
      <c r="F34" s="63"/>
      <c r="G34" s="64"/>
      <c r="H34" s="63"/>
      <c r="I34" s="63"/>
      <c r="J34" t="str">
        <f>IF(OR(A34="",F34=""),"",COUNTIFS($A$2:A34,A34,$F$2:F34,F34))</f>
        <v/>
      </c>
      <c r="K34" t="str">
        <f t="shared" ref="K34:K65" si="1">IF(OR(A34="",F34="",J34=""),"",TEXT(A34,"yyyymmdd")&amp;"|"&amp;F34&amp;"|"&amp;J34)</f>
        <v/>
      </c>
    </row>
    <row r="35" spans="1:11" x14ac:dyDescent="0.2">
      <c r="A35" s="62"/>
      <c r="B35" s="63"/>
      <c r="C35" s="63"/>
      <c r="D35" s="63"/>
      <c r="E35" s="63"/>
      <c r="F35" s="63"/>
      <c r="G35" s="64"/>
      <c r="H35" s="63"/>
      <c r="I35" s="63"/>
      <c r="J35" t="str">
        <f>IF(OR(A35="",F35=""),"",COUNTIFS($A$2:A35,A35,$F$2:F35,F35))</f>
        <v/>
      </c>
      <c r="K35" t="str">
        <f t="shared" si="1"/>
        <v/>
      </c>
    </row>
    <row r="36" spans="1:11" x14ac:dyDescent="0.2">
      <c r="A36" s="62"/>
      <c r="B36" s="63"/>
      <c r="C36" s="63"/>
      <c r="D36" s="63"/>
      <c r="E36" s="63"/>
      <c r="F36" s="63"/>
      <c r="G36" s="64"/>
      <c r="H36" s="63"/>
      <c r="I36" s="63"/>
      <c r="J36" t="str">
        <f>IF(OR(A36="",F36=""),"",COUNTIFS($A$2:A36,A36,$F$2:F36,F36))</f>
        <v/>
      </c>
      <c r="K36" t="str">
        <f t="shared" si="1"/>
        <v/>
      </c>
    </row>
    <row r="37" spans="1:11" x14ac:dyDescent="0.2">
      <c r="A37" s="62"/>
      <c r="B37" s="63"/>
      <c r="C37" s="63"/>
      <c r="D37" s="63"/>
      <c r="E37" s="63"/>
      <c r="F37" s="63"/>
      <c r="G37" s="64"/>
      <c r="H37" s="63"/>
      <c r="I37" s="63"/>
      <c r="J37" t="str">
        <f>IF(OR(A37="",F37=""),"",COUNTIFS($A$2:A37,A37,$F$2:F37,F37))</f>
        <v/>
      </c>
      <c r="K37" t="str">
        <f t="shared" si="1"/>
        <v/>
      </c>
    </row>
    <row r="38" spans="1:11" x14ac:dyDescent="0.2">
      <c r="A38" s="62"/>
      <c r="B38" s="63"/>
      <c r="C38" s="63"/>
      <c r="D38" s="63"/>
      <c r="E38" s="63"/>
      <c r="F38" s="63"/>
      <c r="G38" s="64"/>
      <c r="H38" s="63"/>
      <c r="I38" s="63"/>
      <c r="J38" t="str">
        <f>IF(OR(A38="",F38=""),"",COUNTIFS($A$2:A38,A38,$F$2:F38,F38))</f>
        <v/>
      </c>
      <c r="K38" t="str">
        <f t="shared" si="1"/>
        <v/>
      </c>
    </row>
    <row r="39" spans="1:11" x14ac:dyDescent="0.2">
      <c r="A39" s="62"/>
      <c r="B39" s="63"/>
      <c r="C39" s="63"/>
      <c r="D39" s="63"/>
      <c r="E39" s="63"/>
      <c r="F39" s="63"/>
      <c r="G39" s="64"/>
      <c r="H39" s="63"/>
      <c r="I39" s="63"/>
      <c r="J39" t="str">
        <f>IF(OR(A39="",F39=""),"",COUNTIFS($A$2:A39,A39,$F$2:F39,F39))</f>
        <v/>
      </c>
      <c r="K39" t="str">
        <f t="shared" si="1"/>
        <v/>
      </c>
    </row>
    <row r="40" spans="1:11" x14ac:dyDescent="0.2">
      <c r="A40" s="62"/>
      <c r="B40" s="63"/>
      <c r="C40" s="63"/>
      <c r="D40" s="63"/>
      <c r="E40" s="63"/>
      <c r="F40" s="63"/>
      <c r="G40" s="64"/>
      <c r="H40" s="63"/>
      <c r="I40" s="63"/>
      <c r="J40" t="str">
        <f>IF(OR(A40="",F40=""),"",COUNTIFS($A$2:A40,A40,$F$2:F40,F40))</f>
        <v/>
      </c>
      <c r="K40" t="str">
        <f t="shared" si="1"/>
        <v/>
      </c>
    </row>
    <row r="41" spans="1:11" x14ac:dyDescent="0.2">
      <c r="A41" s="62"/>
      <c r="B41" s="63"/>
      <c r="C41" s="63"/>
      <c r="D41" s="63"/>
      <c r="E41" s="63"/>
      <c r="F41" s="63"/>
      <c r="G41" s="64"/>
      <c r="H41" s="63"/>
      <c r="I41" s="63"/>
      <c r="J41" t="str">
        <f>IF(OR(A41="",F41=""),"",COUNTIFS($A$2:A41,A41,$F$2:F41,F41))</f>
        <v/>
      </c>
      <c r="K41" t="str">
        <f t="shared" si="1"/>
        <v/>
      </c>
    </row>
    <row r="42" spans="1:11" x14ac:dyDescent="0.2">
      <c r="A42" s="62"/>
      <c r="B42" s="63"/>
      <c r="C42" s="63"/>
      <c r="D42" s="63"/>
      <c r="E42" s="63"/>
      <c r="F42" s="63"/>
      <c r="G42" s="64"/>
      <c r="H42" s="63"/>
      <c r="I42" s="63"/>
      <c r="J42" t="str">
        <f>IF(OR(A42="",F42=""),"",COUNTIFS($A$2:A42,A42,$F$2:F42,F42))</f>
        <v/>
      </c>
      <c r="K42" t="str">
        <f t="shared" si="1"/>
        <v/>
      </c>
    </row>
    <row r="43" spans="1:11" x14ac:dyDescent="0.2">
      <c r="A43" s="62"/>
      <c r="B43" s="63"/>
      <c r="C43" s="63"/>
      <c r="D43" s="63"/>
      <c r="E43" s="63"/>
      <c r="F43" s="63"/>
      <c r="G43" s="64"/>
      <c r="H43" s="63"/>
      <c r="I43" s="63"/>
      <c r="J43" t="str">
        <f>IF(OR(A43="",F43=""),"",COUNTIFS($A$2:A43,A43,$F$2:F43,F43))</f>
        <v/>
      </c>
      <c r="K43" t="str">
        <f t="shared" si="1"/>
        <v/>
      </c>
    </row>
    <row r="44" spans="1:11" x14ac:dyDescent="0.2">
      <c r="A44" s="62"/>
      <c r="B44" s="63"/>
      <c r="C44" s="63"/>
      <c r="D44" s="63"/>
      <c r="E44" s="63"/>
      <c r="F44" s="63"/>
      <c r="G44" s="64"/>
      <c r="H44" s="63"/>
      <c r="I44" s="63"/>
      <c r="J44" t="str">
        <f>IF(OR(A44="",F44=""),"",COUNTIFS($A$2:A44,A44,$F$2:F44,F44))</f>
        <v/>
      </c>
      <c r="K44" t="str">
        <f t="shared" si="1"/>
        <v/>
      </c>
    </row>
    <row r="45" spans="1:11" x14ac:dyDescent="0.2">
      <c r="A45" s="62"/>
      <c r="B45" s="63"/>
      <c r="C45" s="63"/>
      <c r="D45" s="63"/>
      <c r="E45" s="63"/>
      <c r="F45" s="63"/>
      <c r="G45" s="64"/>
      <c r="H45" s="63"/>
      <c r="I45" s="63"/>
      <c r="J45" t="str">
        <f>IF(OR(A45="",F45=""),"",COUNTIFS($A$2:A45,A45,$F$2:F45,F45))</f>
        <v/>
      </c>
      <c r="K45" t="str">
        <f t="shared" si="1"/>
        <v/>
      </c>
    </row>
    <row r="46" spans="1:11" x14ac:dyDescent="0.2">
      <c r="A46" s="62"/>
      <c r="B46" s="63"/>
      <c r="C46" s="63"/>
      <c r="D46" s="63"/>
      <c r="E46" s="63"/>
      <c r="F46" s="63"/>
      <c r="G46" s="64"/>
      <c r="H46" s="63"/>
      <c r="I46" s="63"/>
      <c r="J46" t="str">
        <f>IF(OR(A46="",F46=""),"",COUNTIFS($A$2:A46,A46,$F$2:F46,F46))</f>
        <v/>
      </c>
      <c r="K46" t="str">
        <f t="shared" si="1"/>
        <v/>
      </c>
    </row>
    <row r="47" spans="1:11" x14ac:dyDescent="0.2">
      <c r="A47" s="62"/>
      <c r="B47" s="63"/>
      <c r="C47" s="63"/>
      <c r="D47" s="63"/>
      <c r="E47" s="63"/>
      <c r="F47" s="63"/>
      <c r="G47" s="64"/>
      <c r="H47" s="63"/>
      <c r="I47" s="63"/>
      <c r="J47" t="str">
        <f>IF(OR(A47="",F47=""),"",COUNTIFS($A$2:A47,A47,$F$2:F47,F47))</f>
        <v/>
      </c>
      <c r="K47" t="str">
        <f t="shared" si="1"/>
        <v/>
      </c>
    </row>
    <row r="48" spans="1:11" x14ac:dyDescent="0.2">
      <c r="A48" s="62"/>
      <c r="B48" s="63"/>
      <c r="C48" s="63"/>
      <c r="D48" s="63"/>
      <c r="E48" s="63"/>
      <c r="F48" s="63"/>
      <c r="G48" s="64"/>
      <c r="H48" s="63"/>
      <c r="I48" s="63"/>
      <c r="J48" t="str">
        <f>IF(OR(A48="",F48=""),"",COUNTIFS($A$2:A48,A48,$F$2:F48,F48))</f>
        <v/>
      </c>
      <c r="K48" t="str">
        <f t="shared" si="1"/>
        <v/>
      </c>
    </row>
    <row r="49" spans="1:11" x14ac:dyDescent="0.2">
      <c r="A49" s="62"/>
      <c r="B49" s="63"/>
      <c r="C49" s="63"/>
      <c r="D49" s="63"/>
      <c r="E49" s="63"/>
      <c r="F49" s="63"/>
      <c r="G49" s="64"/>
      <c r="H49" s="63"/>
      <c r="I49" s="63"/>
      <c r="J49" t="str">
        <f>IF(OR(A49="",F49=""),"",COUNTIFS($A$2:A49,A49,$F$2:F49,F49))</f>
        <v/>
      </c>
      <c r="K49" t="str">
        <f t="shared" si="1"/>
        <v/>
      </c>
    </row>
    <row r="50" spans="1:11" x14ac:dyDescent="0.2">
      <c r="A50" s="62"/>
      <c r="B50" s="63"/>
      <c r="C50" s="63"/>
      <c r="D50" s="63"/>
      <c r="E50" s="63"/>
      <c r="F50" s="63"/>
      <c r="G50" s="64"/>
      <c r="H50" s="63"/>
      <c r="I50" s="63"/>
      <c r="J50" t="str">
        <f>IF(OR(A50="",F50=""),"",COUNTIFS($A$2:A50,A50,$F$2:F50,F50))</f>
        <v/>
      </c>
      <c r="K50" t="str">
        <f t="shared" si="1"/>
        <v/>
      </c>
    </row>
    <row r="51" spans="1:11" x14ac:dyDescent="0.2">
      <c r="A51" s="62"/>
      <c r="B51" s="63"/>
      <c r="C51" s="63"/>
      <c r="D51" s="63"/>
      <c r="E51" s="63"/>
      <c r="F51" s="63"/>
      <c r="G51" s="64"/>
      <c r="H51" s="63"/>
      <c r="I51" s="63"/>
      <c r="J51" t="str">
        <f>IF(OR(A51="",F51=""),"",COUNTIFS($A$2:A51,A51,$F$2:F51,F51))</f>
        <v/>
      </c>
      <c r="K51" t="str">
        <f t="shared" si="1"/>
        <v/>
      </c>
    </row>
    <row r="52" spans="1:11" x14ac:dyDescent="0.2">
      <c r="A52" s="62"/>
      <c r="B52" s="63"/>
      <c r="C52" s="63"/>
      <c r="D52" s="63"/>
      <c r="E52" s="63"/>
      <c r="F52" s="63"/>
      <c r="G52" s="64"/>
      <c r="H52" s="63"/>
      <c r="I52" s="63"/>
      <c r="J52" t="str">
        <f>IF(OR(A52="",F52=""),"",COUNTIFS($A$2:A52,A52,$F$2:F52,F52))</f>
        <v/>
      </c>
      <c r="K52" t="str">
        <f t="shared" si="1"/>
        <v/>
      </c>
    </row>
    <row r="53" spans="1:11" x14ac:dyDescent="0.2">
      <c r="A53" s="62"/>
      <c r="B53" s="63"/>
      <c r="C53" s="63"/>
      <c r="D53" s="63"/>
      <c r="E53" s="63"/>
      <c r="F53" s="63"/>
      <c r="G53" s="64"/>
      <c r="H53" s="63"/>
      <c r="I53" s="63"/>
      <c r="J53" t="str">
        <f>IF(OR(A53="",F53=""),"",COUNTIFS($A$2:A53,A53,$F$2:F53,F53))</f>
        <v/>
      </c>
      <c r="K53" t="str">
        <f t="shared" si="1"/>
        <v/>
      </c>
    </row>
    <row r="54" spans="1:11" x14ac:dyDescent="0.2">
      <c r="A54" s="62"/>
      <c r="B54" s="63"/>
      <c r="C54" s="63"/>
      <c r="D54" s="63"/>
      <c r="E54" s="63"/>
      <c r="F54" s="63"/>
      <c r="G54" s="64"/>
      <c r="H54" s="63"/>
      <c r="I54" s="63"/>
      <c r="J54" t="str">
        <f>IF(OR(A54="",F54=""),"",COUNTIFS($A$2:A54,A54,$F$2:F54,F54))</f>
        <v/>
      </c>
      <c r="K54" t="str">
        <f t="shared" si="1"/>
        <v/>
      </c>
    </row>
    <row r="55" spans="1:11" x14ac:dyDescent="0.2">
      <c r="A55" s="62"/>
      <c r="B55" s="63"/>
      <c r="C55" s="63"/>
      <c r="D55" s="63"/>
      <c r="E55" s="63"/>
      <c r="F55" s="63"/>
      <c r="G55" s="64"/>
      <c r="H55" s="63"/>
      <c r="I55" s="63"/>
      <c r="J55" t="str">
        <f>IF(OR(A55="",F55=""),"",COUNTIFS($A$2:A55,A55,$F$2:F55,F55))</f>
        <v/>
      </c>
      <c r="K55" t="str">
        <f t="shared" si="1"/>
        <v/>
      </c>
    </row>
    <row r="56" spans="1:11" x14ac:dyDescent="0.2">
      <c r="A56" s="62"/>
      <c r="B56" s="63"/>
      <c r="C56" s="63"/>
      <c r="D56" s="63"/>
      <c r="E56" s="63"/>
      <c r="F56" s="63"/>
      <c r="G56" s="64"/>
      <c r="H56" s="63"/>
      <c r="I56" s="63"/>
      <c r="J56" t="str">
        <f>IF(OR(A56="",F56=""),"",COUNTIFS($A$2:A56,A56,$F$2:F56,F56))</f>
        <v/>
      </c>
      <c r="K56" t="str">
        <f t="shared" si="1"/>
        <v/>
      </c>
    </row>
    <row r="57" spans="1:11" x14ac:dyDescent="0.2">
      <c r="A57" s="62"/>
      <c r="B57" s="63"/>
      <c r="C57" s="63"/>
      <c r="D57" s="63"/>
      <c r="E57" s="63"/>
      <c r="F57" s="63"/>
      <c r="G57" s="64"/>
      <c r="H57" s="63"/>
      <c r="I57" s="63"/>
      <c r="J57" t="str">
        <f>IF(OR(A57="",F57=""),"",COUNTIFS($A$2:A57,A57,$F$2:F57,F57))</f>
        <v/>
      </c>
      <c r="K57" t="str">
        <f t="shared" si="1"/>
        <v/>
      </c>
    </row>
    <row r="58" spans="1:11" x14ac:dyDescent="0.2">
      <c r="A58" s="62"/>
      <c r="B58" s="63"/>
      <c r="C58" s="63"/>
      <c r="D58" s="63"/>
      <c r="E58" s="63"/>
      <c r="F58" s="63"/>
      <c r="G58" s="64"/>
      <c r="H58" s="63"/>
      <c r="I58" s="63"/>
      <c r="J58" t="str">
        <f>IF(OR(A58="",F58=""),"",COUNTIFS($A$2:A58,A58,$F$2:F58,F58))</f>
        <v/>
      </c>
      <c r="K58" t="str">
        <f t="shared" si="1"/>
        <v/>
      </c>
    </row>
    <row r="59" spans="1:11" x14ac:dyDescent="0.2">
      <c r="A59" s="62"/>
      <c r="B59" s="63"/>
      <c r="C59" s="63"/>
      <c r="D59" s="63"/>
      <c r="E59" s="63"/>
      <c r="F59" s="63"/>
      <c r="G59" s="64"/>
      <c r="H59" s="63"/>
      <c r="I59" s="63"/>
      <c r="J59" t="str">
        <f>IF(OR(A59="",F59=""),"",COUNTIFS($A$2:A59,A59,$F$2:F59,F59))</f>
        <v/>
      </c>
      <c r="K59" t="str">
        <f t="shared" si="1"/>
        <v/>
      </c>
    </row>
    <row r="60" spans="1:11" x14ac:dyDescent="0.2">
      <c r="A60" s="62"/>
      <c r="B60" s="63"/>
      <c r="C60" s="63"/>
      <c r="D60" s="63"/>
      <c r="E60" s="63"/>
      <c r="F60" s="63"/>
      <c r="G60" s="64"/>
      <c r="H60" s="63"/>
      <c r="I60" s="63"/>
      <c r="J60" t="str">
        <f>IF(OR(A60="",F60=""),"",COUNTIFS($A$2:A60,A60,$F$2:F60,F60))</f>
        <v/>
      </c>
      <c r="K60" t="str">
        <f t="shared" si="1"/>
        <v/>
      </c>
    </row>
    <row r="61" spans="1:11" x14ac:dyDescent="0.2">
      <c r="A61" s="62"/>
      <c r="B61" s="63"/>
      <c r="C61" s="63"/>
      <c r="D61" s="63"/>
      <c r="E61" s="63"/>
      <c r="F61" s="63"/>
      <c r="G61" s="64"/>
      <c r="H61" s="63"/>
      <c r="I61" s="63"/>
      <c r="J61" t="str">
        <f>IF(OR(A61="",F61=""),"",COUNTIFS($A$2:A61,A61,$F$2:F61,F61))</f>
        <v/>
      </c>
      <c r="K61" t="str">
        <f t="shared" si="1"/>
        <v/>
      </c>
    </row>
    <row r="62" spans="1:11" x14ac:dyDescent="0.2">
      <c r="A62" s="62"/>
      <c r="B62" s="63"/>
      <c r="C62" s="63"/>
      <c r="D62" s="63"/>
      <c r="E62" s="63"/>
      <c r="F62" s="63"/>
      <c r="G62" s="64"/>
      <c r="H62" s="63"/>
      <c r="I62" s="63"/>
      <c r="J62" t="str">
        <f>IF(OR(A62="",F62=""),"",COUNTIFS($A$2:A62,A62,$F$2:F62,F62))</f>
        <v/>
      </c>
      <c r="K62" t="str">
        <f t="shared" si="1"/>
        <v/>
      </c>
    </row>
    <row r="63" spans="1:11" x14ac:dyDescent="0.2">
      <c r="A63" s="62"/>
      <c r="B63" s="63"/>
      <c r="C63" s="63"/>
      <c r="D63" s="63"/>
      <c r="E63" s="63"/>
      <c r="F63" s="63"/>
      <c r="G63" s="64"/>
      <c r="H63" s="63"/>
      <c r="I63" s="63"/>
      <c r="J63" t="str">
        <f>IF(OR(A63="",F63=""),"",COUNTIFS($A$2:A63,A63,$F$2:F63,F63))</f>
        <v/>
      </c>
      <c r="K63" t="str">
        <f t="shared" si="1"/>
        <v/>
      </c>
    </row>
    <row r="64" spans="1:11" x14ac:dyDescent="0.2">
      <c r="A64" s="62"/>
      <c r="B64" s="63"/>
      <c r="C64" s="63"/>
      <c r="D64" s="63"/>
      <c r="E64" s="63"/>
      <c r="F64" s="63"/>
      <c r="G64" s="64"/>
      <c r="H64" s="63"/>
      <c r="I64" s="63"/>
      <c r="J64" t="str">
        <f>IF(OR(A64="",F64=""),"",COUNTIFS($A$2:A64,A64,$F$2:F64,F64))</f>
        <v/>
      </c>
      <c r="K64" t="str">
        <f t="shared" si="1"/>
        <v/>
      </c>
    </row>
    <row r="65" spans="1:11" x14ac:dyDescent="0.2">
      <c r="A65" s="62"/>
      <c r="B65" s="63"/>
      <c r="C65" s="63"/>
      <c r="D65" s="63"/>
      <c r="E65" s="63"/>
      <c r="F65" s="63"/>
      <c r="G65" s="64"/>
      <c r="H65" s="63"/>
      <c r="I65" s="63"/>
      <c r="J65" t="str">
        <f>IF(OR(A65="",F65=""),"",COUNTIFS($A$2:A65,A65,$F$2:F65,F65))</f>
        <v/>
      </c>
      <c r="K65" t="str">
        <f t="shared" si="1"/>
        <v/>
      </c>
    </row>
    <row r="66" spans="1:11" x14ac:dyDescent="0.2">
      <c r="A66" s="62"/>
      <c r="B66" s="63"/>
      <c r="C66" s="63"/>
      <c r="D66" s="63"/>
      <c r="E66" s="63"/>
      <c r="F66" s="63"/>
      <c r="G66" s="64"/>
      <c r="H66" s="63"/>
      <c r="I66" s="63"/>
      <c r="J66" t="str">
        <f>IF(OR(A66="",F66=""),"",COUNTIFS($A$2:A66,A66,$F$2:F66,F66))</f>
        <v/>
      </c>
      <c r="K66" t="str">
        <f t="shared" ref="K66:K97" si="2">IF(OR(A66="",F66="",J66=""),"",TEXT(A66,"yyyymmdd")&amp;"|"&amp;F66&amp;"|"&amp;J66)</f>
        <v/>
      </c>
    </row>
    <row r="67" spans="1:11" x14ac:dyDescent="0.2">
      <c r="A67" s="62"/>
      <c r="B67" s="63"/>
      <c r="C67" s="63"/>
      <c r="D67" s="63"/>
      <c r="E67" s="63"/>
      <c r="F67" s="63"/>
      <c r="G67" s="64"/>
      <c r="H67" s="63"/>
      <c r="I67" s="63"/>
      <c r="J67" t="str">
        <f>IF(OR(A67="",F67=""),"",COUNTIFS($A$2:A67,A67,$F$2:F67,F67))</f>
        <v/>
      </c>
      <c r="K67" t="str">
        <f t="shared" si="2"/>
        <v/>
      </c>
    </row>
    <row r="68" spans="1:11" x14ac:dyDescent="0.2">
      <c r="A68" s="62"/>
      <c r="B68" s="63"/>
      <c r="C68" s="63"/>
      <c r="D68" s="63"/>
      <c r="E68" s="63"/>
      <c r="F68" s="63"/>
      <c r="G68" s="64"/>
      <c r="H68" s="63"/>
      <c r="I68" s="63"/>
      <c r="J68" t="str">
        <f>IF(OR(A68="",F68=""),"",COUNTIFS($A$2:A68,A68,$F$2:F68,F68))</f>
        <v/>
      </c>
      <c r="K68" t="str">
        <f t="shared" si="2"/>
        <v/>
      </c>
    </row>
    <row r="69" spans="1:11" x14ac:dyDescent="0.2">
      <c r="A69" s="62"/>
      <c r="B69" s="63"/>
      <c r="C69" s="63"/>
      <c r="D69" s="63"/>
      <c r="E69" s="63"/>
      <c r="F69" s="63"/>
      <c r="G69" s="64"/>
      <c r="H69" s="63"/>
      <c r="I69" s="63"/>
      <c r="J69" t="str">
        <f>IF(OR(A69="",F69=""),"",COUNTIFS($A$2:A69,A69,$F$2:F69,F69))</f>
        <v/>
      </c>
      <c r="K69" t="str">
        <f t="shared" si="2"/>
        <v/>
      </c>
    </row>
    <row r="70" spans="1:11" x14ac:dyDescent="0.2">
      <c r="A70" s="62"/>
      <c r="B70" s="63"/>
      <c r="C70" s="63"/>
      <c r="D70" s="63"/>
      <c r="E70" s="63"/>
      <c r="F70" s="63"/>
      <c r="G70" s="64"/>
      <c r="H70" s="63"/>
      <c r="I70" s="63"/>
      <c r="J70" t="str">
        <f>IF(OR(A70="",F70=""),"",COUNTIFS($A$2:A70,A70,$F$2:F70,F70))</f>
        <v/>
      </c>
      <c r="K70" t="str">
        <f t="shared" si="2"/>
        <v/>
      </c>
    </row>
    <row r="71" spans="1:11" x14ac:dyDescent="0.2">
      <c r="A71" s="62"/>
      <c r="B71" s="63"/>
      <c r="C71" s="63"/>
      <c r="D71" s="63"/>
      <c r="E71" s="63"/>
      <c r="F71" s="63"/>
      <c r="G71" s="64"/>
      <c r="H71" s="63"/>
      <c r="I71" s="63"/>
      <c r="J71" t="str">
        <f>IF(OR(A71="",F71=""),"",COUNTIFS($A$2:A71,A71,$F$2:F71,F71))</f>
        <v/>
      </c>
      <c r="K71" t="str">
        <f t="shared" si="2"/>
        <v/>
      </c>
    </row>
    <row r="72" spans="1:11" x14ac:dyDescent="0.2">
      <c r="A72" s="62"/>
      <c r="B72" s="63"/>
      <c r="C72" s="63"/>
      <c r="D72" s="63"/>
      <c r="E72" s="63"/>
      <c r="F72" s="63"/>
      <c r="G72" s="64"/>
      <c r="H72" s="63"/>
      <c r="I72" s="63"/>
      <c r="J72" t="str">
        <f>IF(OR(A72="",F72=""),"",COUNTIFS($A$2:A72,A72,$F$2:F72,F72))</f>
        <v/>
      </c>
      <c r="K72" t="str">
        <f t="shared" si="2"/>
        <v/>
      </c>
    </row>
    <row r="73" spans="1:11" x14ac:dyDescent="0.2">
      <c r="A73" s="62"/>
      <c r="B73" s="63"/>
      <c r="C73" s="63"/>
      <c r="D73" s="63"/>
      <c r="E73" s="63"/>
      <c r="F73" s="63"/>
      <c r="G73" s="64"/>
      <c r="H73" s="63"/>
      <c r="I73" s="63"/>
      <c r="J73" t="str">
        <f>IF(OR(A73="",F73=""),"",COUNTIFS($A$2:A73,A73,$F$2:F73,F73))</f>
        <v/>
      </c>
      <c r="K73" t="str">
        <f t="shared" si="2"/>
        <v/>
      </c>
    </row>
    <row r="74" spans="1:11" x14ac:dyDescent="0.2">
      <c r="A74" s="62"/>
      <c r="B74" s="63"/>
      <c r="C74" s="63"/>
      <c r="D74" s="63"/>
      <c r="E74" s="63"/>
      <c r="F74" s="63"/>
      <c r="G74" s="64"/>
      <c r="H74" s="63"/>
      <c r="I74" s="63"/>
      <c r="J74" t="str">
        <f>IF(OR(A74="",F74=""),"",COUNTIFS($A$2:A74,A74,$F$2:F74,F74))</f>
        <v/>
      </c>
      <c r="K74" t="str">
        <f t="shared" si="2"/>
        <v/>
      </c>
    </row>
    <row r="75" spans="1:11" x14ac:dyDescent="0.2">
      <c r="A75" s="62"/>
      <c r="B75" s="63"/>
      <c r="C75" s="63"/>
      <c r="D75" s="63"/>
      <c r="E75" s="63"/>
      <c r="F75" s="63"/>
      <c r="G75" s="64"/>
      <c r="H75" s="63"/>
      <c r="I75" s="63"/>
      <c r="J75" t="str">
        <f>IF(OR(A75="",F75=""),"",COUNTIFS($A$2:A75,A75,$F$2:F75,F75))</f>
        <v/>
      </c>
      <c r="K75" t="str">
        <f t="shared" si="2"/>
        <v/>
      </c>
    </row>
    <row r="76" spans="1:11" x14ac:dyDescent="0.2">
      <c r="A76" s="62"/>
      <c r="B76" s="63"/>
      <c r="C76" s="63"/>
      <c r="D76" s="63"/>
      <c r="E76" s="63"/>
      <c r="F76" s="63"/>
      <c r="G76" s="64"/>
      <c r="H76" s="63"/>
      <c r="I76" s="63"/>
      <c r="J76" t="str">
        <f>IF(OR(A76="",F76=""),"",COUNTIFS($A$2:A76,A76,$F$2:F76,F76))</f>
        <v/>
      </c>
      <c r="K76" t="str">
        <f t="shared" si="2"/>
        <v/>
      </c>
    </row>
    <row r="77" spans="1:11" x14ac:dyDescent="0.2">
      <c r="A77" s="62"/>
      <c r="B77" s="63"/>
      <c r="C77" s="63"/>
      <c r="D77" s="63"/>
      <c r="E77" s="63"/>
      <c r="F77" s="63"/>
      <c r="G77" s="64"/>
      <c r="H77" s="63"/>
      <c r="I77" s="63"/>
      <c r="J77" t="str">
        <f>IF(OR(A77="",F77=""),"",COUNTIFS($A$2:A77,A77,$F$2:F77,F77))</f>
        <v/>
      </c>
      <c r="K77" t="str">
        <f t="shared" si="2"/>
        <v/>
      </c>
    </row>
    <row r="78" spans="1:11" x14ac:dyDescent="0.2">
      <c r="A78" s="62"/>
      <c r="B78" s="63"/>
      <c r="C78" s="63"/>
      <c r="D78" s="63"/>
      <c r="E78" s="63"/>
      <c r="F78" s="63"/>
      <c r="G78" s="64"/>
      <c r="H78" s="63"/>
      <c r="I78" s="63"/>
      <c r="J78" t="str">
        <f>IF(OR(A78="",F78=""),"",COUNTIFS($A$2:A78,A78,$F$2:F78,F78))</f>
        <v/>
      </c>
      <c r="K78" t="str">
        <f t="shared" si="2"/>
        <v/>
      </c>
    </row>
    <row r="79" spans="1:11" x14ac:dyDescent="0.2">
      <c r="A79" s="62"/>
      <c r="B79" s="63"/>
      <c r="C79" s="63"/>
      <c r="D79" s="63"/>
      <c r="E79" s="63"/>
      <c r="F79" s="63"/>
      <c r="G79" s="64"/>
      <c r="H79" s="63"/>
      <c r="I79" s="63"/>
      <c r="J79" t="str">
        <f>IF(OR(A79="",F79=""),"",COUNTIFS($A$2:A79,A79,$F$2:F79,F79))</f>
        <v/>
      </c>
      <c r="K79" t="str">
        <f t="shared" si="2"/>
        <v/>
      </c>
    </row>
    <row r="80" spans="1:11" x14ac:dyDescent="0.2">
      <c r="A80" s="62"/>
      <c r="B80" s="63"/>
      <c r="C80" s="63"/>
      <c r="D80" s="63"/>
      <c r="E80" s="63"/>
      <c r="F80" s="63"/>
      <c r="G80" s="64"/>
      <c r="H80" s="63"/>
      <c r="I80" s="63"/>
      <c r="J80" t="str">
        <f>IF(OR(A80="",F80=""),"",COUNTIFS($A$2:A80,A80,$F$2:F80,F80))</f>
        <v/>
      </c>
      <c r="K80" t="str">
        <f t="shared" si="2"/>
        <v/>
      </c>
    </row>
    <row r="81" spans="1:11" x14ac:dyDescent="0.2">
      <c r="A81" s="62"/>
      <c r="B81" s="63"/>
      <c r="C81" s="63"/>
      <c r="D81" s="63"/>
      <c r="E81" s="63"/>
      <c r="F81" s="63"/>
      <c r="G81" s="64"/>
      <c r="H81" s="63"/>
      <c r="I81" s="63"/>
      <c r="J81" t="str">
        <f>IF(OR(A81="",F81=""),"",COUNTIFS($A$2:A81,A81,$F$2:F81,F81))</f>
        <v/>
      </c>
      <c r="K81" t="str">
        <f t="shared" si="2"/>
        <v/>
      </c>
    </row>
    <row r="82" spans="1:11" x14ac:dyDescent="0.2">
      <c r="A82" s="62"/>
      <c r="B82" s="63"/>
      <c r="C82" s="63"/>
      <c r="D82" s="63"/>
      <c r="E82" s="63"/>
      <c r="F82" s="63"/>
      <c r="G82" s="64"/>
      <c r="H82" s="63"/>
      <c r="I82" s="63"/>
      <c r="J82" t="str">
        <f>IF(OR(A82="",F82=""),"",COUNTIFS($A$2:A82,A82,$F$2:F82,F82))</f>
        <v/>
      </c>
      <c r="K82" t="str">
        <f t="shared" si="2"/>
        <v/>
      </c>
    </row>
    <row r="83" spans="1:11" x14ac:dyDescent="0.2">
      <c r="A83" s="62"/>
      <c r="B83" s="63"/>
      <c r="C83" s="63"/>
      <c r="D83" s="63"/>
      <c r="E83" s="63"/>
      <c r="F83" s="63"/>
      <c r="G83" s="64"/>
      <c r="H83" s="63"/>
      <c r="I83" s="63"/>
      <c r="J83" t="str">
        <f>IF(OR(A83="",F83=""),"",COUNTIFS($A$2:A83,A83,$F$2:F83,F83))</f>
        <v/>
      </c>
      <c r="K83" t="str">
        <f t="shared" si="2"/>
        <v/>
      </c>
    </row>
    <row r="84" spans="1:11" x14ac:dyDescent="0.2">
      <c r="A84" s="62"/>
      <c r="B84" s="63"/>
      <c r="C84" s="63"/>
      <c r="D84" s="63"/>
      <c r="E84" s="63"/>
      <c r="F84" s="63"/>
      <c r="G84" s="64"/>
      <c r="H84" s="63"/>
      <c r="I84" s="63"/>
      <c r="J84" t="str">
        <f>IF(OR(A84="",F84=""),"",COUNTIFS($A$2:A84,A84,$F$2:F84,F84))</f>
        <v/>
      </c>
      <c r="K84" t="str">
        <f t="shared" si="2"/>
        <v/>
      </c>
    </row>
    <row r="85" spans="1:11" x14ac:dyDescent="0.2">
      <c r="A85" s="62"/>
      <c r="B85" s="63"/>
      <c r="C85" s="63"/>
      <c r="D85" s="63"/>
      <c r="E85" s="63"/>
      <c r="F85" s="63"/>
      <c r="G85" s="64"/>
      <c r="H85" s="63"/>
      <c r="I85" s="63"/>
      <c r="J85" t="str">
        <f>IF(OR(A85="",F85=""),"",COUNTIFS($A$2:A85,A85,$F$2:F85,F85))</f>
        <v/>
      </c>
      <c r="K85" t="str">
        <f t="shared" si="2"/>
        <v/>
      </c>
    </row>
    <row r="86" spans="1:11" x14ac:dyDescent="0.2">
      <c r="A86" s="62"/>
      <c r="B86" s="63"/>
      <c r="C86" s="63"/>
      <c r="D86" s="63"/>
      <c r="E86" s="63"/>
      <c r="F86" s="63"/>
      <c r="G86" s="64"/>
      <c r="H86" s="63"/>
      <c r="I86" s="63"/>
      <c r="J86" t="str">
        <f>IF(OR(A86="",F86=""),"",COUNTIFS($A$2:A86,A86,$F$2:F86,F86))</f>
        <v/>
      </c>
      <c r="K86" t="str">
        <f t="shared" si="2"/>
        <v/>
      </c>
    </row>
    <row r="87" spans="1:11" x14ac:dyDescent="0.2">
      <c r="A87" s="62"/>
      <c r="B87" s="63"/>
      <c r="C87" s="63"/>
      <c r="D87" s="63"/>
      <c r="E87" s="63"/>
      <c r="F87" s="63"/>
      <c r="G87" s="64"/>
      <c r="H87" s="63"/>
      <c r="I87" s="63"/>
      <c r="J87" t="str">
        <f>IF(OR(A87="",F87=""),"",COUNTIFS($A$2:A87,A87,$F$2:F87,F87))</f>
        <v/>
      </c>
      <c r="K87" t="str">
        <f t="shared" si="2"/>
        <v/>
      </c>
    </row>
    <row r="88" spans="1:11" x14ac:dyDescent="0.2">
      <c r="A88" s="62"/>
      <c r="B88" s="63"/>
      <c r="C88" s="63"/>
      <c r="D88" s="63"/>
      <c r="E88" s="63"/>
      <c r="F88" s="63"/>
      <c r="G88" s="64"/>
      <c r="H88" s="63"/>
      <c r="I88" s="63"/>
      <c r="J88" t="str">
        <f>IF(OR(A88="",F88=""),"",COUNTIFS($A$2:A88,A88,$F$2:F88,F88))</f>
        <v/>
      </c>
      <c r="K88" t="str">
        <f t="shared" si="2"/>
        <v/>
      </c>
    </row>
    <row r="89" spans="1:11" x14ac:dyDescent="0.2">
      <c r="A89" s="62"/>
      <c r="B89" s="63"/>
      <c r="C89" s="63"/>
      <c r="D89" s="63"/>
      <c r="E89" s="63"/>
      <c r="F89" s="63"/>
      <c r="G89" s="64"/>
      <c r="H89" s="63"/>
      <c r="I89" s="63"/>
      <c r="J89" t="str">
        <f>IF(OR(A89="",F89=""),"",COUNTIFS($A$2:A89,A89,$F$2:F89,F89))</f>
        <v/>
      </c>
      <c r="K89" t="str">
        <f t="shared" si="2"/>
        <v/>
      </c>
    </row>
    <row r="90" spans="1:11" x14ac:dyDescent="0.2">
      <c r="A90" s="62"/>
      <c r="B90" s="63"/>
      <c r="C90" s="63"/>
      <c r="D90" s="63"/>
      <c r="E90" s="63"/>
      <c r="F90" s="63"/>
      <c r="G90" s="64"/>
      <c r="H90" s="63"/>
      <c r="I90" s="63"/>
      <c r="J90" t="str">
        <f>IF(OR(A90="",F90=""),"",COUNTIFS($A$2:A90,A90,$F$2:F90,F90))</f>
        <v/>
      </c>
      <c r="K90" t="str">
        <f t="shared" si="2"/>
        <v/>
      </c>
    </row>
    <row r="91" spans="1:11" x14ac:dyDescent="0.2">
      <c r="A91" s="62"/>
      <c r="B91" s="63"/>
      <c r="C91" s="63"/>
      <c r="D91" s="63"/>
      <c r="E91" s="63"/>
      <c r="F91" s="63"/>
      <c r="G91" s="64"/>
      <c r="H91" s="63"/>
      <c r="I91" s="63"/>
      <c r="J91" t="str">
        <f>IF(OR(A91="",F91=""),"",COUNTIFS($A$2:A91,A91,$F$2:F91,F91))</f>
        <v/>
      </c>
      <c r="K91" t="str">
        <f t="shared" si="2"/>
        <v/>
      </c>
    </row>
    <row r="92" spans="1:11" x14ac:dyDescent="0.2">
      <c r="A92" s="62"/>
      <c r="B92" s="63"/>
      <c r="C92" s="63"/>
      <c r="D92" s="63"/>
      <c r="E92" s="63"/>
      <c r="F92" s="63"/>
      <c r="G92" s="64"/>
      <c r="H92" s="63"/>
      <c r="I92" s="63"/>
      <c r="J92" t="str">
        <f>IF(OR(A92="",F92=""),"",COUNTIFS($A$2:A92,A92,$F$2:F92,F92))</f>
        <v/>
      </c>
      <c r="K92" t="str">
        <f t="shared" si="2"/>
        <v/>
      </c>
    </row>
    <row r="93" spans="1:11" x14ac:dyDescent="0.2">
      <c r="A93" s="62"/>
      <c r="B93" s="63"/>
      <c r="C93" s="63"/>
      <c r="D93" s="63"/>
      <c r="E93" s="63"/>
      <c r="F93" s="63"/>
      <c r="G93" s="64"/>
      <c r="H93" s="63"/>
      <c r="I93" s="63"/>
      <c r="J93" t="str">
        <f>IF(OR(A93="",F93=""),"",COUNTIFS($A$2:A93,A93,$F$2:F93,F93))</f>
        <v/>
      </c>
      <c r="K93" t="str">
        <f t="shared" si="2"/>
        <v/>
      </c>
    </row>
    <row r="94" spans="1:11" x14ac:dyDescent="0.2">
      <c r="A94" s="62"/>
      <c r="B94" s="63"/>
      <c r="C94" s="63"/>
      <c r="D94" s="63"/>
      <c r="E94" s="63"/>
      <c r="F94" s="63"/>
      <c r="G94" s="64"/>
      <c r="H94" s="63"/>
      <c r="I94" s="63"/>
      <c r="J94" t="str">
        <f>IF(OR(A94="",F94=""),"",COUNTIFS($A$2:A94,A94,$F$2:F94,F94))</f>
        <v/>
      </c>
      <c r="K94" t="str">
        <f t="shared" si="2"/>
        <v/>
      </c>
    </row>
    <row r="95" spans="1:11" x14ac:dyDescent="0.2">
      <c r="A95" s="62"/>
      <c r="B95" s="63"/>
      <c r="C95" s="63"/>
      <c r="D95" s="63"/>
      <c r="E95" s="63"/>
      <c r="F95" s="63"/>
      <c r="G95" s="64"/>
      <c r="H95" s="63"/>
      <c r="I95" s="63"/>
      <c r="J95" t="str">
        <f>IF(OR(A95="",F95=""),"",COUNTIFS($A$2:A95,A95,$F$2:F95,F95))</f>
        <v/>
      </c>
      <c r="K95" t="str">
        <f t="shared" si="2"/>
        <v/>
      </c>
    </row>
    <row r="96" spans="1:11" x14ac:dyDescent="0.2">
      <c r="A96" s="62"/>
      <c r="B96" s="63"/>
      <c r="C96" s="63"/>
      <c r="D96" s="63"/>
      <c r="E96" s="63"/>
      <c r="F96" s="63"/>
      <c r="G96" s="64"/>
      <c r="H96" s="63"/>
      <c r="I96" s="63"/>
      <c r="J96" t="str">
        <f>IF(OR(A96="",F96=""),"",COUNTIFS($A$2:A96,A96,$F$2:F96,F96))</f>
        <v/>
      </c>
      <c r="K96" t="str">
        <f t="shared" si="2"/>
        <v/>
      </c>
    </row>
    <row r="97" spans="1:11" x14ac:dyDescent="0.2">
      <c r="A97" s="62"/>
      <c r="B97" s="63"/>
      <c r="C97" s="63"/>
      <c r="D97" s="63"/>
      <c r="E97" s="63"/>
      <c r="F97" s="63"/>
      <c r="G97" s="64"/>
      <c r="H97" s="63"/>
      <c r="I97" s="63"/>
      <c r="J97" t="str">
        <f>IF(OR(A97="",F97=""),"",COUNTIFS($A$2:A97,A97,$F$2:F97,F97))</f>
        <v/>
      </c>
      <c r="K97" t="str">
        <f t="shared" si="2"/>
        <v/>
      </c>
    </row>
    <row r="98" spans="1:11" x14ac:dyDescent="0.2">
      <c r="A98" s="62"/>
      <c r="B98" s="63"/>
      <c r="C98" s="63"/>
      <c r="D98" s="63"/>
      <c r="E98" s="63"/>
      <c r="F98" s="63"/>
      <c r="G98" s="64"/>
      <c r="H98" s="63"/>
      <c r="I98" s="63"/>
      <c r="J98" t="str">
        <f>IF(OR(A98="",F98=""),"",COUNTIFS($A$2:A98,A98,$F$2:F98,F98))</f>
        <v/>
      </c>
      <c r="K98" t="str">
        <f t="shared" ref="K98:K129" si="3">IF(OR(A98="",F98="",J98=""),"",TEXT(A98,"yyyymmdd")&amp;"|"&amp;F98&amp;"|"&amp;J98)</f>
        <v/>
      </c>
    </row>
    <row r="99" spans="1:11" x14ac:dyDescent="0.2">
      <c r="A99" s="62"/>
      <c r="B99" s="63"/>
      <c r="C99" s="63"/>
      <c r="D99" s="63"/>
      <c r="E99" s="63"/>
      <c r="F99" s="63"/>
      <c r="G99" s="64"/>
      <c r="H99" s="63"/>
      <c r="I99" s="63"/>
      <c r="J99" t="str">
        <f>IF(OR(A99="",F99=""),"",COUNTIFS($A$2:A99,A99,$F$2:F99,F99))</f>
        <v/>
      </c>
      <c r="K99" t="str">
        <f t="shared" si="3"/>
        <v/>
      </c>
    </row>
    <row r="100" spans="1:11" x14ac:dyDescent="0.2">
      <c r="A100" s="62"/>
      <c r="B100" s="63"/>
      <c r="C100" s="63"/>
      <c r="D100" s="63"/>
      <c r="E100" s="63"/>
      <c r="F100" s="63"/>
      <c r="G100" s="64"/>
      <c r="H100" s="63"/>
      <c r="I100" s="63"/>
      <c r="J100" t="str">
        <f>IF(OR(A100="",F100=""),"",COUNTIFS($A$2:A100,A100,$F$2:F100,F100))</f>
        <v/>
      </c>
      <c r="K100" t="str">
        <f t="shared" si="3"/>
        <v/>
      </c>
    </row>
    <row r="101" spans="1:11" x14ac:dyDescent="0.2">
      <c r="A101" s="62"/>
      <c r="B101" s="63"/>
      <c r="C101" s="63"/>
      <c r="D101" s="63"/>
      <c r="E101" s="63"/>
      <c r="F101" s="63"/>
      <c r="G101" s="64"/>
      <c r="H101" s="63"/>
      <c r="I101" s="63"/>
      <c r="J101" t="str">
        <f>IF(OR(A101="",F101=""),"",COUNTIFS($A$2:A101,A101,$F$2:F101,F101))</f>
        <v/>
      </c>
      <c r="K101" t="str">
        <f t="shared" si="3"/>
        <v/>
      </c>
    </row>
  </sheetData>
  <dataValidations count="2">
    <dataValidation type="decimal" allowBlank="1" sqref="G2:G101" xr:uid="{00000000-0002-0000-0600-000000000000}">
      <formula1>0</formula1>
      <formula2>1</formula2>
    </dataValidation>
    <dataValidation type="list" allowBlank="1" sqref="H2:H101" xr:uid="{00000000-0002-0000-0600-000001000000}">
      <formula1>"PROOF / INITIAL LOAD,CONFIRMED,TENTATIVE,OPEN,REMOVED"</formula1>
    </dataValidation>
  </dataValidation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1"/>
  <sheetViews>
    <sheetView workbookViewId="0">
      <pane ySplit="1" topLeftCell="A2" activePane="bottomLeft" state="frozen"/>
      <selection pane="bottomLeft" activeCell="H6" sqref="H6"/>
    </sheetView>
  </sheetViews>
  <sheetFormatPr defaultRowHeight="12.75" x14ac:dyDescent="0.2"/>
  <cols>
    <col min="1" max="1" width="14" customWidth="1"/>
    <col min="2" max="2" width="24" customWidth="1"/>
    <col min="3" max="3" width="20" customWidth="1"/>
    <col min="4" max="4" width="14" customWidth="1"/>
    <col min="5" max="5" width="32" customWidth="1"/>
    <col min="6" max="7" width="14" customWidth="1"/>
    <col min="8" max="8" width="16" customWidth="1"/>
    <col min="9" max="9" width="28" customWidth="1"/>
    <col min="10" max="10" width="42" customWidth="1"/>
  </cols>
  <sheetData>
    <row r="1" spans="1:10" x14ac:dyDescent="0.2">
      <c r="A1" s="38" t="s">
        <v>848</v>
      </c>
      <c r="B1" s="38" t="s">
        <v>859</v>
      </c>
      <c r="C1" s="38" t="s">
        <v>60</v>
      </c>
      <c r="D1" s="38" t="s">
        <v>849</v>
      </c>
      <c r="E1" s="38" t="s">
        <v>850</v>
      </c>
      <c r="F1" s="38" t="s">
        <v>888</v>
      </c>
      <c r="G1" s="38" t="s">
        <v>852</v>
      </c>
      <c r="H1" s="38" t="s">
        <v>889</v>
      </c>
      <c r="I1" s="38" t="s">
        <v>890</v>
      </c>
      <c r="J1" s="38" t="s">
        <v>861</v>
      </c>
    </row>
    <row r="2" spans="1:10" x14ac:dyDescent="0.2">
      <c r="A2" s="65">
        <v>46270</v>
      </c>
      <c r="B2" t="s">
        <v>58</v>
      </c>
      <c r="C2" t="s">
        <v>8</v>
      </c>
      <c r="D2" t="s">
        <v>864</v>
      </c>
      <c r="E2" t="s">
        <v>99</v>
      </c>
      <c r="F2" s="31">
        <v>1905.76</v>
      </c>
      <c r="G2" s="49">
        <v>1</v>
      </c>
      <c r="H2" s="31">
        <f>F2*G2</f>
        <v>1905.76</v>
      </c>
      <c r="I2" t="s">
        <v>891</v>
      </c>
      <c r="J2" t="s">
        <v>892</v>
      </c>
    </row>
    <row r="3" spans="1:10" x14ac:dyDescent="0.2">
      <c r="A3" s="65">
        <v>46270</v>
      </c>
      <c r="B3" t="s">
        <v>58</v>
      </c>
      <c r="C3" t="s">
        <v>8</v>
      </c>
      <c r="D3" t="s">
        <v>867</v>
      </c>
      <c r="E3" t="s">
        <v>868</v>
      </c>
      <c r="F3" s="31">
        <v>154.32</v>
      </c>
      <c r="G3" s="49">
        <v>1</v>
      </c>
      <c r="H3" s="31">
        <f>F3*G3</f>
        <v>154.32</v>
      </c>
      <c r="I3" t="s">
        <v>891</v>
      </c>
      <c r="J3" t="s">
        <v>892</v>
      </c>
    </row>
    <row r="4" spans="1:10" x14ac:dyDescent="0.2">
      <c r="A4" s="65">
        <v>46270</v>
      </c>
      <c r="B4" t="s">
        <v>58</v>
      </c>
      <c r="C4" t="s">
        <v>8</v>
      </c>
      <c r="D4" t="s">
        <v>870</v>
      </c>
      <c r="E4" t="s">
        <v>871</v>
      </c>
      <c r="F4" s="31">
        <v>189</v>
      </c>
      <c r="G4" s="49">
        <v>1</v>
      </c>
      <c r="H4" s="31">
        <f>F4*G4</f>
        <v>189</v>
      </c>
      <c r="I4" t="s">
        <v>891</v>
      </c>
      <c r="J4" t="s">
        <v>892</v>
      </c>
    </row>
    <row r="5" spans="1:10" x14ac:dyDescent="0.2">
      <c r="A5" s="65">
        <v>46270</v>
      </c>
      <c r="B5" t="s">
        <v>58</v>
      </c>
      <c r="C5" t="s">
        <v>8</v>
      </c>
      <c r="D5" t="s">
        <v>873</v>
      </c>
      <c r="E5" t="s">
        <v>874</v>
      </c>
      <c r="F5" s="31">
        <v>670.54</v>
      </c>
      <c r="G5" s="49">
        <v>1</v>
      </c>
      <c r="H5" s="31">
        <f>F5*G5</f>
        <v>670.54</v>
      </c>
      <c r="I5" t="s">
        <v>891</v>
      </c>
      <c r="J5" t="s">
        <v>892</v>
      </c>
    </row>
    <row r="6" spans="1:10" x14ac:dyDescent="0.2">
      <c r="A6" s="65">
        <v>46270</v>
      </c>
      <c r="B6" t="s">
        <v>58</v>
      </c>
      <c r="C6" t="s">
        <v>8</v>
      </c>
      <c r="D6" t="s">
        <v>876</v>
      </c>
      <c r="E6" t="s">
        <v>101</v>
      </c>
      <c r="F6" s="31">
        <v>502.12</v>
      </c>
      <c r="G6" s="49">
        <v>1</v>
      </c>
      <c r="H6" s="31">
        <f>F6*G6</f>
        <v>502.12</v>
      </c>
      <c r="I6" t="s">
        <v>891</v>
      </c>
      <c r="J6" t="s">
        <v>892</v>
      </c>
    </row>
    <row r="7" spans="1:10" x14ac:dyDescent="0.2">
      <c r="A7" s="65"/>
      <c r="F7" s="31"/>
      <c r="G7" s="49"/>
      <c r="H7" s="31"/>
    </row>
    <row r="8" spans="1:10" x14ac:dyDescent="0.2">
      <c r="A8" s="65"/>
      <c r="F8" s="31"/>
      <c r="G8" s="49"/>
      <c r="H8" s="31"/>
    </row>
    <row r="9" spans="1:10" x14ac:dyDescent="0.2">
      <c r="A9" s="65"/>
      <c r="F9" s="31"/>
      <c r="G9" s="49"/>
      <c r="H9" s="31"/>
    </row>
    <row r="10" spans="1:10" x14ac:dyDescent="0.2">
      <c r="A10" s="65"/>
      <c r="F10" s="31"/>
      <c r="G10" s="49"/>
      <c r="H10" s="31"/>
    </row>
    <row r="11" spans="1:10" x14ac:dyDescent="0.2">
      <c r="A11" s="65"/>
      <c r="F11" s="31"/>
      <c r="G11" s="49"/>
      <c r="H11" s="31"/>
    </row>
    <row r="12" spans="1:10" x14ac:dyDescent="0.2">
      <c r="A12" s="65"/>
      <c r="F12" s="31"/>
      <c r="G12" s="49"/>
      <c r="H12" s="31"/>
    </row>
    <row r="13" spans="1:10" x14ac:dyDescent="0.2">
      <c r="A13" s="65"/>
      <c r="F13" s="31"/>
      <c r="G13" s="49"/>
      <c r="H13" s="31"/>
    </row>
    <row r="14" spans="1:10" x14ac:dyDescent="0.2">
      <c r="A14" s="65"/>
      <c r="F14" s="31"/>
      <c r="G14" s="49"/>
      <c r="H14" s="31"/>
    </row>
    <row r="15" spans="1:10" x14ac:dyDescent="0.2">
      <c r="A15" s="65"/>
      <c r="F15" s="31"/>
      <c r="G15" s="49"/>
      <c r="H15" s="31"/>
    </row>
    <row r="16" spans="1:10" x14ac:dyDescent="0.2">
      <c r="A16" s="65"/>
      <c r="F16" s="31"/>
      <c r="G16" s="49"/>
      <c r="H16" s="31"/>
    </row>
    <row r="17" spans="1:8" x14ac:dyDescent="0.2">
      <c r="A17" s="65"/>
      <c r="F17" s="31"/>
      <c r="G17" s="49"/>
      <c r="H17" s="31"/>
    </row>
    <row r="18" spans="1:8" x14ac:dyDescent="0.2">
      <c r="A18" s="65"/>
      <c r="F18" s="31"/>
      <c r="G18" s="49"/>
      <c r="H18" s="31"/>
    </row>
    <row r="19" spans="1:8" x14ac:dyDescent="0.2">
      <c r="A19" s="65"/>
      <c r="F19" s="31"/>
      <c r="G19" s="49"/>
      <c r="H19" s="31"/>
    </row>
    <row r="20" spans="1:8" x14ac:dyDescent="0.2">
      <c r="A20" s="65"/>
      <c r="F20" s="31"/>
      <c r="G20" s="49"/>
      <c r="H20" s="31"/>
    </row>
    <row r="21" spans="1:8" x14ac:dyDescent="0.2">
      <c r="A21" s="65"/>
      <c r="F21" s="31"/>
      <c r="G21" s="49"/>
      <c r="H21" s="31"/>
    </row>
    <row r="22" spans="1:8" x14ac:dyDescent="0.2">
      <c r="A22" s="65"/>
      <c r="F22" s="31"/>
      <c r="G22" s="49"/>
      <c r="H22" s="31"/>
    </row>
    <row r="23" spans="1:8" x14ac:dyDescent="0.2">
      <c r="A23" s="65"/>
      <c r="F23" s="31"/>
      <c r="G23" s="49"/>
      <c r="H23" s="31"/>
    </row>
    <row r="24" spans="1:8" x14ac:dyDescent="0.2">
      <c r="A24" s="65"/>
      <c r="F24" s="31"/>
      <c r="G24" s="49"/>
      <c r="H24" s="31"/>
    </row>
    <row r="25" spans="1:8" x14ac:dyDescent="0.2">
      <c r="A25" s="65"/>
      <c r="F25" s="31"/>
      <c r="G25" s="49"/>
      <c r="H25" s="31"/>
    </row>
    <row r="26" spans="1:8" x14ac:dyDescent="0.2">
      <c r="A26" s="65"/>
      <c r="F26" s="31"/>
      <c r="G26" s="49"/>
      <c r="H26" s="31"/>
    </row>
    <row r="27" spans="1:8" x14ac:dyDescent="0.2">
      <c r="A27" s="65"/>
      <c r="F27" s="31"/>
      <c r="G27" s="49"/>
      <c r="H27" s="31"/>
    </row>
    <row r="28" spans="1:8" x14ac:dyDescent="0.2">
      <c r="A28" s="65"/>
      <c r="F28" s="31"/>
      <c r="G28" s="49"/>
      <c r="H28" s="31"/>
    </row>
    <row r="29" spans="1:8" x14ac:dyDescent="0.2">
      <c r="A29" s="65"/>
      <c r="F29" s="31"/>
      <c r="G29" s="49"/>
      <c r="H29" s="31"/>
    </row>
    <row r="30" spans="1:8" x14ac:dyDescent="0.2">
      <c r="A30" s="65"/>
      <c r="F30" s="31"/>
      <c r="G30" s="49"/>
      <c r="H30" s="31"/>
    </row>
    <row r="31" spans="1:8" x14ac:dyDescent="0.2">
      <c r="A31" s="65"/>
      <c r="F31" s="31"/>
      <c r="G31" s="49"/>
      <c r="H31" s="31"/>
    </row>
    <row r="32" spans="1:8" x14ac:dyDescent="0.2">
      <c r="A32" s="65"/>
      <c r="F32" s="31"/>
      <c r="G32" s="49"/>
      <c r="H32" s="31"/>
    </row>
    <row r="33" spans="1:8" x14ac:dyDescent="0.2">
      <c r="A33" s="65"/>
      <c r="F33" s="31"/>
      <c r="G33" s="49"/>
      <c r="H33" s="31"/>
    </row>
    <row r="34" spans="1:8" x14ac:dyDescent="0.2">
      <c r="A34" s="65"/>
      <c r="F34" s="31"/>
      <c r="G34" s="49"/>
      <c r="H34" s="31"/>
    </row>
    <row r="35" spans="1:8" x14ac:dyDescent="0.2">
      <c r="A35" s="65"/>
      <c r="F35" s="31"/>
      <c r="G35" s="49"/>
      <c r="H35" s="31"/>
    </row>
    <row r="36" spans="1:8" x14ac:dyDescent="0.2">
      <c r="A36" s="65"/>
      <c r="F36" s="31"/>
      <c r="G36" s="49"/>
      <c r="H36" s="31"/>
    </row>
    <row r="37" spans="1:8" x14ac:dyDescent="0.2">
      <c r="A37" s="65"/>
      <c r="F37" s="31"/>
      <c r="G37" s="49"/>
      <c r="H37" s="31"/>
    </row>
    <row r="38" spans="1:8" x14ac:dyDescent="0.2">
      <c r="A38" s="65"/>
      <c r="F38" s="31"/>
      <c r="G38" s="49"/>
      <c r="H38" s="31"/>
    </row>
    <row r="39" spans="1:8" x14ac:dyDescent="0.2">
      <c r="A39" s="65"/>
      <c r="F39" s="31"/>
      <c r="G39" s="49"/>
      <c r="H39" s="31"/>
    </row>
    <row r="40" spans="1:8" x14ac:dyDescent="0.2">
      <c r="A40" s="65"/>
      <c r="F40" s="31"/>
      <c r="G40" s="49"/>
      <c r="H40" s="31"/>
    </row>
    <row r="41" spans="1:8" x14ac:dyDescent="0.2">
      <c r="A41" s="65"/>
      <c r="F41" s="31"/>
      <c r="G41" s="49"/>
      <c r="H41" s="31"/>
    </row>
    <row r="42" spans="1:8" x14ac:dyDescent="0.2">
      <c r="A42" s="65"/>
      <c r="F42" s="31"/>
      <c r="G42" s="49"/>
      <c r="H42" s="31"/>
    </row>
    <row r="43" spans="1:8" x14ac:dyDescent="0.2">
      <c r="A43" s="65"/>
      <c r="F43" s="31"/>
      <c r="G43" s="49"/>
      <c r="H43" s="31"/>
    </row>
    <row r="44" spans="1:8" x14ac:dyDescent="0.2">
      <c r="A44" s="65"/>
      <c r="F44" s="31"/>
      <c r="G44" s="49"/>
      <c r="H44" s="31"/>
    </row>
    <row r="45" spans="1:8" x14ac:dyDescent="0.2">
      <c r="A45" s="65"/>
      <c r="F45" s="31"/>
      <c r="G45" s="49"/>
      <c r="H45" s="31"/>
    </row>
    <row r="46" spans="1:8" x14ac:dyDescent="0.2">
      <c r="A46" s="65"/>
      <c r="F46" s="31"/>
      <c r="G46" s="49"/>
      <c r="H46" s="31"/>
    </row>
    <row r="47" spans="1:8" x14ac:dyDescent="0.2">
      <c r="A47" s="65"/>
      <c r="F47" s="31"/>
      <c r="G47" s="49"/>
      <c r="H47" s="31"/>
    </row>
    <row r="48" spans="1:8" x14ac:dyDescent="0.2">
      <c r="A48" s="65"/>
      <c r="F48" s="31"/>
      <c r="G48" s="49"/>
      <c r="H48" s="31"/>
    </row>
    <row r="49" spans="1:8" x14ac:dyDescent="0.2">
      <c r="A49" s="65"/>
      <c r="F49" s="31"/>
      <c r="G49" s="49"/>
      <c r="H49" s="31"/>
    </row>
    <row r="50" spans="1:8" x14ac:dyDescent="0.2">
      <c r="A50" s="65"/>
      <c r="F50" s="31"/>
      <c r="G50" s="49"/>
      <c r="H50" s="31"/>
    </row>
    <row r="51" spans="1:8" x14ac:dyDescent="0.2">
      <c r="A51" s="65"/>
      <c r="F51" s="31"/>
      <c r="G51" s="49"/>
      <c r="H51" s="31"/>
    </row>
    <row r="52" spans="1:8" x14ac:dyDescent="0.2">
      <c r="A52" s="65"/>
      <c r="F52" s="31"/>
      <c r="G52" s="49"/>
      <c r="H52" s="31"/>
    </row>
    <row r="53" spans="1:8" x14ac:dyDescent="0.2">
      <c r="A53" s="65"/>
      <c r="F53" s="31"/>
      <c r="G53" s="49"/>
      <c r="H53" s="31"/>
    </row>
    <row r="54" spans="1:8" x14ac:dyDescent="0.2">
      <c r="A54" s="65"/>
      <c r="F54" s="31"/>
      <c r="G54" s="49"/>
      <c r="H54" s="31"/>
    </row>
    <row r="55" spans="1:8" x14ac:dyDescent="0.2">
      <c r="A55" s="65"/>
      <c r="F55" s="31"/>
      <c r="G55" s="49"/>
      <c r="H55" s="31"/>
    </row>
    <row r="56" spans="1:8" x14ac:dyDescent="0.2">
      <c r="A56" s="65"/>
      <c r="F56" s="31"/>
      <c r="G56" s="49"/>
      <c r="H56" s="31"/>
    </row>
    <row r="57" spans="1:8" x14ac:dyDescent="0.2">
      <c r="A57" s="65"/>
      <c r="F57" s="31"/>
      <c r="G57" s="49"/>
      <c r="H57" s="31"/>
    </row>
    <row r="58" spans="1:8" x14ac:dyDescent="0.2">
      <c r="A58" s="65"/>
      <c r="F58" s="31"/>
      <c r="G58" s="49"/>
      <c r="H58" s="31"/>
    </row>
    <row r="59" spans="1:8" x14ac:dyDescent="0.2">
      <c r="A59" s="65"/>
      <c r="F59" s="31"/>
      <c r="G59" s="49"/>
      <c r="H59" s="31"/>
    </row>
    <row r="60" spans="1:8" x14ac:dyDescent="0.2">
      <c r="A60" s="65"/>
      <c r="F60" s="31"/>
      <c r="G60" s="49"/>
      <c r="H60" s="31"/>
    </row>
    <row r="61" spans="1:8" x14ac:dyDescent="0.2">
      <c r="A61" s="65"/>
      <c r="F61" s="31"/>
      <c r="G61" s="49"/>
      <c r="H61" s="31"/>
    </row>
    <row r="62" spans="1:8" x14ac:dyDescent="0.2">
      <c r="A62" s="65"/>
      <c r="F62" s="31"/>
      <c r="G62" s="49"/>
      <c r="H62" s="31"/>
    </row>
    <row r="63" spans="1:8" x14ac:dyDescent="0.2">
      <c r="A63" s="65"/>
      <c r="F63" s="31"/>
      <c r="G63" s="49"/>
      <c r="H63" s="31"/>
    </row>
    <row r="64" spans="1:8" x14ac:dyDescent="0.2">
      <c r="A64" s="65"/>
      <c r="F64" s="31"/>
      <c r="G64" s="49"/>
      <c r="H64" s="31"/>
    </row>
    <row r="65" spans="1:8" x14ac:dyDescent="0.2">
      <c r="A65" s="65"/>
      <c r="F65" s="31"/>
      <c r="G65" s="49"/>
      <c r="H65" s="31"/>
    </row>
    <row r="66" spans="1:8" x14ac:dyDescent="0.2">
      <c r="A66" s="65"/>
      <c r="F66" s="31"/>
      <c r="G66" s="49"/>
      <c r="H66" s="31"/>
    </row>
    <row r="67" spans="1:8" x14ac:dyDescent="0.2">
      <c r="A67" s="65"/>
      <c r="F67" s="31"/>
      <c r="G67" s="49"/>
      <c r="H67" s="31"/>
    </row>
    <row r="68" spans="1:8" x14ac:dyDescent="0.2">
      <c r="A68" s="65"/>
      <c r="F68" s="31"/>
      <c r="G68" s="49"/>
      <c r="H68" s="31"/>
    </row>
    <row r="69" spans="1:8" x14ac:dyDescent="0.2">
      <c r="A69" s="65"/>
      <c r="F69" s="31"/>
      <c r="G69" s="49"/>
      <c r="H69" s="31"/>
    </row>
    <row r="70" spans="1:8" x14ac:dyDescent="0.2">
      <c r="A70" s="65"/>
      <c r="F70" s="31"/>
      <c r="G70" s="49"/>
      <c r="H70" s="31"/>
    </row>
    <row r="71" spans="1:8" x14ac:dyDescent="0.2">
      <c r="A71" s="65"/>
      <c r="F71" s="31"/>
      <c r="G71" s="49"/>
      <c r="H71" s="31"/>
    </row>
    <row r="72" spans="1:8" x14ac:dyDescent="0.2">
      <c r="A72" s="65"/>
      <c r="F72" s="31"/>
      <c r="G72" s="49"/>
      <c r="H72" s="31"/>
    </row>
    <row r="73" spans="1:8" x14ac:dyDescent="0.2">
      <c r="A73" s="65"/>
      <c r="F73" s="31"/>
      <c r="G73" s="49"/>
      <c r="H73" s="31"/>
    </row>
    <row r="74" spans="1:8" x14ac:dyDescent="0.2">
      <c r="A74" s="65"/>
      <c r="F74" s="31"/>
      <c r="G74" s="49"/>
      <c r="H74" s="31"/>
    </row>
    <row r="75" spans="1:8" x14ac:dyDescent="0.2">
      <c r="A75" s="65"/>
      <c r="F75" s="31"/>
      <c r="G75" s="49"/>
      <c r="H75" s="31"/>
    </row>
    <row r="76" spans="1:8" x14ac:dyDescent="0.2">
      <c r="A76" s="65"/>
      <c r="F76" s="31"/>
      <c r="G76" s="49"/>
      <c r="H76" s="31"/>
    </row>
    <row r="77" spans="1:8" x14ac:dyDescent="0.2">
      <c r="A77" s="65"/>
      <c r="F77" s="31"/>
      <c r="G77" s="49"/>
      <c r="H77" s="31"/>
    </row>
    <row r="78" spans="1:8" x14ac:dyDescent="0.2">
      <c r="A78" s="65"/>
      <c r="F78" s="31"/>
      <c r="G78" s="49"/>
      <c r="H78" s="31"/>
    </row>
    <row r="79" spans="1:8" x14ac:dyDescent="0.2">
      <c r="A79" s="65"/>
      <c r="F79" s="31"/>
      <c r="G79" s="49"/>
      <c r="H79" s="31"/>
    </row>
    <row r="80" spans="1:8" x14ac:dyDescent="0.2">
      <c r="A80" s="65"/>
      <c r="F80" s="31"/>
      <c r="G80" s="49"/>
      <c r="H80" s="31"/>
    </row>
    <row r="81" spans="1:8" x14ac:dyDescent="0.2">
      <c r="A81" s="65"/>
      <c r="F81" s="31"/>
      <c r="G81" s="49"/>
      <c r="H81" s="31"/>
    </row>
    <row r="82" spans="1:8" x14ac:dyDescent="0.2">
      <c r="A82" s="65"/>
      <c r="F82" s="31"/>
      <c r="G82" s="49"/>
      <c r="H82" s="31"/>
    </row>
    <row r="83" spans="1:8" x14ac:dyDescent="0.2">
      <c r="A83" s="65"/>
      <c r="F83" s="31"/>
      <c r="G83" s="49"/>
      <c r="H83" s="31"/>
    </row>
    <row r="84" spans="1:8" x14ac:dyDescent="0.2">
      <c r="A84" s="65"/>
      <c r="F84" s="31"/>
      <c r="G84" s="49"/>
      <c r="H84" s="31"/>
    </row>
    <row r="85" spans="1:8" x14ac:dyDescent="0.2">
      <c r="A85" s="65"/>
      <c r="F85" s="31"/>
      <c r="G85" s="49"/>
      <c r="H85" s="31"/>
    </row>
    <row r="86" spans="1:8" x14ac:dyDescent="0.2">
      <c r="A86" s="65"/>
      <c r="F86" s="31"/>
      <c r="G86" s="49"/>
      <c r="H86" s="31"/>
    </row>
    <row r="87" spans="1:8" x14ac:dyDescent="0.2">
      <c r="A87" s="65"/>
      <c r="F87" s="31"/>
      <c r="G87" s="49"/>
      <c r="H87" s="31"/>
    </row>
    <row r="88" spans="1:8" x14ac:dyDescent="0.2">
      <c r="A88" s="65"/>
      <c r="F88" s="31"/>
      <c r="G88" s="49"/>
      <c r="H88" s="31"/>
    </row>
    <row r="89" spans="1:8" x14ac:dyDescent="0.2">
      <c r="A89" s="65"/>
      <c r="F89" s="31"/>
      <c r="G89" s="49"/>
      <c r="H89" s="31"/>
    </row>
    <row r="90" spans="1:8" x14ac:dyDescent="0.2">
      <c r="A90" s="65"/>
      <c r="F90" s="31"/>
      <c r="G90" s="49"/>
      <c r="H90" s="31"/>
    </row>
    <row r="91" spans="1:8" x14ac:dyDescent="0.2">
      <c r="A91" s="65"/>
      <c r="F91" s="31"/>
      <c r="G91" s="49"/>
      <c r="H91" s="31"/>
    </row>
    <row r="92" spans="1:8" x14ac:dyDescent="0.2">
      <c r="A92" s="65"/>
      <c r="F92" s="31"/>
      <c r="G92" s="49"/>
      <c r="H92" s="31"/>
    </row>
    <row r="93" spans="1:8" x14ac:dyDescent="0.2">
      <c r="A93" s="65"/>
      <c r="F93" s="31"/>
      <c r="G93" s="49"/>
      <c r="H93" s="31"/>
    </row>
    <row r="94" spans="1:8" x14ac:dyDescent="0.2">
      <c r="A94" s="65"/>
      <c r="F94" s="31"/>
      <c r="G94" s="49"/>
      <c r="H94" s="31"/>
    </row>
    <row r="95" spans="1:8" x14ac:dyDescent="0.2">
      <c r="A95" s="65"/>
      <c r="F95" s="31"/>
      <c r="G95" s="49"/>
      <c r="H95" s="31"/>
    </row>
    <row r="96" spans="1:8" x14ac:dyDescent="0.2">
      <c r="A96" s="65"/>
      <c r="F96" s="31"/>
      <c r="G96" s="49"/>
      <c r="H96" s="31"/>
    </row>
    <row r="97" spans="1:8" x14ac:dyDescent="0.2">
      <c r="A97" s="65"/>
      <c r="F97" s="31"/>
      <c r="G97" s="49"/>
      <c r="H97" s="31"/>
    </row>
    <row r="98" spans="1:8" x14ac:dyDescent="0.2">
      <c r="A98" s="65"/>
      <c r="F98" s="31"/>
      <c r="G98" s="49"/>
      <c r="H98" s="31"/>
    </row>
    <row r="99" spans="1:8" x14ac:dyDescent="0.2">
      <c r="A99" s="65"/>
      <c r="F99" s="31"/>
      <c r="G99" s="49"/>
      <c r="H99" s="31"/>
    </row>
    <row r="100" spans="1:8" x14ac:dyDescent="0.2">
      <c r="A100" s="65"/>
      <c r="F100" s="31"/>
      <c r="G100" s="49"/>
      <c r="H100" s="31"/>
    </row>
    <row r="101" spans="1:8" x14ac:dyDescent="0.2">
      <c r="A101" s="65"/>
      <c r="F101" s="31"/>
      <c r="G101" s="49"/>
      <c r="H101" s="31"/>
    </row>
  </sheetData>
  <dataValidations count="1">
    <dataValidation type="decimal" allowBlank="1" sqref="G2:G101" xr:uid="{00000000-0002-0000-0700-000000000000}">
      <formula1>0</formula1>
      <formula2>1</formula2>
    </dataValidation>
  </dataValidation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8"/>
  <sheetViews>
    <sheetView workbookViewId="0">
      <selection activeCell="A2" sqref="A2"/>
    </sheetView>
  </sheetViews>
  <sheetFormatPr defaultRowHeight="12.75" x14ac:dyDescent="0.2"/>
  <cols>
    <col min="1" max="1" width="16.85546875" bestFit="1" customWidth="1"/>
    <col min="2" max="2" width="20" bestFit="1" customWidth="1"/>
    <col min="3" max="3" width="14" customWidth="1"/>
    <col min="4" max="4" width="16" customWidth="1"/>
    <col min="5" max="6" width="14" customWidth="1"/>
    <col min="7" max="7" width="18" customWidth="1"/>
    <col min="8" max="8" width="22" customWidth="1"/>
    <col min="9" max="9" width="94.28515625" bestFit="1" customWidth="1"/>
  </cols>
  <sheetData>
    <row r="1" spans="1:9" ht="13.5" x14ac:dyDescent="0.25">
      <c r="A1" s="93" t="s">
        <v>848</v>
      </c>
      <c r="B1" s="93" t="s">
        <v>60</v>
      </c>
      <c r="C1" s="93" t="s">
        <v>31</v>
      </c>
      <c r="D1" s="93" t="s">
        <v>32</v>
      </c>
      <c r="E1" s="93" t="s">
        <v>33</v>
      </c>
      <c r="F1" s="93" t="s">
        <v>34</v>
      </c>
      <c r="G1" s="93" t="s">
        <v>35</v>
      </c>
      <c r="H1" s="93" t="s">
        <v>36</v>
      </c>
      <c r="I1" s="93" t="s">
        <v>861</v>
      </c>
    </row>
    <row r="2" spans="1:9" x14ac:dyDescent="0.2">
      <c r="A2" s="94">
        <v>46270</v>
      </c>
      <c r="B2" t="s">
        <v>8</v>
      </c>
      <c r="C2" s="95">
        <v>0</v>
      </c>
      <c r="D2" s="95">
        <v>0</v>
      </c>
      <c r="E2" s="95">
        <v>0</v>
      </c>
      <c r="F2" s="95">
        <v>0</v>
      </c>
      <c r="G2" s="95">
        <v>0</v>
      </c>
      <c r="H2" s="95">
        <v>0</v>
      </c>
      <c r="I2" t="s">
        <v>893</v>
      </c>
    </row>
    <row r="3" spans="1:9" x14ac:dyDescent="0.2">
      <c r="A3" s="94">
        <v>46270</v>
      </c>
      <c r="B3" t="s">
        <v>65</v>
      </c>
      <c r="C3" s="95">
        <v>0</v>
      </c>
      <c r="D3" s="95">
        <v>0</v>
      </c>
      <c r="E3" s="95">
        <v>0</v>
      </c>
      <c r="F3" s="95">
        <v>0</v>
      </c>
      <c r="G3" s="95">
        <v>0</v>
      </c>
      <c r="H3" s="95">
        <v>0</v>
      </c>
    </row>
    <row r="4" spans="1:9" x14ac:dyDescent="0.2">
      <c r="A4" s="94">
        <v>46270</v>
      </c>
      <c r="B4" t="s">
        <v>66</v>
      </c>
      <c r="C4" s="95">
        <v>0</v>
      </c>
      <c r="D4" s="95">
        <v>0</v>
      </c>
      <c r="E4" s="95">
        <v>0</v>
      </c>
      <c r="F4" s="95">
        <v>0</v>
      </c>
      <c r="G4" s="95">
        <v>0</v>
      </c>
      <c r="H4" s="95">
        <v>0</v>
      </c>
    </row>
    <row r="5" spans="1:9" x14ac:dyDescent="0.2">
      <c r="A5" s="94">
        <v>46270</v>
      </c>
      <c r="B5" t="s">
        <v>67</v>
      </c>
      <c r="C5" s="95">
        <v>0</v>
      </c>
      <c r="D5" s="95">
        <v>0</v>
      </c>
      <c r="E5" s="95">
        <v>0</v>
      </c>
      <c r="F5" s="95">
        <v>0</v>
      </c>
      <c r="G5" s="95">
        <v>0</v>
      </c>
      <c r="H5" s="95">
        <v>0</v>
      </c>
    </row>
    <row r="6" spans="1:9" x14ac:dyDescent="0.2">
      <c r="A6" s="94">
        <v>46270</v>
      </c>
      <c r="B6" t="s">
        <v>68</v>
      </c>
      <c r="C6" s="95">
        <v>0</v>
      </c>
      <c r="D6" s="95">
        <v>0</v>
      </c>
      <c r="E6" s="95">
        <v>0</v>
      </c>
      <c r="F6" s="95">
        <v>0</v>
      </c>
      <c r="G6" s="95">
        <v>0</v>
      </c>
      <c r="H6" s="95">
        <v>0</v>
      </c>
    </row>
    <row r="7" spans="1:9" x14ac:dyDescent="0.2">
      <c r="A7" s="94">
        <v>46270</v>
      </c>
      <c r="B7" t="s">
        <v>69</v>
      </c>
      <c r="C7" s="95">
        <v>0</v>
      </c>
      <c r="D7" s="95">
        <v>0</v>
      </c>
      <c r="E7" s="95">
        <v>0</v>
      </c>
      <c r="F7" s="95">
        <v>0</v>
      </c>
      <c r="G7" s="95">
        <v>0</v>
      </c>
      <c r="H7" s="95">
        <v>0</v>
      </c>
    </row>
    <row r="8" spans="1:9" x14ac:dyDescent="0.2">
      <c r="A8" s="94">
        <v>46270</v>
      </c>
      <c r="B8" t="s">
        <v>70</v>
      </c>
      <c r="C8" s="95">
        <v>0</v>
      </c>
      <c r="D8" s="95">
        <v>0</v>
      </c>
      <c r="E8" s="95">
        <v>0</v>
      </c>
      <c r="F8" s="95">
        <v>0</v>
      </c>
      <c r="G8" s="95">
        <v>0</v>
      </c>
      <c r="H8" s="95">
        <v>0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800-000000000000}">
          <x14:formula1>
            <xm:f>'SET-UP &amp; SUMMARY'!$A$12:$A$18</xm:f>
          </x14:formula1>
          <xm:sqref>B2:B101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SET-UP &amp; SUMMARY</vt:lpstr>
      <vt:lpstr>VENDOR PAYOUT</vt:lpstr>
      <vt:lpstr>MSR RAW</vt:lpstr>
      <vt:lpstr>CATEGORY MAP</vt:lpstr>
      <vt:lpstr>MSR DATA</vt:lpstr>
      <vt:lpstr>CONTRACT CALC</vt:lpstr>
      <vt:lpstr>EVENT ASSIGNMENT</vt:lpstr>
      <vt:lpstr>TIPS DATA</vt:lpstr>
      <vt:lpstr>SUPPLEMENTAL DATA</vt:lpstr>
      <vt:lpstr>'VENDOR PAYOUT'!Print_Area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Levy Restaurants</dc:creator>
  <cp:lastModifiedBy>Evan Gonzales</cp:lastModifiedBy>
  <cp:revision>0</cp:revision>
  <cp:lastPrinted>2026-09-17T06:50:00Z</cp:lastPrinted>
  <dcterms:created xsi:type="dcterms:W3CDTF">2002-07-17T19:03:05Z</dcterms:created>
  <dcterms:modified xsi:type="dcterms:W3CDTF">2026-09-18T08:45:18Z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act">
    <vt:lpwstr>565</vt:lpwstr>
  </property>
  <property fmtid="{D5CDD505-2E9C-101B-9397-08002B2CF9AE}" pid="3" name="Department">
    <vt:lpwstr>Concessions</vt:lpwstr>
  </property>
  <property fmtid="{D5CDD505-2E9C-101B-9397-08002B2CF9AE}" pid="4" name="Order">
    <vt:lpwstr>130200.000000000</vt:lpwstr>
  </property>
  <property fmtid="{D5CDD505-2E9C-101B-9397-08002B2CF9AE}" pid="5" name="OwlContentTargetOptionsOne">
    <vt:lpwstr>27;#Levy|b50391ad-6c41-4f72-ab11-2064718c1a0d</vt:lpwstr>
  </property>
  <property fmtid="{D5CDD505-2E9C-101B-9397-08002B2CF9AE}" pid="6" name="OwlDepartmentOwner">
    <vt:lpwstr>17;#Levy|b50391ad-6c41-4f72-ab11-2064718c1a0d</vt:lpwstr>
  </property>
  <property fmtid="{D5CDD505-2E9C-101B-9397-08002B2CF9AE}" pid="7" name="OwlDocPortalCategory">
    <vt:lpwstr/>
  </property>
  <property fmtid="{D5CDD505-2E9C-101B-9397-08002B2CF9AE}" pid="8" name="OwlTags">
    <vt:lpwstr/>
  </property>
  <property fmtid="{D5CDD505-2E9C-101B-9397-08002B2CF9AE}" pid="9" name="PostedBy">
    <vt:lpwstr>190</vt:lpwstr>
  </property>
  <property fmtid="{D5CDD505-2E9C-101B-9397-08002B2CF9AE}" pid="10" name="State">
    <vt:lpwstr/>
  </property>
  <property fmtid="{D5CDD505-2E9C-101B-9397-08002B2CF9AE}" pid="11" name="TaxKeyword">
    <vt:lpwstr/>
  </property>
  <property fmtid="{D5CDD505-2E9C-101B-9397-08002B2CF9AE}" pid="12" name="URL">
    <vt:lpwstr/>
  </property>
  <property fmtid="{D5CDD505-2E9C-101B-9397-08002B2CF9AE}" pid="13" name="_dlc_DocId">
    <vt:lpwstr>LEVYSOURCE-31-640</vt:lpwstr>
  </property>
  <property fmtid="{D5CDD505-2E9C-101B-9397-08002B2CF9AE}" pid="14" name="_dlc_DocIdItemGuid">
    <vt:lpwstr>79fa3bf7-0ca4-439a-b59f-17c9daaa7c34</vt:lpwstr>
  </property>
  <property fmtid="{D5CDD505-2E9C-101B-9397-08002B2CF9AE}" pid="15" name="_dlc_DocIdUrl">
    <vt:lpwstr>https://levysource.levyrestaurants.com/documentcenter/_layouts/DocIdRedir.aspx?ID=LEVYSOURCE-31-640, LEVYSOURCE-31-640</vt:lpwstr>
  </property>
  <property fmtid="{D5CDD505-2E9C-101B-9397-08002B2CF9AE}" pid="16" name="display_urn:schemas-microsoft-com:office:office#Author">
    <vt:lpwstr>Spayer, Dan</vt:lpwstr>
  </property>
  <property fmtid="{D5CDD505-2E9C-101B-9397-08002B2CF9AE}" pid="17" name="display_urn:schemas-microsoft-com:office:office#Contact">
    <vt:lpwstr>nori bonaventura</vt:lpwstr>
  </property>
  <property fmtid="{D5CDD505-2E9C-101B-9397-08002B2CF9AE}" pid="18" name="display_urn:schemas-microsoft-com:office:office#Editor">
    <vt:lpwstr>Spayer, Dan</vt:lpwstr>
  </property>
</Properties>
</file>